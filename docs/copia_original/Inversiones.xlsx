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yptos" sheetId="1" r:id="rId5"/>
    <sheet state="hidden" name="Estrategia michel saylor" sheetId="2" r:id="rId6"/>
    <sheet state="visible" name="Acciones ARG" sheetId="3" r:id="rId7"/>
    <sheet state="visible" name="Cartera corto plazo" sheetId="4" r:id="rId8"/>
    <sheet state="visible" name="Cartera Jubilación" sheetId="5" r:id="rId9"/>
    <sheet state="visible" name="CCL" sheetId="6" r:id="rId10"/>
    <sheet state="visible" name="FCI_USD" sheetId="7" r:id="rId11"/>
    <sheet state="visible" name="Renta fija" sheetId="8" r:id="rId12"/>
    <sheet state="visible" name="PRECIOS ACCIONES" sheetId="9" r:id="rId13"/>
    <sheet state="visible" name="Info Cedears" sheetId="10" r:id="rId14"/>
    <sheet state="visible" name="Config" sheetId="11" r:id="rId15"/>
    <sheet state="visible" name="📊 Dashboard" sheetId="12" r:id="rId16"/>
    <sheet state="hidden" name="Copia de Cedears" sheetId="13" r:id="rId17"/>
    <sheet state="hidden" name="Copia de Cedears 1" sheetId="14" r:id="rId18"/>
    <sheet state="hidden" name="📋 Instrucciones" sheetId="15" r:id="rId19"/>
    <sheet state="visible" name="BTC" sheetId="16" r:id="rId20"/>
    <sheet state="visible" name="ETH" sheetId="17" r:id="rId21"/>
    <sheet state="visible" name="ADA" sheetId="18" r:id="rId22"/>
    <sheet state="visible" name="PAXGUSD" sheetId="19" r:id="rId23"/>
  </sheets>
  <definedNames>
    <definedName hidden="1" localSheetId="0" name="_xlnm._FilterDatabase">Cryptos!$A$1:$N$123</definedName>
    <definedName hidden="1" localSheetId="3" name="_xlnm._FilterDatabase">'Cartera corto plazo'!$A$1:$T$234</definedName>
    <definedName hidden="1" localSheetId="4" name="_xlnm._FilterDatabase">'Cartera Jubilación'!$A$1:$T$233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tc={00b157cb-25b2-4497-8aea-5ee8325a831a}</author>
    <author>tc={104689ef-813e-4ac5-8ccc-332d64dde458}</author>
    <author>tc={22b979cb-db22-4ab8-b928-2d2db93e7e2c}</author>
    <author>tc={9c4f63f4-2dca-4e83-94d8-7e0b0d30a2fe}</author>
    <author>tc={b3393ca9-4d22-434e-9c0c-ce5baa26e1a9}</author>
    <author>tc={c3f9d49d-86a4-4035-a1b8-66425fe97494}</author>
    <author>tc={d1a8151a-8fda-40be-91c8-14d6853abdd9}</author>
    <author>tc={db490a5a-82d5-4de3-ac31-a5adbeb593e1}</author>
  </authors>
  <commentList>
    <comment authorId="0" xr:uid="{00b157cb-25b2-4497-8aea-5ee8325a831a}" ref="I1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Orden límite en 15
</t>
      </text>
    </comment>
    <comment authorId="1" xr:uid="{104689ef-813e-4ac5-8ccc-332d64dde458}" ref="B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va a fusionar con otras 2 criptos y pasará a llamarse ASI
</t>
      </text>
    </comment>
    <comment authorId="2" xr:uid="{22b979cb-db22-4ab8-b928-2d2db93e7e2c}" ref="I1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Orden límite en 4,00
</t>
      </text>
    </comment>
    <comment authorId="3" xr:uid="{9c4f63f4-2dca-4e83-94d8-7e0b0d30a2fe}" ref="I1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Orden límite 3,17
</t>
      </text>
    </comment>
    <comment authorId="4" xr:uid="{b3393ca9-4d22-434e-9c0c-ce5baa26e1a9}" ref="I1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Orden límite en 0.4587
</t>
      </text>
    </comment>
    <comment authorId="5" xr:uid="{c3f9d49d-86a4-4035-a1b8-66425fe97494}" ref="I1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Orden límite en 337
</t>
      </text>
    </comment>
    <comment authorId="6" xr:uid="{d1a8151a-8fda-40be-91c8-14d6853abdd9}" ref="I1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Orden límite en 1300
</t>
      </text>
    </comment>
    <comment authorId="7" xr:uid="{db490a5a-82d5-4de3-ac31-a5adbeb593e1}" ref="I1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Orden límite 6.5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tc={481740d6-2c9f-486f-915a-f9e4f3323f82}</author>
    <author>tc={e3f60aa8-7daa-47b1-b24c-9bb6fdc28849}</author>
  </authors>
  <commentList>
    <comment authorId="0" xr:uid="{481740d6-2c9f-486f-915a-f9e4f3323f82}" ref="F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 cerré porque no me gustó el SPY500 que venía haciendo máximos cada vez mas cortos y con menos volúmen
</t>
      </text>
    </comment>
    <comment authorId="1" xr:uid="{e3f60aa8-7daa-47b1-b24c-9bb6fdc28849}" ref="L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vendió en 2 partes. El precio de final es el promedio de ambas ventas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tc={7d5828cc-7617-4b4c-a444-7ab123227b47}</author>
  </authors>
  <commentList>
    <comment authorId="0" xr:uid="{7d5828cc-7617-4b4c-a444-7ab123227b47}" ref="Y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OJO: no está bien el importe
</t>
      </text>
    </comment>
  </commentList>
</comments>
</file>

<file path=xl/sharedStrings.xml><?xml version="1.0" encoding="utf-8"?>
<sst xmlns="http://schemas.openxmlformats.org/spreadsheetml/2006/main" count="2554" uniqueCount="675">
  <si>
    <t>ID</t>
  </si>
  <si>
    <t>Ticker</t>
  </si>
  <si>
    <t>Apertura</t>
  </si>
  <si>
    <t>Estado</t>
  </si>
  <si>
    <t>Cierre</t>
  </si>
  <si>
    <t>Dias</t>
  </si>
  <si>
    <t>Unidades</t>
  </si>
  <si>
    <t>Valor Compra</t>
  </si>
  <si>
    <t>Valor Actual</t>
  </si>
  <si>
    <t>Valor Venta</t>
  </si>
  <si>
    <t>Total Compra</t>
  </si>
  <si>
    <t>Total Venta</t>
  </si>
  <si>
    <t>Ganancias (%)</t>
  </si>
  <si>
    <t>Ganancias Bruta</t>
  </si>
  <si>
    <t>% Cartera</t>
  </si>
  <si>
    <t>PPC</t>
  </si>
  <si>
    <t>Total (Abierto)</t>
  </si>
  <si>
    <t>Ganancias Tot</t>
  </si>
  <si>
    <t>Crypto</t>
  </si>
  <si>
    <t>USD</t>
  </si>
  <si>
    <t>Binance</t>
  </si>
  <si>
    <t>BTC</t>
  </si>
  <si>
    <t>CERRADA</t>
  </si>
  <si>
    <t>BNB</t>
  </si>
  <si>
    <t>ABIERTA</t>
  </si>
  <si>
    <t>DOT</t>
  </si>
  <si>
    <t>AVAX</t>
  </si>
  <si>
    <t>SOL</t>
  </si>
  <si>
    <t>RUNE</t>
  </si>
  <si>
    <t>ETH</t>
  </si>
  <si>
    <t>MATIC</t>
  </si>
  <si>
    <t>ADA</t>
  </si>
  <si>
    <t>XTZ</t>
  </si>
  <si>
    <t>SAND</t>
  </si>
  <si>
    <t>CRV</t>
  </si>
  <si>
    <t>UNI</t>
  </si>
  <si>
    <t>MANA</t>
  </si>
  <si>
    <t>1INCH</t>
  </si>
  <si>
    <t>NEAR</t>
  </si>
  <si>
    <t>ONE</t>
  </si>
  <si>
    <t>GALA</t>
  </si>
  <si>
    <t>RNDR</t>
  </si>
  <si>
    <t>KSM</t>
  </si>
  <si>
    <t>SEI</t>
  </si>
  <si>
    <t>RONIN</t>
  </si>
  <si>
    <t>LINK</t>
  </si>
  <si>
    <t>Tenencias Actuales</t>
  </si>
  <si>
    <t>Total Acumulado</t>
  </si>
  <si>
    <t>SHIB</t>
  </si>
  <si>
    <t>Ganancia Abierto</t>
  </si>
  <si>
    <t>Ganancia Acumulada</t>
  </si>
  <si>
    <t>AAVE</t>
  </si>
  <si>
    <t>TRX</t>
  </si>
  <si>
    <t>(%)</t>
  </si>
  <si>
    <t>DOGE</t>
  </si>
  <si>
    <t>FET</t>
  </si>
  <si>
    <t>Config Gráficas</t>
  </si>
  <si>
    <t>Tipo</t>
  </si>
  <si>
    <t>column</t>
  </si>
  <si>
    <t>Días</t>
  </si>
  <si>
    <t>SUI</t>
  </si>
  <si>
    <t>RAY</t>
  </si>
  <si>
    <t>XRP</t>
  </si>
  <si>
    <t>TRUMP</t>
  </si>
  <si>
    <t>ONDO</t>
  </si>
  <si>
    <t>Balance</t>
  </si>
  <si>
    <t>BingX</t>
  </si>
  <si>
    <t>Fecha</t>
  </si>
  <si>
    <t>Dólares agregados</t>
  </si>
  <si>
    <t>cierre</t>
  </si>
  <si>
    <t>41.2</t>
  </si>
  <si>
    <t>13/04/0205</t>
  </si>
  <si>
    <t xml:space="preserve">cierre </t>
  </si>
  <si>
    <t>ANTIVITALIK</t>
  </si>
  <si>
    <t>cerre el 75%</t>
  </si>
  <si>
    <t>queda 25% sl en 3080</t>
  </si>
  <si>
    <t>cierre parcial</t>
  </si>
  <si>
    <t>retire</t>
  </si>
  <si>
    <t>antiada</t>
  </si>
  <si>
    <t>Quedó de la anitvitalick anterior</t>
  </si>
  <si>
    <t>Cierre parcial</t>
  </si>
  <si>
    <t>Michael Sailor ORO</t>
  </si>
  <si>
    <t>Gráfica</t>
  </si>
  <si>
    <t>Total compra USD</t>
  </si>
  <si>
    <t>Total Venta USD</t>
  </si>
  <si>
    <t>Gan Dia (%)</t>
  </si>
  <si>
    <t>Gan Dia</t>
  </si>
  <si>
    <t>Ganancias Bruta (USD)</t>
  </si>
  <si>
    <t>IOL</t>
  </si>
  <si>
    <t>GGAL</t>
  </si>
  <si>
    <t>PAMP</t>
  </si>
  <si>
    <t>ALUA</t>
  </si>
  <si>
    <t>BCBA:SUPV</t>
  </si>
  <si>
    <t>BCBA:LOMA</t>
  </si>
  <si>
    <t>YPFD</t>
  </si>
  <si>
    <t>BCBA:GGAL</t>
  </si>
  <si>
    <t>Total Abierto</t>
  </si>
  <si>
    <t>Valor Compra ARS</t>
  </si>
  <si>
    <t>Valor Compra USD</t>
  </si>
  <si>
    <t>Valor Actual ARS</t>
  </si>
  <si>
    <t>Valor Venta ARS</t>
  </si>
  <si>
    <t>Total Venta ARS</t>
  </si>
  <si>
    <t>Ganancias ARS (%)</t>
  </si>
  <si>
    <t>Ganancia USD CCL (%)</t>
  </si>
  <si>
    <t>Ganancia USD CCL</t>
  </si>
  <si>
    <t>Gan ARS (%)</t>
  </si>
  <si>
    <t>Gana Tot Ars</t>
  </si>
  <si>
    <t>Tot Invertido USD</t>
  </si>
  <si>
    <t>Gan USD (%)</t>
  </si>
  <si>
    <t>Gana Tot USD</t>
  </si>
  <si>
    <t>MSFT</t>
  </si>
  <si>
    <t>EWZ</t>
  </si>
  <si>
    <t>SPY</t>
  </si>
  <si>
    <t>AMD</t>
  </si>
  <si>
    <t>JPM</t>
  </si>
  <si>
    <t>GOOGL</t>
  </si>
  <si>
    <t>META</t>
  </si>
  <si>
    <t>NVDA</t>
  </si>
  <si>
    <t>AMZN</t>
  </si>
  <si>
    <t>AAPL</t>
  </si>
  <si>
    <t>MELI</t>
  </si>
  <si>
    <t>SPXL</t>
  </si>
  <si>
    <t>GLD</t>
  </si>
  <si>
    <t>KO</t>
  </si>
  <si>
    <t>RACE</t>
  </si>
  <si>
    <t>NFLX</t>
  </si>
  <si>
    <t>Total Abierto USD</t>
  </si>
  <si>
    <t>Valor cartera</t>
  </si>
  <si>
    <t>Ganancia Abierto USD</t>
  </si>
  <si>
    <t>Ganancia Acum USD</t>
  </si>
  <si>
    <t>PFE</t>
  </si>
  <si>
    <t>ADBE</t>
  </si>
  <si>
    <t>USD (%)</t>
  </si>
  <si>
    <t>INTC</t>
  </si>
  <si>
    <t>Ganacia posiciones cerradas</t>
  </si>
  <si>
    <t xml:space="preserve">           </t>
  </si>
  <si>
    <t>Sector</t>
  </si>
  <si>
    <t>Balanz</t>
  </si>
  <si>
    <t>BABA</t>
  </si>
  <si>
    <t>TSLA</t>
  </si>
  <si>
    <t>DIA</t>
  </si>
  <si>
    <t>Sectores</t>
  </si>
  <si>
    <t>TICKER VACÍO</t>
  </si>
  <si>
    <t>Total Acum USD</t>
  </si>
  <si>
    <t>Ganancia Cerrado USD</t>
  </si>
  <si>
    <t>NIO</t>
  </si>
  <si>
    <t>QQQ</t>
  </si>
  <si>
    <t>CCL</t>
  </si>
  <si>
    <t>Ratio</t>
  </si>
  <si>
    <t>Valor USD</t>
  </si>
  <si>
    <t>Valor Cedear</t>
  </si>
  <si>
    <t>GOLD</t>
  </si>
  <si>
    <t>CCL Prom</t>
  </si>
  <si>
    <t>Referencia</t>
  </si>
  <si>
    <t>Variación</t>
  </si>
  <si>
    <t>CCL día compra</t>
  </si>
  <si>
    <t>Total Compra USD</t>
  </si>
  <si>
    <t>Actual USD</t>
  </si>
  <si>
    <t>CONIOLA</t>
  </si>
  <si>
    <t>Compra USD</t>
  </si>
  <si>
    <t>Venta USD</t>
  </si>
  <si>
    <t>S30S5</t>
  </si>
  <si>
    <t>AL30</t>
  </si>
  <si>
    <t>TZXD6</t>
  </si>
  <si>
    <t>TICKER</t>
  </si>
  <si>
    <t>MERCADO</t>
  </si>
  <si>
    <t>PRECIO USD</t>
  </si>
  <si>
    <t>RATIO CEDEAR</t>
  </si>
  <si>
    <t>Column 7</t>
  </si>
  <si>
    <t>PRECIO ARS</t>
  </si>
  <si>
    <t>GRÁFICA</t>
  </si>
  <si>
    <r>
      <rPr>
        <rFont val="Lato, sans-serif"/>
        <color rgb="FF1155CC"/>
        <sz val="11.0"/>
        <u/>
      </rPr>
      <t>CEDEARS</t>
    </r>
  </si>
  <si>
    <t>AAL</t>
  </si>
  <si>
    <t>2:1</t>
  </si>
  <si>
    <r>
      <rPr>
        <rFont val="Lato, sans-serif"/>
        <b/>
        <color rgb="FF000000"/>
        <sz val="11.0"/>
        <u/>
      </rPr>
      <t>AALD</t>
    </r>
  </si>
  <si>
    <t>-</t>
  </si>
  <si>
    <r>
      <rPr>
        <rFont val="Lato, sans-serif"/>
        <b/>
        <color rgb="FF000000"/>
        <sz val="11.0"/>
        <u/>
      </rPr>
      <t>AAP</t>
    </r>
  </si>
  <si>
    <t>14:1</t>
  </si>
  <si>
    <r>
      <rPr>
        <rFont val="Lato, sans-serif"/>
        <b/>
        <color rgb="FF000000"/>
        <sz val="11.0"/>
        <u/>
      </rPr>
      <t>AAPL</t>
    </r>
  </si>
  <si>
    <t>20:1</t>
  </si>
  <si>
    <r>
      <rPr>
        <rFont val="Lato, sans-serif"/>
        <b/>
        <color rgb="FF000000"/>
        <sz val="11.0"/>
        <u/>
      </rPr>
      <t>ABBV</t>
    </r>
  </si>
  <si>
    <t>10:1</t>
  </si>
  <si>
    <r>
      <rPr>
        <rFont val="Lato, sans-serif"/>
        <b/>
        <color rgb="FF000000"/>
        <sz val="11.0"/>
        <u/>
      </rPr>
      <t>ABEV</t>
    </r>
  </si>
  <si>
    <t>1:3</t>
  </si>
  <si>
    <r>
      <rPr>
        <rFont val="Lato, sans-serif"/>
        <b/>
        <color rgb="FF000000"/>
        <sz val="11.0"/>
        <u/>
      </rPr>
      <t>ABEV3</t>
    </r>
  </si>
  <si>
    <t>1:1</t>
  </si>
  <si>
    <r>
      <rPr>
        <rFont val="Lato, sans-serif"/>
        <b/>
        <color rgb="FF000000"/>
        <sz val="11.0"/>
        <u/>
      </rPr>
      <t>ABNB</t>
    </r>
  </si>
  <si>
    <t>15:1</t>
  </si>
  <si>
    <r>
      <rPr>
        <rFont val="Lato, sans-serif"/>
        <b/>
        <color rgb="FF000000"/>
        <sz val="11.0"/>
        <u/>
      </rPr>
      <t>ABT</t>
    </r>
  </si>
  <si>
    <t>4:1</t>
  </si>
  <si>
    <r>
      <rPr>
        <rFont val="Lato, sans-serif"/>
        <b/>
        <color rgb="FF000000"/>
        <sz val="11.0"/>
        <u/>
      </rPr>
      <t>ABTD</t>
    </r>
  </si>
  <si>
    <r>
      <rPr>
        <rFont val="Lato, sans-serif"/>
        <b/>
        <color rgb="FF000000"/>
        <sz val="11.0"/>
        <u/>
      </rPr>
      <t>ACN</t>
    </r>
  </si>
  <si>
    <t>75:1</t>
  </si>
  <si>
    <r>
      <rPr>
        <rFont val="Lato, sans-serif"/>
        <b/>
        <color rgb="FF000000"/>
        <sz val="11.0"/>
        <u/>
      </rPr>
      <t>ACND</t>
    </r>
  </si>
  <si>
    <r>
      <rPr>
        <rFont val="Lato, sans-serif"/>
        <b/>
        <color rgb="FF000000"/>
        <sz val="11.0"/>
        <u/>
      </rPr>
      <t>ADBE</t>
    </r>
  </si>
  <si>
    <t>44:1</t>
  </si>
  <si>
    <r>
      <rPr>
        <rFont val="Lato, sans-serif"/>
        <b/>
        <color rgb="FF000000"/>
        <sz val="11.0"/>
        <u/>
      </rPr>
      <t>ADGO</t>
    </r>
  </si>
  <si>
    <r>
      <rPr>
        <rFont val="Lato, sans-serif"/>
        <b/>
        <color rgb="FF000000"/>
        <sz val="11.0"/>
        <u/>
      </rPr>
      <t>ADI</t>
    </r>
  </si>
  <si>
    <r>
      <rPr>
        <rFont val="Lato, sans-serif"/>
        <b/>
        <color rgb="FF000000"/>
        <sz val="11.0"/>
        <u/>
      </rPr>
      <t>AEG</t>
    </r>
  </si>
  <si>
    <r>
      <rPr>
        <rFont val="Lato, sans-serif"/>
        <b/>
        <color rgb="FF000000"/>
        <sz val="11.0"/>
        <u/>
      </rPr>
      <t>AEM</t>
    </r>
  </si>
  <si>
    <t>6:1</t>
  </si>
  <si>
    <r>
      <rPr>
        <rFont val="Lato, sans-serif"/>
        <b/>
        <color rgb="FF000000"/>
        <sz val="11.0"/>
        <u/>
      </rPr>
      <t>AIG</t>
    </r>
  </si>
  <si>
    <t>5:1</t>
  </si>
  <si>
    <r>
      <rPr>
        <rFont val="Lato, sans-serif"/>
        <b/>
        <color rgb="FF000000"/>
        <sz val="11.0"/>
        <u/>
      </rPr>
      <t>AMAT</t>
    </r>
  </si>
  <si>
    <r>
      <rPr>
        <rFont val="Lato, sans-serif"/>
        <b/>
        <color rgb="FF000000"/>
        <sz val="11.0"/>
        <u/>
      </rPr>
      <t>AMD</t>
    </r>
  </si>
  <si>
    <r>
      <rPr>
        <rFont val="Lato, sans-serif"/>
        <b/>
        <color rgb="FF000000"/>
        <sz val="11.0"/>
        <u/>
      </rPr>
      <t>AMDD</t>
    </r>
  </si>
  <si>
    <r>
      <rPr>
        <rFont val="Lato, sans-serif"/>
        <b/>
        <color rgb="FF000000"/>
        <sz val="11.0"/>
        <u/>
      </rPr>
      <t>AMGN</t>
    </r>
  </si>
  <si>
    <t>30:1</t>
  </si>
  <si>
    <r>
      <rPr>
        <rFont val="Lato, sans-serif"/>
        <b/>
        <color rgb="FF000000"/>
        <sz val="11.0"/>
        <u/>
      </rPr>
      <t>AMZN</t>
    </r>
  </si>
  <si>
    <t>144:1</t>
  </si>
  <si>
    <r>
      <rPr>
        <rFont val="Lato, sans-serif"/>
        <b/>
        <color rgb="FF000000"/>
        <sz val="11.0"/>
        <u/>
      </rPr>
      <t>ANF</t>
    </r>
  </si>
  <si>
    <r>
      <rPr>
        <rFont val="Lato, sans-serif"/>
        <b/>
        <color rgb="FF000000"/>
        <sz val="11.0"/>
        <u/>
      </rPr>
      <t>ARCO</t>
    </r>
  </si>
  <si>
    <t>1:2</t>
  </si>
  <si>
    <r>
      <rPr>
        <rFont val="Lato, sans-serif"/>
        <b/>
        <color rgb="FF000000"/>
        <sz val="11.0"/>
        <u/>
      </rPr>
      <t>ARKK</t>
    </r>
  </si>
  <si>
    <r>
      <rPr>
        <rFont val="Lato, sans-serif"/>
        <b/>
        <color rgb="FF000000"/>
        <sz val="11.0"/>
        <u/>
      </rPr>
      <t>ARM</t>
    </r>
  </si>
  <si>
    <t>27:1</t>
  </si>
  <si>
    <r>
      <rPr>
        <rFont val="Lato, sans-serif"/>
        <b/>
        <color rgb="FF000000"/>
        <sz val="11.0"/>
        <u/>
      </rPr>
      <t>ARMD</t>
    </r>
  </si>
  <si>
    <r>
      <rPr>
        <rFont val="Lato, sans-serif"/>
        <b/>
        <color rgb="FF000000"/>
        <sz val="11.0"/>
        <u/>
      </rPr>
      <t>AVGO</t>
    </r>
  </si>
  <si>
    <t>39:1</t>
  </si>
  <si>
    <r>
      <rPr>
        <rFont val="Lato, sans-serif"/>
        <b/>
        <color rgb="FF000000"/>
        <sz val="11.0"/>
        <u/>
      </rPr>
      <t>AXP</t>
    </r>
  </si>
  <si>
    <r>
      <rPr>
        <rFont val="Lato, sans-serif"/>
        <b/>
        <color rgb="FF000000"/>
        <sz val="11.0"/>
        <u/>
      </rPr>
      <t>AXPD</t>
    </r>
  </si>
  <si>
    <r>
      <rPr>
        <rFont val="Lato, sans-serif"/>
        <b/>
        <color rgb="FF000000"/>
        <sz val="11.0"/>
        <u/>
      </rPr>
      <t>B</t>
    </r>
  </si>
  <si>
    <r>
      <rPr>
        <rFont val="Lato, sans-serif"/>
        <b/>
        <color rgb="FF000000"/>
        <sz val="11.0"/>
        <u/>
      </rPr>
      <t>B.D</t>
    </r>
  </si>
  <si>
    <r>
      <rPr>
        <rFont val="Lato, sans-serif"/>
        <b/>
        <color rgb="FF000000"/>
        <sz val="11.0"/>
        <u/>
      </rPr>
      <t>BA</t>
    </r>
  </si>
  <si>
    <t>24:1</t>
  </si>
  <si>
    <r>
      <rPr>
        <rFont val="Lato, sans-serif"/>
        <b/>
        <color rgb="FF000000"/>
        <sz val="11.0"/>
        <u/>
      </rPr>
      <t>BA.C</t>
    </r>
  </si>
  <si>
    <r>
      <rPr>
        <rFont val="Lato, sans-serif"/>
        <b/>
        <color rgb="FF000000"/>
        <sz val="11.0"/>
        <u/>
      </rPr>
      <t>BABA</t>
    </r>
  </si>
  <si>
    <t>9:1</t>
  </si>
  <si>
    <r>
      <rPr>
        <rFont val="Lato, sans-serif"/>
        <b/>
        <color rgb="FF000000"/>
        <sz val="11.0"/>
        <u/>
      </rPr>
      <t>BAD</t>
    </r>
  </si>
  <si>
    <r>
      <rPr>
        <rFont val="Lato, sans-serif"/>
        <b/>
        <color rgb="FF000000"/>
        <sz val="11.0"/>
        <u/>
      </rPr>
      <t>BAK</t>
    </r>
  </si>
  <si>
    <r>
      <rPr>
        <rFont val="Lato, sans-serif"/>
        <b/>
        <color rgb="FF000000"/>
        <sz val="11.0"/>
        <u/>
      </rPr>
      <t>BB</t>
    </r>
  </si>
  <si>
    <t>3:1</t>
  </si>
  <si>
    <r>
      <rPr>
        <rFont val="Lato, sans-serif"/>
        <b/>
        <color rgb="FF000000"/>
        <sz val="11.0"/>
        <u/>
      </rPr>
      <t>BBAS3</t>
    </r>
  </si>
  <si>
    <r>
      <rPr>
        <rFont val="Lato, sans-serif"/>
        <b/>
        <color rgb="FF000000"/>
        <sz val="11.0"/>
        <u/>
      </rPr>
      <t>BBD</t>
    </r>
  </si>
  <si>
    <r>
      <rPr>
        <rFont val="Lato, sans-serif"/>
        <b/>
        <color rgb="FF000000"/>
        <sz val="11.0"/>
        <u/>
      </rPr>
      <t>BBDC3</t>
    </r>
  </si>
  <si>
    <r>
      <rPr>
        <rFont val="Lato, sans-serif"/>
        <b/>
        <color rgb="FF000000"/>
        <sz val="11.0"/>
        <u/>
      </rPr>
      <t>BBDD</t>
    </r>
  </si>
  <si>
    <r>
      <rPr>
        <rFont val="Lato, sans-serif"/>
        <b/>
        <color rgb="FF000000"/>
        <sz val="11.0"/>
        <u/>
      </rPr>
      <t>BBV</t>
    </r>
  </si>
  <si>
    <r>
      <rPr>
        <rFont val="Lato, sans-serif"/>
        <b/>
        <color rgb="FF000000"/>
        <sz val="11.0"/>
        <u/>
      </rPr>
      <t>BBVD</t>
    </r>
  </si>
  <si>
    <r>
      <rPr>
        <rFont val="Lato, sans-serif"/>
        <b/>
        <color rgb="FF000000"/>
        <sz val="11.0"/>
        <u/>
      </rPr>
      <t>BHP</t>
    </r>
  </si>
  <si>
    <r>
      <rPr>
        <rFont val="Lato, sans-serif"/>
        <b/>
        <color rgb="FF000000"/>
        <sz val="11.0"/>
        <u/>
      </rPr>
      <t>BIDU</t>
    </r>
  </si>
  <si>
    <t>11:1</t>
  </si>
  <si>
    <r>
      <rPr>
        <rFont val="Lato, sans-serif"/>
        <b/>
        <color rgb="FF000000"/>
        <sz val="11.0"/>
        <u/>
      </rPr>
      <t>BIIB</t>
    </r>
  </si>
  <si>
    <t>13:1</t>
  </si>
  <si>
    <r>
      <rPr>
        <rFont val="Lato, sans-serif"/>
        <b/>
        <color rgb="FF000000"/>
        <sz val="11.0"/>
        <u/>
      </rPr>
      <t>BIOX</t>
    </r>
  </si>
  <si>
    <r>
      <rPr>
        <rFont val="Lato, sans-serif"/>
        <b/>
        <color rgb="FF000000"/>
        <sz val="11.0"/>
        <u/>
      </rPr>
      <t>BITF</t>
    </r>
  </si>
  <si>
    <t>1:5</t>
  </si>
  <si>
    <r>
      <rPr>
        <rFont val="Lato, sans-serif"/>
        <b/>
        <color rgb="FF000000"/>
        <sz val="11.0"/>
        <u/>
      </rPr>
      <t>BK</t>
    </r>
  </si>
  <si>
    <r>
      <rPr>
        <rFont val="Lato, sans-serif"/>
        <b/>
        <color rgb="FF000000"/>
        <sz val="11.0"/>
        <u/>
      </rPr>
      <t>BKNG</t>
    </r>
  </si>
  <si>
    <t>700:1</t>
  </si>
  <si>
    <r>
      <rPr>
        <rFont val="Lato, sans-serif"/>
        <b/>
        <color rgb="FF000000"/>
        <sz val="11.0"/>
        <u/>
      </rPr>
      <t>BMY</t>
    </r>
  </si>
  <si>
    <r>
      <rPr>
        <rFont val="Lato, sans-serif"/>
        <b/>
        <color rgb="FF000000"/>
        <sz val="11.0"/>
        <u/>
      </rPr>
      <t>BNG</t>
    </r>
  </si>
  <si>
    <r>
      <rPr>
        <rFont val="Lato, sans-serif"/>
        <b/>
        <color rgb="FF000000"/>
        <sz val="11.0"/>
        <u/>
      </rPr>
      <t>BP</t>
    </r>
  </si>
  <si>
    <r>
      <rPr>
        <rFont val="Lato, sans-serif"/>
        <b/>
        <color rgb="FF000000"/>
        <sz val="11.0"/>
        <u/>
      </rPr>
      <t>BPA11</t>
    </r>
  </si>
  <si>
    <r>
      <rPr>
        <rFont val="Lato, sans-serif"/>
        <b/>
        <color rgb="FF000000"/>
        <sz val="11.0"/>
        <u/>
      </rPr>
      <t>BRKB</t>
    </r>
  </si>
  <si>
    <t>22:1</t>
  </si>
  <si>
    <r>
      <rPr>
        <rFont val="Lato, sans-serif"/>
        <b/>
        <color rgb="FF000000"/>
        <sz val="11.0"/>
        <u/>
      </rPr>
      <t>BSBR</t>
    </r>
  </si>
  <si>
    <r>
      <rPr>
        <rFont val="Lato, sans-serif"/>
        <b/>
        <color rgb="FF000000"/>
        <sz val="11.0"/>
        <u/>
      </rPr>
      <t>C</t>
    </r>
  </si>
  <si>
    <r>
      <rPr>
        <rFont val="Lato, sans-serif"/>
        <b/>
        <color rgb="FF000000"/>
        <sz val="11.0"/>
        <u/>
      </rPr>
      <t>C.D</t>
    </r>
  </si>
  <si>
    <r>
      <rPr>
        <rFont val="Lato, sans-serif"/>
        <b/>
        <color rgb="FF000000"/>
        <sz val="11.0"/>
        <u/>
      </rPr>
      <t>CAT</t>
    </r>
  </si>
  <si>
    <r>
      <rPr>
        <rFont val="Lato, sans-serif"/>
        <b/>
        <color rgb="FF000000"/>
        <sz val="11.0"/>
        <u/>
      </rPr>
      <t>CATD</t>
    </r>
  </si>
  <si>
    <r>
      <rPr>
        <rFont val="Lato, sans-serif"/>
        <b/>
        <color rgb="FF000000"/>
        <sz val="11.0"/>
        <u/>
      </rPr>
      <t>CCL</t>
    </r>
  </si>
  <si>
    <r>
      <rPr>
        <rFont val="Lato, sans-serif"/>
        <b/>
        <color rgb="FF000000"/>
        <sz val="11.0"/>
        <u/>
      </rPr>
      <t>CDE</t>
    </r>
  </si>
  <si>
    <r>
      <rPr>
        <rFont val="Lato, sans-serif"/>
        <b/>
        <color rgb="FF000000"/>
        <sz val="11.0"/>
        <u/>
      </rPr>
      <t>CL</t>
    </r>
  </si>
  <si>
    <r>
      <rPr>
        <rFont val="Lato, sans-serif"/>
        <b/>
        <color rgb="FF000000"/>
        <sz val="11.0"/>
        <u/>
      </rPr>
      <t>COIN</t>
    </r>
  </si>
  <si>
    <r>
      <rPr>
        <rFont val="Lato, sans-serif"/>
        <b/>
        <color rgb="FF000000"/>
        <sz val="11.0"/>
        <u/>
      </rPr>
      <t>COST</t>
    </r>
  </si>
  <si>
    <t>48:1</t>
  </si>
  <si>
    <r>
      <rPr>
        <rFont val="Lato, sans-serif"/>
        <b/>
        <color rgb="FF000000"/>
        <sz val="11.0"/>
        <u/>
      </rPr>
      <t>CRM</t>
    </r>
  </si>
  <si>
    <t>18:1</t>
  </si>
  <si>
    <r>
      <rPr>
        <rFont val="Lato, sans-serif"/>
        <b/>
        <color rgb="FF000000"/>
        <sz val="11.0"/>
        <u/>
      </rPr>
      <t>CRMD</t>
    </r>
  </si>
  <si>
    <r>
      <rPr>
        <rFont val="Lato, sans-serif"/>
        <b/>
        <color rgb="FF000000"/>
        <sz val="11.0"/>
        <u/>
      </rPr>
      <t>CSCO</t>
    </r>
  </si>
  <si>
    <r>
      <rPr>
        <rFont val="Lato, sans-serif"/>
        <b/>
        <color rgb="FF000000"/>
        <sz val="11.0"/>
        <u/>
      </rPr>
      <t>CSNA3</t>
    </r>
  </si>
  <si>
    <r>
      <rPr>
        <rFont val="Lato, sans-serif"/>
        <b/>
        <color rgb="FF000000"/>
        <sz val="11.0"/>
        <u/>
      </rPr>
      <t>CVS</t>
    </r>
  </si>
  <si>
    <r>
      <rPr>
        <rFont val="Lato, sans-serif"/>
        <b/>
        <color rgb="FF000000"/>
        <sz val="11.0"/>
        <u/>
      </rPr>
      <t>CVX</t>
    </r>
  </si>
  <si>
    <t>16:1</t>
  </si>
  <si>
    <r>
      <rPr>
        <rFont val="Lato, sans-serif"/>
        <b/>
        <color rgb="FF000000"/>
        <sz val="11.0"/>
        <u/>
      </rPr>
      <t>CVXD</t>
    </r>
  </si>
  <si>
    <r>
      <rPr>
        <rFont val="Lato, sans-serif"/>
        <b/>
        <color rgb="FF000000"/>
        <sz val="11.0"/>
        <u/>
      </rPr>
      <t>CX</t>
    </r>
  </si>
  <si>
    <r>
      <rPr>
        <rFont val="Lato, sans-serif"/>
        <b/>
        <color rgb="FF000000"/>
        <sz val="11.0"/>
        <u/>
      </rPr>
      <t>DAL</t>
    </r>
  </si>
  <si>
    <t>8:1</t>
  </si>
  <si>
    <r>
      <rPr>
        <rFont val="Lato, sans-serif"/>
        <b/>
        <color rgb="FF000000"/>
        <sz val="11.0"/>
        <u/>
      </rPr>
      <t>DE</t>
    </r>
  </si>
  <si>
    <t>40:1</t>
  </si>
  <si>
    <r>
      <rPr>
        <rFont val="Lato, sans-serif"/>
        <b/>
        <color rgb="FF000000"/>
        <sz val="11.0"/>
        <u/>
      </rPr>
      <t>DEO</t>
    </r>
  </si>
  <si>
    <r>
      <rPr>
        <rFont val="Lato, sans-serif"/>
        <b/>
        <color rgb="FF000000"/>
        <sz val="11.0"/>
        <u/>
      </rPr>
      <t>DHR</t>
    </r>
  </si>
  <si>
    <t>54:1</t>
  </si>
  <si>
    <r>
      <rPr>
        <rFont val="Lato, sans-serif"/>
        <b/>
        <color rgb="FF000000"/>
        <sz val="11.0"/>
        <u/>
      </rPr>
      <t>DIA</t>
    </r>
  </si>
  <si>
    <r>
      <rPr>
        <rFont val="Lato, sans-serif"/>
        <b/>
        <color rgb="FF000000"/>
        <sz val="11.0"/>
        <u/>
      </rPr>
      <t>DIAD</t>
    </r>
  </si>
  <si>
    <r>
      <rPr>
        <rFont val="Lato, sans-serif"/>
        <b/>
        <color rgb="FF000000"/>
        <sz val="11.0"/>
        <u/>
      </rPr>
      <t>DISN</t>
    </r>
  </si>
  <si>
    <t>12:1</t>
  </si>
  <si>
    <r>
      <rPr>
        <rFont val="Lato, sans-serif"/>
        <b/>
        <color rgb="FF000000"/>
        <sz val="11.0"/>
        <u/>
      </rPr>
      <t>DOCU</t>
    </r>
  </si>
  <si>
    <r>
      <rPr>
        <rFont val="Lato, sans-serif"/>
        <b/>
        <color rgb="FF000000"/>
        <sz val="11.0"/>
        <u/>
      </rPr>
      <t>DOW</t>
    </r>
  </si>
  <si>
    <r>
      <rPr>
        <rFont val="Lato, sans-serif"/>
        <b/>
        <color rgb="FF000000"/>
        <sz val="11.0"/>
        <u/>
      </rPr>
      <t>E</t>
    </r>
  </si>
  <si>
    <r>
      <rPr>
        <rFont val="Lato, sans-serif"/>
        <b/>
        <color rgb="FF000000"/>
        <sz val="11.0"/>
        <u/>
      </rPr>
      <t>EA</t>
    </r>
  </si>
  <si>
    <r>
      <rPr>
        <rFont val="Lato, sans-serif"/>
        <b/>
        <color rgb="FF000000"/>
        <sz val="11.0"/>
        <u/>
      </rPr>
      <t>EBAY</t>
    </r>
  </si>
  <si>
    <r>
      <rPr>
        <rFont val="Lato, sans-serif"/>
        <b/>
        <color rgb="FF000000"/>
        <sz val="11.0"/>
        <u/>
      </rPr>
      <t>EEM</t>
    </r>
  </si>
  <si>
    <r>
      <rPr>
        <rFont val="Lato, sans-serif"/>
        <b/>
        <color rgb="FF000000"/>
        <sz val="11.0"/>
        <u/>
      </rPr>
      <t>EEMD</t>
    </r>
  </si>
  <si>
    <r>
      <rPr>
        <rFont val="Lato, sans-serif"/>
        <b/>
        <color rgb="FF000000"/>
        <sz val="11.0"/>
        <u/>
      </rPr>
      <t>ETHA</t>
    </r>
  </si>
  <si>
    <r>
      <rPr>
        <rFont val="Lato, sans-serif"/>
        <b/>
        <color rgb="FF000000"/>
        <sz val="11.0"/>
        <u/>
      </rPr>
      <t>EWZ</t>
    </r>
  </si>
  <si>
    <r>
      <rPr>
        <rFont val="Lato, sans-serif"/>
        <b/>
        <color rgb="FF000000"/>
        <sz val="11.0"/>
        <u/>
      </rPr>
      <t>EWZD</t>
    </r>
  </si>
  <si>
    <r>
      <rPr>
        <rFont val="Lato, sans-serif"/>
        <b/>
        <color rgb="FF000000"/>
        <sz val="11.0"/>
        <u/>
      </rPr>
      <t>F</t>
    </r>
  </si>
  <si>
    <r>
      <rPr>
        <rFont val="Lato, sans-serif"/>
        <b/>
        <color rgb="FF000000"/>
        <sz val="11.0"/>
        <u/>
      </rPr>
      <t>FCX</t>
    </r>
  </si>
  <si>
    <r>
      <rPr>
        <rFont val="Lato, sans-serif"/>
        <b/>
        <color rgb="FF000000"/>
        <sz val="11.0"/>
        <u/>
      </rPr>
      <t>FCXD</t>
    </r>
  </si>
  <si>
    <r>
      <rPr>
        <rFont val="Lato, sans-serif"/>
        <b/>
        <color rgb="FF000000"/>
        <sz val="11.0"/>
        <u/>
      </rPr>
      <t>FDX</t>
    </r>
  </si>
  <si>
    <r>
      <rPr>
        <rFont val="Lato, sans-serif"/>
        <b/>
        <color rgb="FF000000"/>
        <sz val="11.0"/>
        <u/>
      </rPr>
      <t>FSLR</t>
    </r>
  </si>
  <si>
    <r>
      <rPr>
        <rFont val="Lato, sans-serif"/>
        <b/>
        <color rgb="FF000000"/>
        <sz val="11.0"/>
        <u/>
      </rPr>
      <t>FXI</t>
    </r>
  </si>
  <si>
    <r>
      <rPr>
        <rFont val="Lato, sans-serif"/>
        <b/>
        <color rgb="FF000000"/>
        <sz val="11.0"/>
        <u/>
      </rPr>
      <t>FXID</t>
    </r>
  </si>
  <si>
    <r>
      <rPr>
        <rFont val="Lato, sans-serif"/>
        <b/>
        <color rgb="FF000000"/>
        <sz val="11.0"/>
        <u/>
      </rPr>
      <t>GE</t>
    </r>
  </si>
  <si>
    <r>
      <rPr>
        <rFont val="Lato, sans-serif"/>
        <b/>
        <color rgb="FF000000"/>
        <sz val="11.0"/>
        <u/>
      </rPr>
      <t>GED</t>
    </r>
  </si>
  <si>
    <r>
      <rPr>
        <rFont val="Lato, sans-serif"/>
        <b/>
        <color rgb="FF000000"/>
        <sz val="11.0"/>
        <u/>
      </rPr>
      <t>GFI</t>
    </r>
  </si>
  <si>
    <r>
      <rPr>
        <rFont val="Lato, sans-serif"/>
        <b/>
        <color rgb="FF000000"/>
        <sz val="11.0"/>
        <u/>
      </rPr>
      <t>GGB</t>
    </r>
  </si>
  <si>
    <t>1:4</t>
  </si>
  <si>
    <r>
      <rPr>
        <rFont val="Lato, sans-serif"/>
        <b/>
        <color rgb="FF000000"/>
        <sz val="11.0"/>
        <u/>
      </rPr>
      <t>GGBD</t>
    </r>
  </si>
  <si>
    <r>
      <rPr>
        <rFont val="Lato, sans-serif"/>
        <b/>
        <color rgb="FF000000"/>
        <sz val="11.0"/>
        <u/>
      </rPr>
      <t>GILD</t>
    </r>
  </si>
  <si>
    <r>
      <rPr>
        <rFont val="Lato, sans-serif"/>
        <b/>
        <color rgb="FF000000"/>
        <sz val="11.0"/>
        <u/>
      </rPr>
      <t>GLD</t>
    </r>
  </si>
  <si>
    <t>50:1</t>
  </si>
  <si>
    <r>
      <rPr>
        <rFont val="Lato, sans-serif"/>
        <b/>
        <color rgb="FF000000"/>
        <sz val="11.0"/>
        <u/>
      </rPr>
      <t>GLDD</t>
    </r>
  </si>
  <si>
    <r>
      <rPr>
        <rFont val="Lato, sans-serif"/>
        <b/>
        <color rgb="FF000000"/>
        <sz val="11.0"/>
        <u/>
      </rPr>
      <t>GLOB</t>
    </r>
  </si>
  <si>
    <r>
      <rPr>
        <rFont val="Lato, sans-serif"/>
        <b/>
        <color rgb="FF000000"/>
        <sz val="11.0"/>
        <u/>
      </rPr>
      <t>GLW</t>
    </r>
  </si>
  <si>
    <r>
      <rPr>
        <rFont val="Lato, sans-serif"/>
        <b/>
        <color rgb="FF000000"/>
        <sz val="11.0"/>
        <u/>
      </rPr>
      <t>GM</t>
    </r>
  </si>
  <si>
    <r>
      <rPr>
        <rFont val="Lato, sans-serif"/>
        <b/>
        <color rgb="FF000000"/>
        <sz val="11.0"/>
        <u/>
      </rPr>
      <t>GOOGL</t>
    </r>
  </si>
  <si>
    <t>58:1</t>
  </si>
  <si>
    <r>
      <rPr>
        <rFont val="Lato, sans-serif"/>
        <b/>
        <color rgb="FF000000"/>
        <sz val="11.0"/>
        <u/>
      </rPr>
      <t>GPRK</t>
    </r>
  </si>
  <si>
    <r>
      <rPr>
        <rFont val="Lato, sans-serif"/>
        <b/>
        <color rgb="FF000000"/>
        <sz val="11.0"/>
        <u/>
      </rPr>
      <t>GS</t>
    </r>
  </si>
  <si>
    <r>
      <rPr>
        <rFont val="Lato, sans-serif"/>
        <b/>
        <color rgb="FF000000"/>
        <sz val="11.0"/>
        <u/>
      </rPr>
      <t>GSK</t>
    </r>
  </si>
  <si>
    <r>
      <rPr>
        <rFont val="Lato, sans-serif"/>
        <b/>
        <color rgb="FF000000"/>
        <sz val="11.0"/>
        <u/>
      </rPr>
      <t>GT</t>
    </r>
  </si>
  <si>
    <r>
      <rPr>
        <rFont val="Lato, sans-serif"/>
        <b/>
        <color rgb="FF000000"/>
        <sz val="11.0"/>
        <u/>
      </rPr>
      <t>HAL</t>
    </r>
  </si>
  <si>
    <r>
      <rPr>
        <rFont val="Lato, sans-serif"/>
        <b/>
        <color rgb="FF000000"/>
        <sz val="11.0"/>
        <u/>
      </rPr>
      <t>HAPV3</t>
    </r>
  </si>
  <si>
    <r>
      <rPr>
        <rFont val="Lato, sans-serif"/>
        <b/>
        <color rgb="FF000000"/>
        <sz val="11.0"/>
        <u/>
      </rPr>
      <t>HD</t>
    </r>
  </si>
  <si>
    <t>32:1</t>
  </si>
  <si>
    <r>
      <rPr>
        <rFont val="Lato, sans-serif"/>
        <b/>
        <color rgb="FF000000"/>
        <sz val="11.0"/>
        <u/>
      </rPr>
      <t>HDB</t>
    </r>
  </si>
  <si>
    <r>
      <rPr>
        <rFont val="Lato, sans-serif"/>
        <b/>
        <color rgb="FF000000"/>
        <sz val="11.0"/>
        <u/>
      </rPr>
      <t>HL</t>
    </r>
  </si>
  <si>
    <r>
      <rPr>
        <rFont val="Lato, sans-serif"/>
        <b/>
        <color rgb="FF000000"/>
        <sz val="11.0"/>
        <u/>
      </rPr>
      <t>HMY</t>
    </r>
  </si>
  <si>
    <r>
      <rPr>
        <rFont val="Lato, sans-serif"/>
        <b/>
        <color rgb="FF000000"/>
        <sz val="11.0"/>
        <u/>
      </rPr>
      <t>HMYD</t>
    </r>
  </si>
  <si>
    <r>
      <rPr>
        <rFont val="Lato, sans-serif"/>
        <b/>
        <color rgb="FF000000"/>
        <sz val="11.0"/>
        <u/>
      </rPr>
      <t>HOG</t>
    </r>
  </si>
  <si>
    <r>
      <rPr>
        <rFont val="Lato, sans-serif"/>
        <b/>
        <color rgb="FF000000"/>
        <sz val="11.0"/>
        <u/>
      </rPr>
      <t>HPQ</t>
    </r>
  </si>
  <si>
    <r>
      <rPr>
        <rFont val="Lato, sans-serif"/>
        <b/>
        <color rgb="FF000000"/>
        <sz val="11.0"/>
        <u/>
      </rPr>
      <t>HSBC</t>
    </r>
  </si>
  <si>
    <r>
      <rPr>
        <rFont val="Lato, sans-serif"/>
        <b/>
        <color rgb="FF000000"/>
        <sz val="11.0"/>
        <u/>
      </rPr>
      <t>HSY</t>
    </r>
  </si>
  <si>
    <t>21:1</t>
  </si>
  <si>
    <r>
      <rPr>
        <rFont val="Lato, sans-serif"/>
        <b/>
        <color rgb="FF000000"/>
        <sz val="11.0"/>
        <u/>
      </rPr>
      <t>HUT</t>
    </r>
  </si>
  <si>
    <r>
      <rPr>
        <rFont val="Lato, sans-serif"/>
        <b/>
        <color rgb="FF000000"/>
        <sz val="11.0"/>
        <u/>
      </rPr>
      <t>HUTD</t>
    </r>
  </si>
  <si>
    <r>
      <rPr>
        <rFont val="Lato, sans-serif"/>
        <b/>
        <color rgb="FF000000"/>
        <sz val="11.0"/>
        <u/>
      </rPr>
      <t>HWM</t>
    </r>
  </si>
  <si>
    <r>
      <rPr>
        <rFont val="Lato, sans-serif"/>
        <b/>
        <color rgb="FF000000"/>
        <sz val="11.0"/>
        <u/>
      </rPr>
      <t>IBB</t>
    </r>
  </si>
  <si>
    <r>
      <rPr>
        <rFont val="Lato, sans-serif"/>
        <b/>
        <color rgb="FF000000"/>
        <sz val="11.0"/>
        <u/>
      </rPr>
      <t>IBIT</t>
    </r>
  </si>
  <si>
    <r>
      <rPr>
        <rFont val="Lato, sans-serif"/>
        <b/>
        <color rgb="FF000000"/>
        <sz val="11.0"/>
        <u/>
      </rPr>
      <t>IBM</t>
    </r>
  </si>
  <si>
    <r>
      <rPr>
        <rFont val="Lato, sans-serif"/>
        <b/>
        <color rgb="FF000000"/>
        <sz val="11.0"/>
        <u/>
      </rPr>
      <t>IBN</t>
    </r>
  </si>
  <si>
    <r>
      <rPr>
        <rFont val="Lato, sans-serif"/>
        <b/>
        <color rgb="FF000000"/>
        <sz val="11.0"/>
        <u/>
      </rPr>
      <t>IEUR</t>
    </r>
  </si>
  <si>
    <r>
      <rPr>
        <rFont val="Lato, sans-serif"/>
        <b/>
        <color rgb="FF000000"/>
        <sz val="11.0"/>
        <u/>
      </rPr>
      <t>INFY</t>
    </r>
  </si>
  <si>
    <r>
      <rPr>
        <rFont val="Lato, sans-serif"/>
        <b/>
        <color rgb="FF000000"/>
        <sz val="11.0"/>
        <u/>
      </rPr>
      <t>INTC</t>
    </r>
  </si>
  <si>
    <r>
      <rPr>
        <rFont val="Lato, sans-serif"/>
        <b/>
        <color rgb="FF000000"/>
        <sz val="11.0"/>
        <u/>
      </rPr>
      <t>ISRG</t>
    </r>
  </si>
  <si>
    <t>90:1</t>
  </si>
  <si>
    <r>
      <rPr>
        <rFont val="Lato, sans-serif"/>
        <b/>
        <color rgb="FF000000"/>
        <sz val="11.0"/>
        <u/>
      </rPr>
      <t>ITUB</t>
    </r>
  </si>
  <si>
    <r>
      <rPr>
        <rFont val="Lato, sans-serif"/>
        <b/>
        <color rgb="FF000000"/>
        <sz val="11.0"/>
        <u/>
      </rPr>
      <t>ITUB3</t>
    </r>
  </si>
  <si>
    <r>
      <rPr>
        <rFont val="Lato, sans-serif"/>
        <b/>
        <color rgb="FF000000"/>
        <sz val="11.0"/>
        <u/>
      </rPr>
      <t>IVE</t>
    </r>
  </si>
  <si>
    <r>
      <rPr>
        <rFont val="Lato, sans-serif"/>
        <b/>
        <color rgb="FF000000"/>
        <sz val="11.0"/>
        <u/>
      </rPr>
      <t>IVED</t>
    </r>
  </si>
  <si>
    <r>
      <rPr>
        <rFont val="Lato, sans-serif"/>
        <b/>
        <color rgb="FF000000"/>
        <sz val="11.0"/>
        <u/>
      </rPr>
      <t>IVW</t>
    </r>
  </si>
  <si>
    <r>
      <rPr>
        <rFont val="Lato, sans-serif"/>
        <b/>
        <color rgb="FF000000"/>
        <sz val="11.0"/>
        <u/>
      </rPr>
      <t>IVWD</t>
    </r>
  </si>
  <si>
    <r>
      <rPr>
        <rFont val="Lato, sans-serif"/>
        <b/>
        <color rgb="FF000000"/>
        <sz val="11.0"/>
        <u/>
      </rPr>
      <t>IWM</t>
    </r>
  </si>
  <si>
    <r>
      <rPr>
        <rFont val="Lato, sans-serif"/>
        <b/>
        <color rgb="FF000000"/>
        <sz val="11.0"/>
        <u/>
      </rPr>
      <t>IWMD</t>
    </r>
  </si>
  <si>
    <r>
      <rPr>
        <rFont val="Lato, sans-serif"/>
        <b/>
        <color rgb="FF000000"/>
        <sz val="11.0"/>
        <u/>
      </rPr>
      <t>JD</t>
    </r>
  </si>
  <si>
    <r>
      <rPr>
        <rFont val="Lato, sans-serif"/>
        <b/>
        <color rgb="FF000000"/>
        <sz val="11.0"/>
        <u/>
      </rPr>
      <t>JDD</t>
    </r>
  </si>
  <si>
    <r>
      <rPr>
        <rFont val="Lato, sans-serif"/>
        <b/>
        <color rgb="FF000000"/>
        <sz val="11.0"/>
        <u/>
      </rPr>
      <t>JMIA</t>
    </r>
  </si>
  <si>
    <r>
      <rPr>
        <rFont val="Lato, sans-serif"/>
        <b/>
        <color rgb="FF000000"/>
        <sz val="11.0"/>
        <u/>
      </rPr>
      <t>JNJ</t>
    </r>
  </si>
  <si>
    <r>
      <rPr>
        <rFont val="Lato, sans-serif"/>
        <b/>
        <color rgb="FF000000"/>
        <sz val="11.0"/>
        <u/>
      </rPr>
      <t>JNJD</t>
    </r>
  </si>
  <si>
    <r>
      <rPr>
        <rFont val="Lato, sans-serif"/>
        <b/>
        <color rgb="FF000000"/>
        <sz val="11.0"/>
        <u/>
      </rPr>
      <t>JPM</t>
    </r>
  </si>
  <si>
    <r>
      <rPr>
        <rFont val="Lato, sans-serif"/>
        <b/>
        <color rgb="FF000000"/>
        <sz val="11.0"/>
        <u/>
      </rPr>
      <t>JPMD</t>
    </r>
  </si>
  <si>
    <r>
      <rPr>
        <rFont val="Lato, sans-serif"/>
        <b/>
        <color rgb="FF000000"/>
        <sz val="11.0"/>
        <u/>
      </rPr>
      <t>KEP</t>
    </r>
  </si>
  <si>
    <r>
      <rPr>
        <rFont val="Lato, sans-serif"/>
        <b/>
        <color rgb="FF000000"/>
        <sz val="11.0"/>
        <u/>
      </rPr>
      <t>KGC</t>
    </r>
  </si>
  <si>
    <r>
      <rPr>
        <rFont val="Lato, sans-serif"/>
        <b/>
        <color rgb="FF000000"/>
        <sz val="11.0"/>
        <u/>
      </rPr>
      <t>KMB</t>
    </r>
  </si>
  <si>
    <r>
      <rPr>
        <rFont val="Lato, sans-serif"/>
        <b/>
        <color rgb="FF000000"/>
        <sz val="11.0"/>
        <u/>
      </rPr>
      <t>KO</t>
    </r>
  </si>
  <si>
    <r>
      <rPr>
        <rFont val="Lato, sans-serif"/>
        <b/>
        <color rgb="FF000000"/>
        <sz val="11.0"/>
        <u/>
      </rPr>
      <t>KOD</t>
    </r>
  </si>
  <si>
    <r>
      <rPr>
        <rFont val="Lato, sans-serif"/>
        <b/>
        <color rgb="FF000000"/>
        <sz val="11.0"/>
        <u/>
      </rPr>
      <t>KOFM</t>
    </r>
  </si>
  <si>
    <r>
      <rPr>
        <rFont val="Lato, sans-serif"/>
        <b/>
        <color rgb="FF000000"/>
        <sz val="11.0"/>
        <u/>
      </rPr>
      <t>LAC</t>
    </r>
  </si>
  <si>
    <r>
      <rPr>
        <rFont val="Lato, sans-serif"/>
        <b/>
        <color rgb="FF000000"/>
        <sz val="11.0"/>
        <u/>
      </rPr>
      <t>LACD</t>
    </r>
  </si>
  <si>
    <r>
      <rPr>
        <rFont val="Lato, sans-serif"/>
        <b/>
        <color rgb="FF000000"/>
        <sz val="11.0"/>
        <u/>
      </rPr>
      <t>LAR</t>
    </r>
  </si>
  <si>
    <r>
      <rPr>
        <rFont val="Lato, sans-serif"/>
        <b/>
        <color rgb="FF000000"/>
        <sz val="11.0"/>
        <u/>
      </rPr>
      <t>LARD</t>
    </r>
  </si>
  <si>
    <r>
      <rPr>
        <rFont val="Lato, sans-serif"/>
        <b/>
        <color rgb="FF000000"/>
        <sz val="11.0"/>
        <u/>
      </rPr>
      <t>LLY</t>
    </r>
  </si>
  <si>
    <t>56:1</t>
  </si>
  <si>
    <r>
      <rPr>
        <rFont val="Lato, sans-serif"/>
        <b/>
        <color rgb="FF000000"/>
        <sz val="11.0"/>
        <u/>
      </rPr>
      <t>LLYD</t>
    </r>
  </si>
  <si>
    <r>
      <rPr>
        <rFont val="Lato, sans-serif"/>
        <b/>
        <color rgb="FF000000"/>
        <sz val="11.0"/>
        <u/>
      </rPr>
      <t>LMT</t>
    </r>
  </si>
  <si>
    <r>
      <rPr>
        <rFont val="Lato, sans-serif"/>
        <b/>
        <color rgb="FF000000"/>
        <sz val="11.0"/>
        <u/>
      </rPr>
      <t>LND</t>
    </r>
  </si>
  <si>
    <r>
      <rPr>
        <rFont val="Lato, sans-serif"/>
        <b/>
        <color rgb="FF000000"/>
        <sz val="11.0"/>
        <u/>
      </rPr>
      <t>LRCX</t>
    </r>
  </si>
  <si>
    <r>
      <rPr>
        <rFont val="Lato, sans-serif"/>
        <b/>
        <color rgb="FF000000"/>
        <sz val="11.0"/>
        <u/>
      </rPr>
      <t>LREN3</t>
    </r>
  </si>
  <si>
    <r>
      <rPr>
        <rFont val="Lato, sans-serif"/>
        <b/>
        <color rgb="FF000000"/>
        <sz val="11.0"/>
        <u/>
      </rPr>
      <t>LVS</t>
    </r>
  </si>
  <si>
    <r>
      <rPr>
        <rFont val="Lato, sans-serif"/>
        <b/>
        <color rgb="FF000000"/>
        <sz val="11.0"/>
        <u/>
      </rPr>
      <t>LYG</t>
    </r>
  </si>
  <si>
    <r>
      <rPr>
        <rFont val="Lato, sans-serif"/>
        <b/>
        <color rgb="FF000000"/>
        <sz val="11.0"/>
        <u/>
      </rPr>
      <t>MA</t>
    </r>
  </si>
  <si>
    <t>33:1</t>
  </si>
  <si>
    <r>
      <rPr>
        <rFont val="Lato, sans-serif"/>
        <b/>
        <color rgb="FF000000"/>
        <sz val="11.0"/>
        <u/>
      </rPr>
      <t>MAD</t>
    </r>
  </si>
  <si>
    <r>
      <rPr>
        <rFont val="Lato, sans-serif"/>
        <b/>
        <color rgb="FF000000"/>
        <sz val="11.0"/>
        <u/>
      </rPr>
      <t>MCD</t>
    </r>
  </si>
  <si>
    <r>
      <rPr>
        <rFont val="Lato, sans-serif"/>
        <b/>
        <color rgb="FF000000"/>
        <sz val="11.0"/>
        <u/>
      </rPr>
      <t>MCDD</t>
    </r>
  </si>
  <si>
    <r>
      <rPr>
        <rFont val="Lato, sans-serif"/>
        <b/>
        <color rgb="FF000000"/>
        <sz val="11.0"/>
        <u/>
      </rPr>
      <t>MDLZ</t>
    </r>
  </si>
  <si>
    <r>
      <rPr>
        <rFont val="Lato, sans-serif"/>
        <b/>
        <color rgb="FF000000"/>
        <sz val="11.0"/>
        <u/>
      </rPr>
      <t>MDT</t>
    </r>
  </si>
  <si>
    <r>
      <rPr>
        <rFont val="Lato, sans-serif"/>
        <b/>
        <color rgb="FF000000"/>
        <sz val="11.0"/>
        <u/>
      </rPr>
      <t>MELI</t>
    </r>
  </si>
  <si>
    <t>120:1</t>
  </si>
  <si>
    <r>
      <rPr>
        <rFont val="Lato, sans-serif"/>
        <b/>
        <color rgb="FF000000"/>
        <sz val="11.0"/>
        <u/>
      </rPr>
      <t>META</t>
    </r>
  </si>
  <si>
    <r>
      <rPr>
        <rFont val="Lato, sans-serif"/>
        <b/>
        <color rgb="FF000000"/>
        <sz val="11.0"/>
        <u/>
      </rPr>
      <t>MMM</t>
    </r>
  </si>
  <si>
    <r>
      <rPr>
        <rFont val="Lato, sans-serif"/>
        <b/>
        <color rgb="FF000000"/>
        <sz val="11.0"/>
        <u/>
      </rPr>
      <t>MMMD</t>
    </r>
  </si>
  <si>
    <r>
      <rPr>
        <rFont val="Lato, sans-serif"/>
        <b/>
        <color rgb="FF000000"/>
        <sz val="11.0"/>
        <u/>
      </rPr>
      <t>MO</t>
    </r>
  </si>
  <si>
    <r>
      <rPr>
        <rFont val="Lato, sans-serif"/>
        <b/>
        <color rgb="FF000000"/>
        <sz val="11.0"/>
        <u/>
      </rPr>
      <t>MOD</t>
    </r>
  </si>
  <si>
    <r>
      <rPr>
        <rFont val="Lato, sans-serif"/>
        <b/>
        <color rgb="FF000000"/>
        <sz val="11.0"/>
        <u/>
      </rPr>
      <t>MOS</t>
    </r>
  </si>
  <si>
    <r>
      <rPr>
        <rFont val="Lato, sans-serif"/>
        <b/>
        <color rgb="FF000000"/>
        <sz val="11.0"/>
        <u/>
      </rPr>
      <t>MRK</t>
    </r>
  </si>
  <si>
    <r>
      <rPr>
        <rFont val="Lato, sans-serif"/>
        <b/>
        <color rgb="FF000000"/>
        <sz val="11.0"/>
        <u/>
      </rPr>
      <t>MRKD</t>
    </r>
  </si>
  <si>
    <r>
      <rPr>
        <rFont val="Lato, sans-serif"/>
        <b/>
        <color rgb="FF000000"/>
        <sz val="11.0"/>
        <u/>
      </rPr>
      <t>MRNA</t>
    </r>
  </si>
  <si>
    <t>19:1</t>
  </si>
  <si>
    <r>
      <rPr>
        <rFont val="Lato, sans-serif"/>
        <b/>
        <color rgb="FF000000"/>
        <sz val="11.0"/>
        <u/>
      </rPr>
      <t>MRVL</t>
    </r>
  </si>
  <si>
    <r>
      <rPr>
        <rFont val="Lato, sans-serif"/>
        <b/>
        <color rgb="FF000000"/>
        <sz val="11.0"/>
        <u/>
      </rPr>
      <t>MSFT</t>
    </r>
  </si>
  <si>
    <r>
      <rPr>
        <rFont val="Lato, sans-serif"/>
        <b/>
        <color rgb="FF000000"/>
        <sz val="11.0"/>
        <u/>
      </rPr>
      <t>MSI</t>
    </r>
  </si>
  <si>
    <r>
      <rPr>
        <rFont val="Lato, sans-serif"/>
        <b/>
        <color rgb="FF000000"/>
        <sz val="11.0"/>
        <u/>
      </rPr>
      <t>MSTR</t>
    </r>
  </si>
  <si>
    <r>
      <rPr>
        <rFont val="Lato, sans-serif"/>
        <b/>
        <color rgb="FF000000"/>
        <sz val="11.0"/>
        <u/>
      </rPr>
      <t>MU</t>
    </r>
  </si>
  <si>
    <r>
      <rPr>
        <rFont val="Lato, sans-serif"/>
        <b/>
        <color rgb="FF000000"/>
        <sz val="11.0"/>
        <u/>
      </rPr>
      <t>MUD</t>
    </r>
  </si>
  <si>
    <r>
      <rPr>
        <rFont val="Lato, sans-serif"/>
        <b/>
        <color rgb="FF000000"/>
        <sz val="11.0"/>
        <u/>
      </rPr>
      <t>MUFG</t>
    </r>
  </si>
  <si>
    <r>
      <rPr>
        <rFont val="Lato, sans-serif"/>
        <b/>
        <color rgb="FF000000"/>
        <sz val="11.0"/>
        <u/>
      </rPr>
      <t>MUX</t>
    </r>
  </si>
  <si>
    <r>
      <rPr>
        <rFont val="Lato, sans-serif"/>
        <b/>
        <color rgb="FF000000"/>
        <sz val="11.0"/>
        <u/>
      </rPr>
      <t>MUXD</t>
    </r>
  </si>
  <si>
    <r>
      <rPr>
        <rFont val="Lato, sans-serif"/>
        <b/>
        <color rgb="FF000000"/>
        <sz val="11.0"/>
        <u/>
      </rPr>
      <t>NEM</t>
    </r>
  </si>
  <si>
    <r>
      <rPr>
        <rFont val="Lato, sans-serif"/>
        <b/>
        <color rgb="FF000000"/>
        <sz val="11.0"/>
        <u/>
      </rPr>
      <t>NEMD</t>
    </r>
  </si>
  <si>
    <r>
      <rPr>
        <rFont val="Lato, sans-serif"/>
        <b/>
        <color rgb="FF000000"/>
        <sz val="11.0"/>
        <u/>
      </rPr>
      <t>NFLX</t>
    </r>
  </si>
  <si>
    <r>
      <rPr>
        <rFont val="Lato, sans-serif"/>
        <b/>
        <color rgb="FF000000"/>
        <sz val="11.0"/>
        <u/>
      </rPr>
      <t>NG</t>
    </r>
  </si>
  <si>
    <r>
      <rPr>
        <rFont val="Lato, sans-serif"/>
        <b/>
        <color rgb="FF000000"/>
        <sz val="11.0"/>
        <u/>
      </rPr>
      <t>NIO</t>
    </r>
  </si>
  <si>
    <r>
      <rPr>
        <rFont val="Lato, sans-serif"/>
        <b/>
        <color rgb="FF000000"/>
        <sz val="11.0"/>
        <u/>
      </rPr>
      <t>NIOD</t>
    </r>
  </si>
  <si>
    <r>
      <rPr>
        <rFont val="Lato, sans-serif"/>
        <b/>
        <color rgb="FF000000"/>
        <sz val="11.0"/>
        <u/>
      </rPr>
      <t>NKE</t>
    </r>
  </si>
  <si>
    <r>
      <rPr>
        <rFont val="Lato, sans-serif"/>
        <b/>
        <color rgb="FF000000"/>
        <sz val="11.0"/>
        <u/>
      </rPr>
      <t>NKED</t>
    </r>
  </si>
  <si>
    <r>
      <rPr>
        <rFont val="Lato, sans-serif"/>
        <b/>
        <color rgb="FF000000"/>
        <sz val="11.0"/>
        <u/>
      </rPr>
      <t>NOKA</t>
    </r>
  </si>
  <si>
    <r>
      <rPr>
        <rFont val="Lato, sans-serif"/>
        <b/>
        <color rgb="FF000000"/>
        <sz val="11.0"/>
        <u/>
      </rPr>
      <t>NTES</t>
    </r>
  </si>
  <si>
    <r>
      <rPr>
        <rFont val="Lato, sans-serif"/>
        <b/>
        <color rgb="FF000000"/>
        <sz val="11.0"/>
        <u/>
      </rPr>
      <t>NU</t>
    </r>
  </si>
  <si>
    <r>
      <rPr>
        <rFont val="Lato, sans-serif"/>
        <b/>
        <color rgb="FF000000"/>
        <sz val="11.0"/>
        <u/>
      </rPr>
      <t>NUD</t>
    </r>
  </si>
  <si>
    <r>
      <rPr>
        <rFont val="Lato, sans-serif"/>
        <b/>
        <color rgb="FF000000"/>
        <sz val="11.0"/>
        <u/>
      </rPr>
      <t>NVDA</t>
    </r>
  </si>
  <si>
    <r>
      <rPr>
        <rFont val="Lato, sans-serif"/>
        <b/>
        <color rgb="FF000000"/>
        <sz val="11.0"/>
        <u/>
      </rPr>
      <t>NXE</t>
    </r>
  </si>
  <si>
    <r>
      <rPr>
        <rFont val="Lato, sans-serif"/>
        <b/>
        <color rgb="FF000000"/>
        <sz val="11.0"/>
        <u/>
      </rPr>
      <t>ORCL</t>
    </r>
  </si>
  <si>
    <r>
      <rPr>
        <rFont val="Lato, sans-serif"/>
        <b/>
        <color rgb="FF000000"/>
        <sz val="11.0"/>
        <u/>
      </rPr>
      <t>ORLY</t>
    </r>
  </si>
  <si>
    <t>222:1</t>
  </si>
  <si>
    <r>
      <rPr>
        <rFont val="Lato, sans-serif"/>
        <b/>
        <color rgb="FF000000"/>
        <sz val="11.0"/>
        <u/>
      </rPr>
      <t>OXY</t>
    </r>
  </si>
  <si>
    <r>
      <rPr>
        <rFont val="Lato, sans-serif"/>
        <b/>
        <color rgb="FF000000"/>
        <sz val="11.0"/>
        <u/>
      </rPr>
      <t>OXYD</t>
    </r>
  </si>
  <si>
    <r>
      <rPr>
        <rFont val="Lato, sans-serif"/>
        <b/>
        <color rgb="FF000000"/>
        <sz val="11.0"/>
        <u/>
      </rPr>
      <t>PAAS</t>
    </r>
  </si>
  <si>
    <r>
      <rPr>
        <rFont val="Lato, sans-serif"/>
        <b/>
        <color rgb="FF000000"/>
        <sz val="11.0"/>
        <u/>
      </rPr>
      <t>PAGS</t>
    </r>
  </si>
  <si>
    <r>
      <rPr>
        <rFont val="Lato, sans-serif"/>
        <b/>
        <color rgb="FF000000"/>
        <sz val="11.0"/>
        <u/>
      </rPr>
      <t>PANW</t>
    </r>
  </si>
  <si>
    <r>
      <rPr>
        <rFont val="Lato, sans-serif"/>
        <b/>
        <color rgb="FF000000"/>
        <sz val="11.0"/>
        <u/>
      </rPr>
      <t>PBR</t>
    </r>
  </si>
  <si>
    <r>
      <rPr>
        <rFont val="Lato, sans-serif"/>
        <b/>
        <color rgb="FF000000"/>
        <sz val="11.0"/>
        <u/>
      </rPr>
      <t>PBRD</t>
    </r>
  </si>
  <si>
    <r>
      <rPr>
        <rFont val="Lato, sans-serif"/>
        <b/>
        <color rgb="FF000000"/>
        <sz val="11.0"/>
        <u/>
      </rPr>
      <t>PEP</t>
    </r>
  </si>
  <si>
    <r>
      <rPr>
        <rFont val="Lato, sans-serif"/>
        <b/>
        <color rgb="FF000000"/>
        <sz val="11.0"/>
        <u/>
      </rPr>
      <t>PEPD</t>
    </r>
  </si>
  <si>
    <r>
      <rPr>
        <rFont val="Lato, sans-serif"/>
        <b/>
        <color rgb="FF000000"/>
        <sz val="11.0"/>
        <u/>
      </rPr>
      <t>PETR3</t>
    </r>
  </si>
  <si>
    <r>
      <rPr>
        <rFont val="Lato, sans-serif"/>
        <b/>
        <color rgb="FF000000"/>
        <sz val="11.0"/>
        <u/>
      </rPr>
      <t>PFE</t>
    </r>
  </si>
  <si>
    <r>
      <rPr>
        <rFont val="Lato, sans-serif"/>
        <b/>
        <color rgb="FF000000"/>
        <sz val="11.0"/>
        <u/>
      </rPr>
      <t>PFED</t>
    </r>
  </si>
  <si>
    <r>
      <rPr>
        <rFont val="Lato, sans-serif"/>
        <b/>
        <color rgb="FF000000"/>
        <sz val="11.0"/>
        <u/>
      </rPr>
      <t>PG</t>
    </r>
  </si>
  <si>
    <r>
      <rPr>
        <rFont val="Lato, sans-serif"/>
        <b/>
        <color rgb="FF000000"/>
        <sz val="11.0"/>
        <u/>
      </rPr>
      <t>PGD</t>
    </r>
  </si>
  <si>
    <r>
      <rPr>
        <rFont val="Lato, sans-serif"/>
        <b/>
        <color rgb="FF000000"/>
        <sz val="11.0"/>
        <u/>
      </rPr>
      <t>PINS</t>
    </r>
  </si>
  <si>
    <t>7:1</t>
  </si>
  <si>
    <r>
      <rPr>
        <rFont val="Lato, sans-serif"/>
        <b/>
        <color rgb="FF000000"/>
        <sz val="11.0"/>
        <u/>
      </rPr>
      <t>PKS</t>
    </r>
  </si>
  <si>
    <r>
      <rPr>
        <rFont val="Lato, sans-serif"/>
        <b/>
        <color rgb="FF000000"/>
        <sz val="11.0"/>
        <u/>
      </rPr>
      <t>PLTR</t>
    </r>
  </si>
  <si>
    <r>
      <rPr>
        <rFont val="Lato, sans-serif"/>
        <b/>
        <color rgb="FF000000"/>
        <sz val="11.0"/>
        <u/>
      </rPr>
      <t>PM</t>
    </r>
  </si>
  <si>
    <r>
      <rPr>
        <rFont val="Lato, sans-serif"/>
        <b/>
        <color rgb="FF000000"/>
        <sz val="11.0"/>
        <u/>
      </rPr>
      <t>PRIO3</t>
    </r>
  </si>
  <si>
    <r>
      <rPr>
        <rFont val="Lato, sans-serif"/>
        <b/>
        <color rgb="FF000000"/>
        <sz val="11.0"/>
        <u/>
      </rPr>
      <t>PSX</t>
    </r>
  </si>
  <si>
    <r>
      <rPr>
        <rFont val="Lato, sans-serif"/>
        <b/>
        <color rgb="FF000000"/>
        <sz val="11.0"/>
        <u/>
      </rPr>
      <t>PYPL</t>
    </r>
  </si>
  <si>
    <r>
      <rPr>
        <rFont val="Lato, sans-serif"/>
        <b/>
        <color rgb="FF000000"/>
        <sz val="11.0"/>
        <u/>
      </rPr>
      <t>QCOM</t>
    </r>
  </si>
  <si>
    <r>
      <rPr>
        <rFont val="Lato, sans-serif"/>
        <b/>
        <color rgb="FF000000"/>
        <sz val="11.0"/>
        <u/>
      </rPr>
      <t>QQQ</t>
    </r>
  </si>
  <si>
    <r>
      <rPr>
        <rFont val="Lato, sans-serif"/>
        <b/>
        <color rgb="FF000000"/>
        <sz val="11.0"/>
        <u/>
      </rPr>
      <t>QQQD</t>
    </r>
  </si>
  <si>
    <r>
      <rPr>
        <rFont val="Lato, sans-serif"/>
        <b/>
        <color rgb="FF000000"/>
        <sz val="11.0"/>
        <u/>
      </rPr>
      <t>RACE</t>
    </r>
  </si>
  <si>
    <t>83:1</t>
  </si>
  <si>
    <r>
      <rPr>
        <rFont val="Lato, sans-serif"/>
        <b/>
        <color rgb="FF000000"/>
        <sz val="11.0"/>
        <u/>
      </rPr>
      <t>RBLX</t>
    </r>
  </si>
  <si>
    <r>
      <rPr>
        <rFont val="Lato, sans-serif"/>
        <b/>
        <color rgb="FF000000"/>
        <sz val="11.0"/>
        <u/>
      </rPr>
      <t>RENT3</t>
    </r>
  </si>
  <si>
    <r>
      <rPr>
        <rFont val="Lato, sans-serif"/>
        <b/>
        <color rgb="FF000000"/>
        <sz val="11.0"/>
        <u/>
      </rPr>
      <t>RIO</t>
    </r>
  </si>
  <si>
    <r>
      <rPr>
        <rFont val="Lato, sans-serif"/>
        <b/>
        <color rgb="FF000000"/>
        <sz val="11.0"/>
        <u/>
      </rPr>
      <t>RIOD</t>
    </r>
  </si>
  <si>
    <r>
      <rPr>
        <rFont val="Lato, sans-serif"/>
        <b/>
        <color rgb="FF000000"/>
        <sz val="11.0"/>
        <u/>
      </rPr>
      <t>RIOT</t>
    </r>
  </si>
  <si>
    <r>
      <rPr>
        <rFont val="Lato, sans-serif"/>
        <b/>
        <color rgb="FF000000"/>
        <sz val="11.0"/>
        <u/>
      </rPr>
      <t>ROKU</t>
    </r>
  </si>
  <si>
    <r>
      <rPr>
        <rFont val="Lato, sans-serif"/>
        <b/>
        <color rgb="FF000000"/>
        <sz val="11.0"/>
        <u/>
      </rPr>
      <t>ROST</t>
    </r>
  </si>
  <si>
    <r>
      <rPr>
        <rFont val="Lato, sans-serif"/>
        <b/>
        <color rgb="FF000000"/>
        <sz val="11.0"/>
        <u/>
      </rPr>
      <t>RTX</t>
    </r>
  </si>
  <si>
    <r>
      <rPr>
        <rFont val="Lato, sans-serif"/>
        <b/>
        <color rgb="FF000000"/>
        <sz val="11.0"/>
        <u/>
      </rPr>
      <t>SAN</t>
    </r>
  </si>
  <si>
    <r>
      <rPr>
        <rFont val="Lato, sans-serif"/>
        <b/>
        <color rgb="FF000000"/>
        <sz val="11.0"/>
        <u/>
      </rPr>
      <t>SAP</t>
    </r>
  </si>
  <si>
    <r>
      <rPr>
        <rFont val="Lato, sans-serif"/>
        <b/>
        <color rgb="FF000000"/>
        <sz val="11.0"/>
        <u/>
      </rPr>
      <t>SAPD</t>
    </r>
  </si>
  <si>
    <r>
      <rPr>
        <rFont val="Lato, sans-serif"/>
        <b/>
        <color rgb="FF000000"/>
        <sz val="11.0"/>
        <u/>
      </rPr>
      <t>SATL</t>
    </r>
  </si>
  <si>
    <r>
      <rPr>
        <rFont val="Lato, sans-serif"/>
        <b/>
        <color rgb="FF000000"/>
        <sz val="11.0"/>
        <u/>
      </rPr>
      <t>SBS</t>
    </r>
  </si>
  <si>
    <r>
      <rPr>
        <rFont val="Lato, sans-serif"/>
        <b/>
        <color rgb="FF000000"/>
        <sz val="11.0"/>
        <u/>
      </rPr>
      <t>SBUX</t>
    </r>
  </si>
  <si>
    <r>
      <rPr>
        <rFont val="Lato, sans-serif"/>
        <b/>
        <color rgb="FF000000"/>
        <sz val="11.0"/>
        <u/>
      </rPr>
      <t>SCCO</t>
    </r>
  </si>
  <si>
    <r>
      <rPr>
        <rFont val="Lato, sans-serif"/>
        <b/>
        <color rgb="FF000000"/>
        <sz val="11.0"/>
        <u/>
      </rPr>
      <t>SDA</t>
    </r>
  </si>
  <si>
    <r>
      <rPr>
        <rFont val="Lato, sans-serif"/>
        <b/>
        <color rgb="FF000000"/>
        <sz val="11.0"/>
        <u/>
      </rPr>
      <t>SE</t>
    </r>
  </si>
  <si>
    <r>
      <rPr>
        <rFont val="Lato, sans-serif"/>
        <b/>
        <color rgb="FF000000"/>
        <sz val="11.0"/>
        <u/>
      </rPr>
      <t>SED</t>
    </r>
  </si>
  <si>
    <r>
      <rPr>
        <rFont val="Lato, sans-serif"/>
        <b/>
        <color rgb="FF000000"/>
        <sz val="11.0"/>
        <u/>
      </rPr>
      <t>SH</t>
    </r>
  </si>
  <si>
    <r>
      <rPr>
        <rFont val="Lato, sans-serif"/>
        <b/>
        <color rgb="FF000000"/>
        <sz val="11.0"/>
        <u/>
      </rPr>
      <t>SHD</t>
    </r>
  </si>
  <si>
    <r>
      <rPr>
        <rFont val="Lato, sans-serif"/>
        <b/>
        <color rgb="FF000000"/>
        <sz val="11.0"/>
        <u/>
      </rPr>
      <t>SHEL</t>
    </r>
  </si>
  <si>
    <r>
      <rPr>
        <rFont val="Lato, sans-serif"/>
        <b/>
        <color rgb="FF000000"/>
        <sz val="11.0"/>
        <u/>
      </rPr>
      <t>SHOP</t>
    </r>
  </si>
  <si>
    <t>107:1</t>
  </si>
  <si>
    <r>
      <rPr>
        <rFont val="Lato, sans-serif"/>
        <b/>
        <color rgb="FF000000"/>
        <sz val="11.0"/>
        <u/>
      </rPr>
      <t>SID</t>
    </r>
  </si>
  <si>
    <t>1:8</t>
  </si>
  <si>
    <r>
      <rPr>
        <rFont val="Lato, sans-serif"/>
        <b/>
        <color rgb="FF000000"/>
        <sz val="11.0"/>
        <u/>
      </rPr>
      <t>SLB</t>
    </r>
  </si>
  <si>
    <r>
      <rPr>
        <rFont val="Lato, sans-serif"/>
        <b/>
        <color rgb="FF000000"/>
        <sz val="11.0"/>
        <u/>
      </rPr>
      <t>SNAP</t>
    </r>
  </si>
  <si>
    <r>
      <rPr>
        <rFont val="Lato, sans-serif"/>
        <b/>
        <color rgb="FF000000"/>
        <sz val="11.0"/>
        <u/>
      </rPr>
      <t>SNOW</t>
    </r>
  </si>
  <si>
    <r>
      <rPr>
        <rFont val="Lato, sans-serif"/>
        <b/>
        <color rgb="FF000000"/>
        <sz val="11.0"/>
        <u/>
      </rPr>
      <t>SONY</t>
    </r>
  </si>
  <si>
    <r>
      <rPr>
        <rFont val="Lato, sans-serif"/>
        <b/>
        <color rgb="FF000000"/>
        <sz val="11.0"/>
        <u/>
      </rPr>
      <t>SPCE</t>
    </r>
  </si>
  <si>
    <r>
      <rPr>
        <rFont val="Lato, sans-serif"/>
        <b/>
        <color rgb="FF000000"/>
        <sz val="11.0"/>
        <u/>
      </rPr>
      <t>SPGI</t>
    </r>
  </si>
  <si>
    <t>45:1</t>
  </si>
  <si>
    <r>
      <rPr>
        <rFont val="Lato, sans-serif"/>
        <b/>
        <color rgb="FF000000"/>
        <sz val="11.0"/>
        <u/>
      </rPr>
      <t>SPOT</t>
    </r>
  </si>
  <si>
    <t>28:1</t>
  </si>
  <si>
    <r>
      <rPr>
        <rFont val="Lato, sans-serif"/>
        <b/>
        <color rgb="FF000000"/>
        <sz val="11.0"/>
        <u/>
      </rPr>
      <t>SPY</t>
    </r>
  </si>
  <si>
    <r>
      <rPr>
        <rFont val="Lato, sans-serif"/>
        <b/>
        <color rgb="FF000000"/>
        <sz val="11.0"/>
        <u/>
      </rPr>
      <t>SPYD</t>
    </r>
  </si>
  <si>
    <r>
      <rPr>
        <rFont val="Lato, sans-serif"/>
        <b/>
        <color rgb="FF000000"/>
        <sz val="11.0"/>
        <u/>
      </rPr>
      <t>STLA</t>
    </r>
  </si>
  <si>
    <r>
      <rPr>
        <rFont val="Lato, sans-serif"/>
        <b/>
        <color rgb="FF000000"/>
        <sz val="11.0"/>
        <u/>
      </rPr>
      <t>STNE</t>
    </r>
  </si>
  <si>
    <r>
      <rPr>
        <rFont val="Lato, sans-serif"/>
        <b/>
        <color rgb="FF000000"/>
        <sz val="11.0"/>
        <u/>
      </rPr>
      <t>SUZB3</t>
    </r>
  </si>
  <si>
    <r>
      <rPr>
        <rFont val="Lato, sans-serif"/>
        <b/>
        <color rgb="FF000000"/>
        <sz val="11.0"/>
        <u/>
      </rPr>
      <t>T</t>
    </r>
  </si>
  <si>
    <r>
      <rPr>
        <rFont val="Lato, sans-serif"/>
        <b/>
        <color rgb="FF000000"/>
        <sz val="11.0"/>
        <u/>
      </rPr>
      <t>TD</t>
    </r>
  </si>
  <si>
    <r>
      <rPr>
        <rFont val="Lato, sans-serif"/>
        <b/>
        <color rgb="FF000000"/>
        <sz val="11.0"/>
        <u/>
      </rPr>
      <t>TEN</t>
    </r>
  </si>
  <si>
    <r>
      <rPr>
        <rFont val="Lato, sans-serif"/>
        <b/>
        <color rgb="FF000000"/>
        <sz val="11.0"/>
        <u/>
      </rPr>
      <t>TGT</t>
    </r>
  </si>
  <si>
    <r>
      <rPr>
        <rFont val="Lato, sans-serif"/>
        <b/>
        <color rgb="FF000000"/>
        <sz val="11.0"/>
        <u/>
      </rPr>
      <t>TGTD</t>
    </r>
  </si>
  <si>
    <r>
      <rPr>
        <rFont val="Lato, sans-serif"/>
        <b/>
        <color rgb="FF000000"/>
        <sz val="11.0"/>
        <u/>
      </rPr>
      <t>TM</t>
    </r>
  </si>
  <si>
    <r>
      <rPr>
        <rFont val="Lato, sans-serif"/>
        <b/>
        <color rgb="FF000000"/>
        <sz val="11.0"/>
        <u/>
      </rPr>
      <t>TMD</t>
    </r>
  </si>
  <si>
    <r>
      <rPr>
        <rFont val="Lato, sans-serif"/>
        <b/>
        <color rgb="FF000000"/>
        <sz val="11.0"/>
        <u/>
      </rPr>
      <t>TMO</t>
    </r>
  </si>
  <si>
    <r>
      <rPr>
        <rFont val="Lato, sans-serif"/>
        <b/>
        <color rgb="FF000000"/>
        <sz val="11.0"/>
        <u/>
      </rPr>
      <t>TMUS</t>
    </r>
  </si>
  <si>
    <r>
      <rPr>
        <rFont val="Lato, sans-serif"/>
        <b/>
        <color rgb="FF000000"/>
        <sz val="11.0"/>
        <u/>
      </rPr>
      <t>TRVV</t>
    </r>
  </si>
  <si>
    <r>
      <rPr>
        <rFont val="Lato, sans-serif"/>
        <b/>
        <color rgb="FF000000"/>
        <sz val="11.0"/>
        <u/>
      </rPr>
      <t>TSLA</t>
    </r>
  </si>
  <si>
    <r>
      <rPr>
        <rFont val="Lato, sans-serif"/>
        <b/>
        <color rgb="FF000000"/>
        <sz val="11.0"/>
        <u/>
      </rPr>
      <t>TSM</t>
    </r>
  </si>
  <si>
    <r>
      <rPr>
        <rFont val="Lato, sans-serif"/>
        <b/>
        <color rgb="FF000000"/>
        <sz val="11.0"/>
        <u/>
      </rPr>
      <t>TSMD</t>
    </r>
  </si>
  <si>
    <r>
      <rPr>
        <rFont val="Lato, sans-serif"/>
        <b/>
        <color rgb="FF000000"/>
        <sz val="11.0"/>
        <u/>
      </rPr>
      <t>TTE</t>
    </r>
  </si>
  <si>
    <r>
      <rPr>
        <rFont val="Lato, sans-serif"/>
        <b/>
        <color rgb="FF000000"/>
        <sz val="11.0"/>
        <u/>
      </rPr>
      <t>TV</t>
    </r>
  </si>
  <si>
    <r>
      <rPr>
        <rFont val="Lato, sans-serif"/>
        <b/>
        <color rgb="FF000000"/>
        <sz val="11.0"/>
        <u/>
      </rPr>
      <t>TWLO</t>
    </r>
  </si>
  <si>
    <t>36:1</t>
  </si>
  <si>
    <r>
      <rPr>
        <rFont val="Lato, sans-serif"/>
        <b/>
        <color rgb="FF000000"/>
        <sz val="11.0"/>
        <u/>
      </rPr>
      <t>TXN</t>
    </r>
  </si>
  <si>
    <r>
      <rPr>
        <rFont val="Lato, sans-serif"/>
        <b/>
        <color rgb="FF000000"/>
        <sz val="11.0"/>
        <u/>
      </rPr>
      <t>TXR</t>
    </r>
  </si>
  <si>
    <r>
      <rPr>
        <rFont val="Lato, sans-serif"/>
        <b/>
        <color rgb="FF000000"/>
        <sz val="11.0"/>
        <u/>
      </rPr>
      <t>UAL</t>
    </r>
  </si>
  <si>
    <r>
      <rPr>
        <rFont val="Lato, sans-serif"/>
        <b/>
        <color rgb="FF000000"/>
        <sz val="11.0"/>
        <u/>
      </rPr>
      <t>UBER</t>
    </r>
  </si>
  <si>
    <r>
      <rPr>
        <rFont val="Lato, sans-serif"/>
        <b/>
        <color rgb="FF000000"/>
        <sz val="11.0"/>
        <u/>
      </rPr>
      <t>UL</t>
    </r>
  </si>
  <si>
    <r>
      <rPr>
        <rFont val="Lato, sans-serif"/>
        <b/>
        <color rgb="FF000000"/>
        <sz val="11.0"/>
        <u/>
      </rPr>
      <t>UNH</t>
    </r>
  </si>
  <si>
    <r>
      <rPr>
        <rFont val="Lato, sans-serif"/>
        <b/>
        <color rgb="FF000000"/>
        <sz val="11.0"/>
        <u/>
      </rPr>
      <t>UNHD</t>
    </r>
  </si>
  <si>
    <r>
      <rPr>
        <rFont val="Lato, sans-serif"/>
        <b/>
        <color rgb="FF000000"/>
        <sz val="11.0"/>
        <u/>
      </rPr>
      <t>UPST</t>
    </r>
  </si>
  <si>
    <r>
      <rPr>
        <rFont val="Lato, sans-serif"/>
        <b/>
        <color rgb="FF000000"/>
        <sz val="11.0"/>
        <u/>
      </rPr>
      <t>URBN</t>
    </r>
  </si>
  <si>
    <r>
      <rPr>
        <rFont val="Lato, sans-serif"/>
        <b/>
        <color rgb="FF000000"/>
        <sz val="11.0"/>
        <u/>
      </rPr>
      <t>V</t>
    </r>
  </si>
  <si>
    <r>
      <rPr>
        <rFont val="Lato, sans-serif"/>
        <b/>
        <color rgb="FF000000"/>
        <sz val="11.0"/>
        <u/>
      </rPr>
      <t>VALE</t>
    </r>
  </si>
  <si>
    <r>
      <rPr>
        <rFont val="Lato, sans-serif"/>
        <b/>
        <color rgb="FF000000"/>
        <sz val="11.0"/>
        <u/>
      </rPr>
      <t>VALE3</t>
    </r>
  </si>
  <si>
    <r>
      <rPr>
        <rFont val="Lato, sans-serif"/>
        <b/>
        <color rgb="FF000000"/>
        <sz val="11.0"/>
        <u/>
      </rPr>
      <t>VD</t>
    </r>
  </si>
  <si>
    <r>
      <rPr>
        <rFont val="Lato, sans-serif"/>
        <b/>
        <color rgb="FF000000"/>
        <sz val="11.0"/>
        <u/>
      </rPr>
      <t>VEA</t>
    </r>
  </si>
  <si>
    <r>
      <rPr>
        <rFont val="Lato, sans-serif"/>
        <b/>
        <color rgb="FF000000"/>
        <sz val="11.0"/>
        <u/>
      </rPr>
      <t>VEAD</t>
    </r>
  </si>
  <si>
    <r>
      <rPr>
        <rFont val="Lato, sans-serif"/>
        <b/>
        <color rgb="FF000000"/>
        <sz val="11.0"/>
        <u/>
      </rPr>
      <t>VIST</t>
    </r>
  </si>
  <si>
    <r>
      <rPr>
        <rFont val="Lato, sans-serif"/>
        <b/>
        <color rgb="FF000000"/>
        <sz val="11.0"/>
        <u/>
      </rPr>
      <t>VIVT3</t>
    </r>
  </si>
  <si>
    <r>
      <rPr>
        <rFont val="Lato, sans-serif"/>
        <b/>
        <color rgb="FF000000"/>
        <sz val="11.0"/>
        <u/>
      </rPr>
      <t>VOD</t>
    </r>
  </si>
  <si>
    <r>
      <rPr>
        <rFont val="Lato, sans-serif"/>
        <b/>
        <color rgb="FF000000"/>
        <sz val="11.0"/>
        <u/>
      </rPr>
      <t>VZ</t>
    </r>
  </si>
  <si>
    <r>
      <rPr>
        <rFont val="Lato, sans-serif"/>
        <b/>
        <color rgb="FF000000"/>
        <sz val="11.0"/>
        <u/>
      </rPr>
      <t>VZD</t>
    </r>
  </si>
  <si>
    <r>
      <rPr>
        <rFont val="Lato, sans-serif"/>
        <b/>
        <color rgb="FF000000"/>
        <sz val="11.0"/>
        <u/>
      </rPr>
      <t>WBO</t>
    </r>
  </si>
  <si>
    <r>
      <rPr>
        <rFont val="Lato, sans-serif"/>
        <b/>
        <color rgb="FF000000"/>
        <sz val="11.0"/>
        <u/>
      </rPr>
      <t>WEGE3</t>
    </r>
  </si>
  <si>
    <r>
      <rPr>
        <rFont val="Lato, sans-serif"/>
        <b/>
        <color rgb="FF000000"/>
        <sz val="11.0"/>
        <u/>
      </rPr>
      <t>WFC</t>
    </r>
  </si>
  <si>
    <r>
      <rPr>
        <rFont val="Lato, sans-serif"/>
        <b/>
        <color rgb="FF000000"/>
        <sz val="11.0"/>
        <u/>
      </rPr>
      <t>WMT</t>
    </r>
  </si>
  <si>
    <r>
      <rPr>
        <rFont val="Lato, sans-serif"/>
        <b/>
        <color rgb="FF000000"/>
        <sz val="11.0"/>
        <u/>
      </rPr>
      <t>WMTD</t>
    </r>
  </si>
  <si>
    <r>
      <rPr>
        <rFont val="Lato, sans-serif"/>
        <b/>
        <color rgb="FF000000"/>
        <sz val="11.0"/>
        <u/>
      </rPr>
      <t>XLB</t>
    </r>
  </si>
  <si>
    <r>
      <rPr>
        <rFont val="Lato, sans-serif"/>
        <b/>
        <color rgb="FF000000"/>
        <sz val="11.0"/>
        <u/>
      </rPr>
      <t>XLBD</t>
    </r>
  </si>
  <si>
    <r>
      <rPr>
        <rFont val="Lato, sans-serif"/>
        <b/>
        <color rgb="FF000000"/>
        <sz val="11.0"/>
        <u/>
      </rPr>
      <t>XLC</t>
    </r>
  </si>
  <si>
    <r>
      <rPr>
        <rFont val="Lato, sans-serif"/>
        <b/>
        <color rgb="FF000000"/>
        <sz val="11.0"/>
        <u/>
      </rPr>
      <t>XLCD</t>
    </r>
  </si>
  <si>
    <r>
      <rPr>
        <rFont val="Lato, sans-serif"/>
        <b/>
        <color rgb="FF000000"/>
        <sz val="11.0"/>
        <u/>
      </rPr>
      <t>XLE</t>
    </r>
  </si>
  <si>
    <r>
      <rPr>
        <rFont val="Lato, sans-serif"/>
        <b/>
        <color rgb="FF000000"/>
        <sz val="11.0"/>
        <u/>
      </rPr>
      <t>XLED</t>
    </r>
  </si>
  <si>
    <r>
      <rPr>
        <rFont val="Lato, sans-serif"/>
        <b/>
        <color rgb="FF000000"/>
        <sz val="11.0"/>
        <u/>
      </rPr>
      <t>XLF</t>
    </r>
  </si>
  <si>
    <r>
      <rPr>
        <rFont val="Lato, sans-serif"/>
        <b/>
        <color rgb="FF000000"/>
        <sz val="11.0"/>
        <u/>
      </rPr>
      <t>XLFD</t>
    </r>
  </si>
  <si>
    <r>
      <rPr>
        <rFont val="Lato, sans-serif"/>
        <b/>
        <color rgb="FF000000"/>
        <sz val="11.0"/>
        <u/>
      </rPr>
      <t>XLI</t>
    </r>
  </si>
  <si>
    <r>
      <rPr>
        <rFont val="Lato, sans-serif"/>
        <b/>
        <color rgb="FF000000"/>
        <sz val="11.0"/>
        <u/>
      </rPr>
      <t>XLK</t>
    </r>
  </si>
  <si>
    <t>46:1</t>
  </si>
  <si>
    <r>
      <rPr>
        <rFont val="Lato, sans-serif"/>
        <b/>
        <color rgb="FF000000"/>
        <sz val="11.0"/>
        <u/>
      </rPr>
      <t>XLKD</t>
    </r>
  </si>
  <si>
    <r>
      <rPr>
        <rFont val="Lato, sans-serif"/>
        <b/>
        <color rgb="FF000000"/>
        <sz val="11.0"/>
        <u/>
      </rPr>
      <t>XLP</t>
    </r>
  </si>
  <si>
    <r>
      <rPr>
        <rFont val="Lato, sans-serif"/>
        <b/>
        <color rgb="FF000000"/>
        <sz val="11.0"/>
        <u/>
      </rPr>
      <t>XLPD</t>
    </r>
  </si>
  <si>
    <r>
      <rPr>
        <rFont val="Lato, sans-serif"/>
        <b/>
        <color rgb="FF000000"/>
        <sz val="11.0"/>
        <u/>
      </rPr>
      <t>XLRE</t>
    </r>
  </si>
  <si>
    <r>
      <rPr>
        <rFont val="Lato, sans-serif"/>
        <b/>
        <color rgb="FF000000"/>
        <sz val="11.0"/>
        <u/>
      </rPr>
      <t>XLV</t>
    </r>
  </si>
  <si>
    <t>29:1</t>
  </si>
  <si>
    <r>
      <rPr>
        <rFont val="Lato, sans-serif"/>
        <b/>
        <color rgb="FF000000"/>
        <sz val="11.0"/>
        <u/>
      </rPr>
      <t>XLVD</t>
    </r>
  </si>
  <si>
    <r>
      <rPr>
        <rFont val="Lato, sans-serif"/>
        <b/>
        <color rgb="FF000000"/>
        <sz val="11.0"/>
        <u/>
      </rPr>
      <t>XLY</t>
    </r>
  </si>
  <si>
    <t>43:1</t>
  </si>
  <si>
    <r>
      <rPr>
        <rFont val="Lato, sans-serif"/>
        <b/>
        <color rgb="FF000000"/>
        <sz val="11.0"/>
        <u/>
      </rPr>
      <t>XOM</t>
    </r>
  </si>
  <si>
    <r>
      <rPr>
        <rFont val="Lato, sans-serif"/>
        <b/>
        <color rgb="FF000000"/>
        <sz val="11.0"/>
        <u/>
      </rPr>
      <t>XOMD</t>
    </r>
  </si>
  <si>
    <r>
      <rPr>
        <rFont val="Lato, sans-serif"/>
        <b/>
        <color rgb="FF000000"/>
        <sz val="11.0"/>
        <u/>
      </rPr>
      <t>XP</t>
    </r>
  </si>
  <si>
    <r>
      <rPr>
        <rFont val="Lato, sans-serif"/>
        <b/>
        <color rgb="FF000000"/>
        <sz val="11.0"/>
        <u/>
      </rPr>
      <t>XPD</t>
    </r>
  </si>
  <si>
    <r>
      <rPr>
        <rFont val="Lato, sans-serif"/>
        <b/>
        <color rgb="FF000000"/>
        <sz val="11.0"/>
        <u/>
      </rPr>
      <t>XROX</t>
    </r>
  </si>
  <si>
    <r>
      <rPr>
        <rFont val="Lato, sans-serif"/>
        <b/>
        <color rgb="FF000000"/>
        <sz val="11.0"/>
        <u/>
      </rPr>
      <t>XYZ</t>
    </r>
  </si>
  <si>
    <r>
      <rPr>
        <rFont val="Lato, sans-serif"/>
        <b/>
        <color rgb="FF000000"/>
        <sz val="11.0"/>
        <u/>
      </rPr>
      <t>ZM</t>
    </r>
  </si>
  <si>
    <t>47:1</t>
  </si>
  <si>
    <r>
      <rPr>
        <rFont val="Lato, sans-serif"/>
        <b/>
        <color rgb="FF000000"/>
        <sz val="11.0"/>
        <u/>
      </rPr>
      <t>ZMD</t>
    </r>
  </si>
  <si>
    <t>Nuestros servicios</t>
  </si>
  <si>
    <r>
      <rPr>
        <rFont val="Lato, sans-serif"/>
        <b/>
        <color rgb="FF1155CC"/>
        <sz val="15.0"/>
        <u/>
      </rPr>
      <t>Planes</t>
    </r>
  </si>
  <si>
    <r>
      <rPr>
        <rFont val="Lato, sans-serif"/>
        <b/>
        <color rgb="FF1155CC"/>
        <sz val="15.0"/>
        <u/>
      </rPr>
      <t>Aranceles</t>
    </r>
  </si>
  <si>
    <t>Centro de ayuda</t>
  </si>
  <si>
    <r>
      <rPr>
        <rFont val="Lato, sans-serif"/>
        <b/>
        <color rgb="FF1155CC"/>
        <sz val="15.0"/>
        <u/>
      </rPr>
      <t>Preguntas frecuentes</t>
    </r>
  </si>
  <si>
    <r>
      <rPr>
        <rFont val="Lato, sans-serif"/>
        <b/>
        <color rgb="FF1155CC"/>
        <sz val="15.0"/>
        <u/>
      </rPr>
      <t>Contacto</t>
    </r>
  </si>
  <si>
    <t>Invertí en</t>
  </si>
  <si>
    <r>
      <rPr>
        <rFont val="Lato, sans-serif"/>
        <b/>
        <color rgb="FF1155CC"/>
        <sz val="15.0"/>
        <u/>
      </rPr>
      <t>Cuentas administradas</t>
    </r>
  </si>
  <si>
    <r>
      <rPr>
        <rFont val="Lato, sans-serif"/>
        <b/>
        <color rgb="FF1155CC"/>
        <sz val="15.0"/>
        <u/>
      </rPr>
      <t>Cedears</t>
    </r>
  </si>
  <si>
    <r>
      <rPr>
        <rFont val="Lato, sans-serif"/>
        <b/>
        <color rgb="FF1155CC"/>
        <sz val="15.0"/>
        <u/>
      </rPr>
      <t>Futuros ROFEX</t>
    </r>
  </si>
  <si>
    <t>Nosotros</t>
  </si>
  <si>
    <r>
      <rPr>
        <rFont val="Lato, sans-serif"/>
        <b/>
        <color rgb="FF1155CC"/>
        <sz val="15.0"/>
        <u/>
      </rPr>
      <t>Trabajá con nosotros</t>
    </r>
  </si>
  <si>
    <r>
      <rPr>
        <rFont val="Lato, sans-serif"/>
        <b/>
        <color rgb="FF1155CC"/>
        <sz val="15.0"/>
        <u/>
      </rPr>
      <t>Aviso legal</t>
    </r>
  </si>
  <si>
    <r>
      <rPr>
        <rFont val="Lato, sans-serif"/>
        <b/>
        <color rgb="FF1155CC"/>
        <sz val="15.0"/>
        <u/>
      </rPr>
      <t>Código de conducta</t>
    </r>
  </si>
  <si>
    <r>
      <rPr>
        <rFont val="Lato, sans-serif"/>
        <b/>
        <color rgb="FF1155CC"/>
        <sz val="15.0"/>
        <u/>
      </rPr>
      <t>Política de privacidad</t>
    </r>
  </si>
  <si>
    <r>
      <rPr>
        <rFont val="Nunito, sans-serif"/>
        <b/>
        <color rgb="FF1155CC"/>
        <sz val="7.0"/>
        <u/>
      </rPr>
      <t>Bolsas y Mercados Argentinos</t>
    </r>
  </si>
  <si>
    <r>
      <rPr>
        <rFont val="Nunito, sans-serif"/>
        <b/>
        <color rgb="FF1155CC"/>
        <sz val="7.0"/>
        <u/>
      </rPr>
      <t>Cámara de Agentes de Bolsa</t>
    </r>
  </si>
  <si>
    <r>
      <rPr>
        <rFont val="Nunito, sans-serif"/>
        <b/>
        <color rgb="FF1155CC"/>
        <sz val="7.0"/>
        <u/>
      </rPr>
      <t>Comisión Nacional De Valores</t>
    </r>
  </si>
  <si>
    <r>
      <rPr>
        <rFont val="Nunito, sans-serif"/>
        <b/>
        <color rgb="FF1155CC"/>
        <sz val="7.0"/>
        <u/>
      </rPr>
      <t>Mercado Argentino de Valores</t>
    </r>
  </si>
  <si>
    <r>
      <rPr>
        <rFont val="Nunito, sans-serif"/>
        <b/>
        <color rgb="FF1155CC"/>
        <sz val="7.0"/>
        <u/>
      </rPr>
      <t>ROFEX</t>
    </r>
  </si>
  <si>
    <r>
      <rPr>
        <rFont val="Lato, sans-serif"/>
        <b/>
        <color rgb="FF1155CC"/>
        <sz val="15.0"/>
        <u/>
      </rPr>
      <t>Registrate para recibir nuestro Newsletter y todas las novedades</t>
    </r>
  </si>
  <si>
    <t>25 de Mayo 277 5 24 (C1002ABE)</t>
  </si>
  <si>
    <t>Ciudad Autónoma de Buenos Aires, Argentina</t>
  </si>
  <si>
    <t>Teléfono: +54 11 7700-1888 / +54 11 4343-9421</t>
  </si>
  <si>
    <t>Horario: 10 a 18hs</t>
  </si>
  <si>
    <t>Rava Bursátil S.A.</t>
  </si>
  <si>
    <t>CUIT: 30-59502502-4</t>
  </si>
  <si>
    <t>Agente de Liquidación y Compensación y Agente de Negociación Propio CNV Nº 332</t>
  </si>
  <si>
    <t>Agente de Colocación y Distribución Integral de Fondos Comunes de Inversión Nº 171</t>
  </si>
  <si>
    <t>Agente de mercados BYMA, ROFEX y MAV</t>
  </si>
  <si>
    <t>Feedback</t>
  </si>
  <si>
    <t>Comision</t>
  </si>
  <si>
    <t>0.5 + 21 % de IVA</t>
  </si>
  <si>
    <t>0.6 + 21 % IVA</t>
  </si>
  <si>
    <t>Broker2_FCI</t>
  </si>
  <si>
    <t>📊 Dashboard — Resumen de Estrategias de Inversión</t>
  </si>
  <si>
    <t>🔓  POSICIONES ACTIVAS</t>
  </si>
  <si>
    <t>Activo</t>
  </si>
  <si>
    <t>Capital Invertido</t>
  </si>
  <si>
    <t>Días Abierto</t>
  </si>
  <si>
    <t># Incrementos</t>
  </si>
  <si>
    <t>Posición Abierta Desde</t>
  </si>
  <si>
    <t>Meta Ganancia Est.</t>
  </si>
  <si>
    <t>₿ Bitcoin</t>
  </si>
  <si>
    <t>Ξ Ethereum</t>
  </si>
  <si>
    <t>₳ Cardano</t>
  </si>
  <si>
    <t>🥇 Oro/Gold</t>
  </si>
  <si>
    <t>TOTAL ACTIVO</t>
  </si>
  <si>
    <t>✅  HISTORIAL DE POSICIONES CERRADAS</t>
  </si>
  <si>
    <t># Cierres</t>
  </si>
  <si>
    <t>Total Ganado/Perdido</t>
  </si>
  <si>
    <t>Ganancia Promedio</t>
  </si>
  <si>
    <t>Mejor Cierre</t>
  </si>
  <si>
    <t>Peor Cierre</t>
  </si>
  <si>
    <t>GANANCIA TOTAL ACUMULADA</t>
  </si>
  <si>
    <t>💡  Texto azul = ingresá vos  |  Texto negro = fórmula automática  |  Texto verde = dato importado de otra pestaña  |  La columna 'Meta Ganancia Est.' en activos abiertos es para que ingreses tu objetivo</t>
  </si>
  <si>
    <t>WBA</t>
  </si>
  <si>
    <t>SUPV</t>
  </si>
  <si>
    <t>WFC</t>
  </si>
  <si>
    <t>Valor Compra USD (Acción)</t>
  </si>
  <si>
    <t>CCL para compra</t>
  </si>
  <si>
    <t>Valor Acción USD</t>
  </si>
  <si>
    <t>CCL para venta</t>
  </si>
  <si>
    <t>Valor Venta USD</t>
  </si>
  <si>
    <t>📋 Instrucciones de Uso</t>
  </si>
  <si>
    <t>PESTAÑAS</t>
  </si>
  <si>
    <t>📊 Dashboard</t>
  </si>
  <si>
    <t>Vista general: posiciones activas y resumen de cierres. Solo lectura.</t>
  </si>
  <si>
    <t>₿ BTC / Ξ ETH / ₳ ADA / 🥇 PAXGUSD</t>
  </si>
  <si>
    <t>Una pestaña por activo. Acá registrás tus operaciones.</t>
  </si>
  <si>
    <t>CÓMO REGISTRAR UNA OPERACIÓN</t>
  </si>
  <si>
    <t>Apertura de posición nueva</t>
  </si>
  <si>
    <t>Elegí 'Apertura' en Tipo, ponés la Fecha y el Importe inicial.</t>
  </si>
  <si>
    <t>Incrementar posición</t>
  </si>
  <si>
    <t>Elegí 'Incremento', ponés la Fecha y el importe que agregás ese día.</t>
  </si>
  <si>
    <t>Cerrar posición</t>
  </si>
  <si>
    <t>Elegí 'Cierre', ponés la Fecha y en 'Importe' ponés el resultado (+ si ganaste, - si perdiste).</t>
  </si>
  <si>
    <t>COLUMNAS AUTOMÁTICAS</t>
  </si>
  <si>
    <t>Capital Acumulado</t>
  </si>
  <si>
    <t>Se calcula solo sumando todos los Importes hasta ese punto.</t>
  </si>
  <si>
    <t>Se calcula desde la Apertura hasta hoy (o hasta el Cierre).</t>
  </si>
  <si>
    <t>Muestra automáticamente si la fila es ABIERTO o CERRADO.</t>
  </si>
  <si>
    <t>COLORES</t>
  </si>
  <si>
    <t>🔵 Texto azul</t>
  </si>
  <si>
    <t>Campos que vos completás manualmente.</t>
  </si>
  <si>
    <t>⚫ Texto negro</t>
  </si>
  <si>
    <t>Campos calculados automáticamente (no tocar).</t>
  </si>
  <si>
    <t>🟢 Texto verde (Dashboard)</t>
  </si>
  <si>
    <t>Datos importados de las pestañas de activos.</t>
  </si>
  <si>
    <t>🟩 Fondo verde claro</t>
  </si>
  <si>
    <t>Filas de incremento / posición abierta.</t>
  </si>
  <si>
    <t>🟧 Fondo naranja claro</t>
  </si>
  <si>
    <t>Filas de cierre de posición.</t>
  </si>
  <si>
    <t>🟥 Fondo rojo claro</t>
  </si>
  <si>
    <t>Cierre con pérdida (importe negativo).</t>
  </si>
  <si>
    <t>📈 Estrategia ₿ Bitcoin — Registro de Posiciones</t>
  </si>
  <si>
    <t>Posición Abierta:</t>
  </si>
  <si>
    <t>Capital Invertido:</t>
  </si>
  <si>
    <t>Días Abierto:</t>
  </si>
  <si>
    <t>Total Ganado (Cerradas):</t>
  </si>
  <si>
    <t>#</t>
  </si>
  <si>
    <t>Importe ($USD)</t>
  </si>
  <si>
    <t>Capital Acum. ($USD)</t>
  </si>
  <si>
    <t>Ganancia / Pérdida ($USD)</t>
  </si>
  <si>
    <t>Notas</t>
  </si>
  <si>
    <t>💡 Guía de colores: Texto azul = valores que ingresás vos  |  Texto negro = cálculo automático  |  Fondo naranja = posición cerrada  |  Fondo rojo = pérdida</t>
  </si>
  <si>
    <t>📈 Estrategia Ξ Ethereum — Registro de Posiciones</t>
  </si>
  <si>
    <t>Incremento</t>
  </si>
  <si>
    <t>📈 Estrategia ₳ Cardano — Registro de Posiciones</t>
  </si>
  <si>
    <t>05/04*2026</t>
  </si>
  <si>
    <t>📈 Estrategia 🥇 Oro/Gold — Registro de Posiciones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</si>
</sst>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0.0000"/>
    <numFmt numFmtId="165" formatCode="dd&quot;/&quot;mm&quot;/&quot;yy"/>
    <numFmt numFmtId="166" formatCode="d/M/yyyy"/>
    <numFmt numFmtId="167" formatCode="&quot;$&quot;#,##0.00"/>
    <numFmt numFmtId="168" formatCode="0.000000"/>
    <numFmt numFmtId="169" formatCode="dd/mm/yyyy"/>
    <numFmt numFmtId="170" formatCode="dd/mm"/>
    <numFmt numFmtId="171" formatCode="d/m/yyyy"/>
    <numFmt numFmtId="172" formatCode="&quot;Actualizado al  &quot;dd/mm/yyyy"/>
    <numFmt numFmtId="173" formatCode="\$#,##0.00;&quot;($&quot;#,##0.00\);\-"/>
    <numFmt numFmtId="174" formatCode="0&quot; días&quot;"/>
    <numFmt numFmtId="175" formatCode="0&quot; cierres&quot;"/>
  </numFmts>
  <fonts count="46">
    <font>
      <sz val="10.0"/>
      <color rgb="FF000000"/>
      <name val="Arial"/>
      <scheme val="minor"/>
    </font>
    <font>
      <sz val="11.0"/>
      <color rgb="FFEFEFEF"/>
      <name val="Calibri"/>
    </font>
    <font>
      <color theme="1"/>
      <name val="Arial"/>
      <scheme val="minor"/>
    </font>
    <font>
      <color theme="1"/>
      <name val="Calibri"/>
    </font>
    <font>
      <sz val="12.0"/>
      <color rgb="FFEFEFEF"/>
      <name val="Calibri"/>
    </font>
    <font>
      <b/>
      <sz val="12.0"/>
      <color rgb="FF6AA84F"/>
      <name val="Calibri"/>
    </font>
    <font>
      <color rgb="FFEFEFEF"/>
      <name val="Arial"/>
      <scheme val="minor"/>
    </font>
    <font/>
    <font>
      <b/>
      <sz val="22.0"/>
      <color theme="1"/>
      <name val="Arial"/>
      <scheme val="minor"/>
    </font>
    <font>
      <b/>
      <color theme="1"/>
      <name val="Arial"/>
      <scheme val="minor"/>
    </font>
    <font>
      <b/>
      <sz val="20.0"/>
      <color theme="1"/>
      <name val="Arial"/>
      <scheme val="minor"/>
    </font>
    <font>
      <sz val="9.0"/>
      <color theme="1"/>
      <name val="Calibri"/>
    </font>
    <font>
      <color rgb="FFFFFFFF"/>
      <name val="Arial"/>
      <scheme val="minor"/>
    </font>
    <font>
      <color theme="1"/>
      <name val="Arial"/>
    </font>
    <font>
      <u/>
      <sz val="11.0"/>
      <color rgb="FF000000"/>
      <name val="Lato"/>
    </font>
    <font>
      <b/>
      <sz val="9.0"/>
      <color rgb="FF000000"/>
      <name val="Lato"/>
    </font>
    <font>
      <b/>
      <u/>
      <sz val="11.0"/>
      <color rgb="FF000000"/>
      <name val="Arial"/>
    </font>
    <font>
      <sz val="11.0"/>
      <color rgb="FF000000"/>
      <name val="Lato"/>
    </font>
    <font>
      <b/>
      <u/>
      <sz val="11.0"/>
      <color rgb="FF000000"/>
      <name val="Lato"/>
    </font>
    <font>
      <b/>
      <sz val="15.0"/>
      <color rgb="FF000000"/>
      <name val="Lato"/>
    </font>
    <font>
      <color rgb="FF000000"/>
      <name val="Arial"/>
      <scheme val="minor"/>
    </font>
    <font>
      <b/>
      <sz val="15.0"/>
      <color rgb="FF1D68A7"/>
      <name val="Lato"/>
    </font>
    <font>
      <b/>
      <u/>
      <sz val="15.0"/>
      <color rgb="FF1D68A7"/>
      <name val="Lato"/>
    </font>
    <font>
      <b/>
      <sz val="8.0"/>
      <color rgb="FF6C757D"/>
      <name val="Lato"/>
    </font>
    <font>
      <sz val="12.0"/>
      <color rgb="FFFDFDFE"/>
      <name val="Arial"/>
    </font>
    <font>
      <color rgb="FFD9D9D9"/>
      <name val="Arial"/>
      <scheme val="minor"/>
    </font>
    <font>
      <b/>
      <sz val="16.0"/>
      <color rgb="FFFFFFFF"/>
      <name val="Arial"/>
    </font>
    <font>
      <i/>
      <sz val="10.0"/>
      <color rgb="FFFFFFFF"/>
      <name val="Arial"/>
    </font>
    <font>
      <b/>
      <sz val="12.0"/>
      <color rgb="FFFFFFFF"/>
      <name val="Arial"/>
    </font>
    <font>
      <b/>
      <sz val="10.0"/>
      <color rgb="FFFFFFFF"/>
      <name val="Arial"/>
    </font>
    <font>
      <b/>
      <sz val="10.0"/>
      <color rgb="FF0000FF"/>
      <name val="Arial"/>
    </font>
    <font>
      <sz val="10.0"/>
      <color rgb="FF008000"/>
      <name val="Arial"/>
    </font>
    <font>
      <sz val="10.0"/>
      <color rgb="FF0000FF"/>
      <name val="Arial"/>
    </font>
    <font>
      <b/>
      <sz val="10.0"/>
      <color theme="1"/>
      <name val="Arial"/>
    </font>
    <font>
      <b/>
      <sz val="10.0"/>
      <color rgb="FF000000"/>
      <name val="Arial"/>
    </font>
    <font>
      <sz val="11.0"/>
      <color theme="1"/>
      <name val="Calibri"/>
    </font>
    <font>
      <b/>
      <sz val="11.0"/>
      <color theme="1"/>
      <name val="Arial"/>
    </font>
    <font>
      <i/>
      <sz val="9.0"/>
      <color rgb="FF555555"/>
      <name val="Arial"/>
    </font>
    <font>
      <b/>
      <sz val="14.0"/>
      <color rgb="FFFFFFFF"/>
      <name val="Arial"/>
    </font>
    <font>
      <b/>
      <sz val="10.0"/>
      <color rgb="FF0F3460"/>
      <name val="Arial"/>
    </font>
    <font>
      <sz val="10.0"/>
      <color theme="1"/>
      <name val="Arial"/>
    </font>
    <font>
      <b/>
      <sz val="10.0"/>
      <color rgb="FF00C853"/>
      <name val="Arial"/>
    </font>
    <font>
      <b/>
      <sz val="10.0"/>
      <color rgb="FF00E676"/>
      <name val="Arial"/>
    </font>
    <font>
      <b/>
      <sz val="10.0"/>
      <color rgb="FFFFD600"/>
      <name val="Arial"/>
    </font>
    <font>
      <sz val="10.0"/>
      <color rgb="FF888888"/>
      <name val="Arial"/>
    </font>
    <font>
      <sz val="10.0"/>
      <color rgb="FF000000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A4C2F4"/>
        <bgColor rgb="FFA4C2F4"/>
      </patternFill>
    </fill>
    <fill>
      <patternFill patternType="solid">
        <fgColor rgb="FFD9D9D9"/>
        <bgColor rgb="FFD9D9D9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1A1A2E"/>
        <bgColor rgb="FF1A1A2E"/>
      </patternFill>
    </fill>
    <fill>
      <patternFill patternType="solid">
        <fgColor rgb="FF0F3460"/>
        <bgColor rgb="FF0F3460"/>
      </patternFill>
    </fill>
    <fill>
      <patternFill patternType="solid">
        <fgColor rgb="FF1B5E20"/>
        <bgColor rgb="FF1B5E20"/>
      </patternFill>
    </fill>
    <fill>
      <patternFill patternType="solid">
        <fgColor rgb="FFE8F5E9"/>
        <bgColor rgb="FFE8F5E9"/>
      </patternFill>
    </fill>
    <fill>
      <patternFill patternType="solid">
        <fgColor rgb="FFF1F8E9"/>
        <bgColor rgb="FFF1F8E9"/>
      </patternFill>
    </fill>
    <fill>
      <patternFill patternType="solid">
        <fgColor rgb="FFE65100"/>
        <bgColor rgb="FFE65100"/>
      </patternFill>
    </fill>
    <fill>
      <patternFill patternType="solid">
        <fgColor rgb="FFFFF3E0"/>
        <bgColor rgb="FFFFF3E0"/>
      </patternFill>
    </fill>
    <fill>
      <patternFill patternType="solid">
        <fgColor rgb="FFFFF8E1"/>
        <bgColor rgb="FFFFF8E1"/>
      </patternFill>
    </fill>
    <fill>
      <patternFill patternType="solid">
        <fgColor rgb="FF1A2535"/>
        <bgColor rgb="FF1A2535"/>
      </patternFill>
    </fill>
    <fill>
      <patternFill patternType="solid">
        <fgColor rgb="FFF7F9FF"/>
        <bgColor rgb="FFF7F9FF"/>
      </patternFill>
    </fill>
  </fills>
  <borders count="18">
    <border/>
    <border>
      <left style="thin">
        <color rgb="FF3D85C6"/>
      </left>
      <top style="thin">
        <color rgb="FF3D85C6"/>
      </top>
      <bottom style="thin">
        <color rgb="FF3D85C6"/>
      </bottom>
    </border>
    <border>
      <top style="thin">
        <color rgb="FF3D85C6"/>
      </top>
      <bottom style="thin">
        <color rgb="FF3D85C6"/>
      </bottom>
    </border>
    <border>
      <right style="thin">
        <color rgb="FF3D85C6"/>
      </right>
      <top style="thin">
        <color rgb="FF3D85C6"/>
      </top>
      <bottom style="thin">
        <color rgb="FF3D85C6"/>
      </bottom>
    </border>
    <border>
      <left style="thin">
        <color rgb="FF6FA8DC"/>
      </left>
      <right style="thin">
        <color rgb="FF6FA8DC"/>
      </right>
      <top style="thin">
        <color rgb="FF6FA8DC"/>
      </top>
    </border>
    <border>
      <left style="thin">
        <color rgb="FF6FA8DC"/>
      </left>
      <right style="thin">
        <color rgb="FF6FA8DC"/>
      </right>
      <top style="thin">
        <color rgb="FF6FA8DC"/>
      </top>
      <bottom style="thin">
        <color rgb="FF6FA8DC"/>
      </bottom>
    </border>
    <border>
      <left style="thin">
        <color rgb="FF6FA8DC"/>
      </left>
      <right style="thin">
        <color rgb="FF6FA8DC"/>
      </right>
      <bottom style="thin">
        <color rgb="FF6FA8DC"/>
      </bottom>
    </border>
    <border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bottom style="thin">
        <color rgb="FF3D85C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BBCCE8"/>
      </left>
      <right style="thin">
        <color rgb="FFBBCCE8"/>
      </right>
      <top style="thin">
        <color rgb="FFBBCCE8"/>
      </top>
      <bottom style="thin">
        <color rgb="FFBBCCE8"/>
      </bottom>
    </border>
    <border>
      <left style="thin">
        <color rgb="FFBBCCE8"/>
      </left>
      <top style="thin">
        <color rgb="FFBBCCE8"/>
      </top>
      <bottom style="thin">
        <color rgb="FFBBCCE8"/>
      </bottom>
    </border>
    <border>
      <right/>
      <top style="thin">
        <color rgb="FFBBCCE8"/>
      </top>
      <bottom style="thin">
        <color rgb="FFBBCCE8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5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Font="1"/>
    <xf borderId="0" fillId="2" fontId="1" numFmtId="164" xfId="0" applyAlignment="1" applyFont="1" applyNumberFormat="1">
      <alignment horizontal="center" readingOrder="0" vertical="center"/>
    </xf>
    <xf borderId="1" fillId="3" fontId="3" numFmtId="0" xfId="0" applyAlignment="1" applyBorder="1" applyFill="1" applyFont="1">
      <alignment horizontal="center" readingOrder="0" vertical="center"/>
    </xf>
    <xf borderId="2" fillId="3" fontId="3" numFmtId="165" xfId="0" applyAlignment="1" applyBorder="1" applyFont="1" applyNumberFormat="1">
      <alignment horizontal="center" readingOrder="0" vertical="center"/>
    </xf>
    <xf borderId="2" fillId="3" fontId="3" numFmtId="0" xfId="0" applyAlignment="1" applyBorder="1" applyFont="1">
      <alignment horizontal="center" readingOrder="0" vertical="center"/>
    </xf>
    <xf borderId="2" fillId="3" fontId="3" numFmtId="166" xfId="0" applyAlignment="1" applyBorder="1" applyFont="1" applyNumberFormat="1">
      <alignment horizontal="center" vertical="center"/>
    </xf>
    <xf borderId="2" fillId="4" fontId="3" numFmtId="0" xfId="0" applyAlignment="1" applyBorder="1" applyFill="1" applyFont="1">
      <alignment horizontal="center" vertical="center"/>
    </xf>
    <xf borderId="2" fillId="3" fontId="3" numFmtId="2" xfId="0" applyAlignment="1" applyBorder="1" applyFont="1" applyNumberFormat="1">
      <alignment horizontal="center" readingOrder="0" vertical="center"/>
    </xf>
    <xf borderId="2" fillId="4" fontId="3" numFmtId="2" xfId="0" applyAlignment="1" applyBorder="1" applyFont="1" applyNumberFormat="1">
      <alignment horizontal="center" vertical="center"/>
    </xf>
    <xf borderId="2" fillId="4" fontId="3" numFmtId="2" xfId="0" applyAlignment="1" applyBorder="1" applyFont="1" applyNumberFormat="1">
      <alignment horizontal="center" readingOrder="0" vertical="center"/>
    </xf>
    <xf borderId="2" fillId="4" fontId="3" numFmtId="10" xfId="0" applyAlignment="1" applyBorder="1" applyFont="1" applyNumberFormat="1">
      <alignment horizontal="center" vertical="center"/>
    </xf>
    <xf borderId="3" fillId="4" fontId="3" numFmtId="0" xfId="0" applyAlignment="1" applyBorder="1" applyFont="1">
      <alignment horizontal="center" vertical="center"/>
    </xf>
    <xf borderId="2" fillId="4" fontId="3" numFmtId="164" xfId="0" applyAlignment="1" applyBorder="1" applyFont="1" applyNumberFormat="1">
      <alignment horizontal="center" vertical="center"/>
    </xf>
    <xf borderId="2" fillId="4" fontId="3" numFmtId="4" xfId="0" applyAlignment="1" applyBorder="1" applyFont="1" applyNumberFormat="1">
      <alignment horizontal="center" vertical="center"/>
    </xf>
    <xf borderId="3" fillId="4" fontId="3" numFmtId="2" xfId="0" applyAlignment="1" applyBorder="1" applyFont="1" applyNumberFormat="1">
      <alignment horizontal="center" vertical="center"/>
    </xf>
    <xf borderId="2" fillId="3" fontId="3" numFmtId="166" xfId="0" applyAlignment="1" applyBorder="1" applyFont="1" applyNumberFormat="1">
      <alignment horizontal="center" readingOrder="0" vertical="center"/>
    </xf>
    <xf borderId="0" fillId="2" fontId="4" numFmtId="0" xfId="0" applyAlignment="1" applyFont="1">
      <alignment horizontal="center" readingOrder="0" shrinkToFit="0" vertical="center" wrapText="1"/>
    </xf>
    <xf borderId="0" fillId="4" fontId="5" numFmtId="167" xfId="0" applyAlignment="1" applyFont="1" applyNumberFormat="1">
      <alignment horizontal="center" shrinkToFit="0" vertical="center" wrapText="1"/>
    </xf>
    <xf borderId="2" fillId="4" fontId="3" numFmtId="4" xfId="0" applyAlignment="1" applyBorder="1" applyFont="1" applyNumberFormat="1">
      <alignment horizontal="center" readingOrder="0" vertical="center"/>
    </xf>
    <xf borderId="2" fillId="4" fontId="3" numFmtId="0" xfId="0" applyAlignment="1" applyBorder="1" applyFont="1">
      <alignment horizontal="center" readingOrder="0" vertical="center"/>
    </xf>
    <xf borderId="0" fillId="4" fontId="5" numFmtId="10" xfId="0" applyAlignment="1" applyFont="1" applyNumberFormat="1">
      <alignment horizontal="center" shrinkToFit="0" vertical="center" wrapText="1"/>
    </xf>
    <xf borderId="4" fillId="2" fontId="4" numFmtId="0" xfId="0" applyAlignment="1" applyBorder="1" applyFont="1">
      <alignment horizontal="center" readingOrder="0" shrinkToFit="0" vertical="center" wrapText="1"/>
    </xf>
    <xf borderId="5" fillId="2" fontId="6" numFmtId="0" xfId="0" applyAlignment="1" applyBorder="1" applyFont="1">
      <alignment horizontal="center" readingOrder="0"/>
    </xf>
    <xf borderId="5" fillId="5" fontId="6" numFmtId="0" xfId="0" applyAlignment="1" applyBorder="1" applyFill="1" applyFont="1">
      <alignment horizontal="center" readingOrder="0"/>
    </xf>
    <xf borderId="6" fillId="0" fontId="7" numFmtId="0" xfId="0" applyBorder="1" applyFont="1"/>
    <xf borderId="2" fillId="3" fontId="3" numFmtId="168" xfId="0" applyAlignment="1" applyBorder="1" applyFont="1" applyNumberFormat="1">
      <alignment horizontal="center" readingOrder="0" vertical="center"/>
    </xf>
    <xf borderId="2" fillId="4" fontId="3" numFmtId="168" xfId="0" applyAlignment="1" applyBorder="1" applyFont="1" applyNumberFormat="1">
      <alignment horizontal="center" vertical="center"/>
    </xf>
    <xf borderId="2" fillId="4" fontId="3" numFmtId="168" xfId="0" applyAlignment="1" applyBorder="1" applyFont="1" applyNumberFormat="1">
      <alignment horizontal="center" readingOrder="0" vertical="center"/>
    </xf>
    <xf borderId="1" fillId="3" fontId="3" numFmtId="0" xfId="0" applyAlignment="1" applyBorder="1" applyFont="1">
      <alignment horizontal="center" vertical="center"/>
    </xf>
    <xf borderId="2" fillId="3" fontId="3" numFmtId="0" xfId="0" applyAlignment="1" applyBorder="1" applyFont="1">
      <alignment horizontal="center" vertical="center"/>
    </xf>
    <xf borderId="2" fillId="3" fontId="3" numFmtId="2" xfId="0" applyAlignment="1" applyBorder="1" applyFont="1" applyNumberFormat="1">
      <alignment horizontal="center" vertical="center"/>
    </xf>
    <xf borderId="0" fillId="2" fontId="2" numFmtId="164" xfId="0" applyFont="1" applyNumberFormat="1"/>
    <xf borderId="0" fillId="0" fontId="2" numFmtId="0" xfId="0" applyAlignment="1" applyFont="1">
      <alignment readingOrder="0"/>
    </xf>
    <xf borderId="0" fillId="0" fontId="2" numFmtId="169" xfId="0" applyAlignment="1" applyFont="1" applyNumberFormat="1">
      <alignment readingOrder="0"/>
    </xf>
    <xf borderId="0" fillId="0" fontId="2" numFmtId="0" xfId="0" applyFont="1"/>
    <xf borderId="0" fillId="0" fontId="2" numFmtId="170" xfId="0" applyAlignment="1" applyFont="1" applyNumberFormat="1">
      <alignment readingOrder="0"/>
    </xf>
    <xf borderId="0" fillId="0" fontId="2" numFmtId="171" xfId="0" applyAlignment="1" applyFont="1" applyNumberFormat="1">
      <alignment readingOrder="0"/>
    </xf>
    <xf borderId="0" fillId="0" fontId="8" numFmtId="0" xfId="0" applyAlignment="1" applyFont="1">
      <alignment readingOrder="0" vertical="center"/>
    </xf>
    <xf borderId="0" fillId="0" fontId="9" numFmtId="0" xfId="0" applyAlignment="1" applyFont="1">
      <alignment vertical="center"/>
    </xf>
    <xf borderId="0" fillId="0" fontId="2" numFmtId="10" xfId="0" applyFont="1" applyNumberFormat="1"/>
    <xf borderId="0" fillId="0" fontId="10" numFmtId="0" xfId="0" applyAlignment="1" applyFont="1">
      <alignment readingOrder="0"/>
    </xf>
    <xf borderId="0" fillId="2" fontId="1" numFmtId="167" xfId="0" applyAlignment="1" applyFont="1" applyNumberFormat="1">
      <alignment horizontal="center" readingOrder="0" vertical="center"/>
    </xf>
    <xf borderId="2" fillId="3" fontId="3" numFmtId="167" xfId="0" applyAlignment="1" applyBorder="1" applyFont="1" applyNumberFormat="1">
      <alignment horizontal="center" readingOrder="0" vertical="center"/>
    </xf>
    <xf borderId="2" fillId="4" fontId="3" numFmtId="167" xfId="0" applyAlignment="1" applyBorder="1" applyFont="1" applyNumberFormat="1">
      <alignment horizontal="center" vertical="center"/>
    </xf>
    <xf borderId="2" fillId="4" fontId="3" numFmtId="167" xfId="0" applyAlignment="1" applyBorder="1" applyFont="1" applyNumberFormat="1">
      <alignment horizontal="center" readingOrder="0" vertical="center"/>
    </xf>
    <xf borderId="3" fillId="4" fontId="3" numFmtId="167" xfId="0" applyAlignment="1" applyBorder="1" applyFont="1" applyNumberFormat="1">
      <alignment horizontal="center" vertical="center"/>
    </xf>
    <xf borderId="0" fillId="4" fontId="3" numFmtId="0" xfId="0" applyAlignment="1" applyFont="1">
      <alignment horizontal="center" vertical="center"/>
    </xf>
    <xf borderId="0" fillId="3" fontId="3" numFmtId="0" xfId="0" applyAlignment="1" applyFont="1">
      <alignment horizontal="center" readingOrder="0" vertical="center"/>
    </xf>
    <xf borderId="0" fillId="3" fontId="3" numFmtId="167" xfId="0" applyAlignment="1" applyFont="1" applyNumberFormat="1">
      <alignment horizontal="center" readingOrder="0" vertical="center"/>
    </xf>
    <xf borderId="0" fillId="2" fontId="2" numFmtId="0" xfId="0" applyAlignment="1" applyFont="1">
      <alignment vertical="center"/>
    </xf>
    <xf borderId="2" fillId="3" fontId="3" numFmtId="167" xfId="0" applyAlignment="1" applyBorder="1" applyFont="1" applyNumberFormat="1">
      <alignment horizontal="center" vertical="center"/>
    </xf>
    <xf borderId="0" fillId="2" fontId="2" numFmtId="167" xfId="0" applyFont="1" applyNumberFormat="1"/>
    <xf borderId="0" fillId="2" fontId="1" numFmtId="0" xfId="0" applyAlignment="1" applyFont="1">
      <alignment horizontal="center" readingOrder="0" shrinkToFit="0" vertical="center" wrapText="1"/>
    </xf>
    <xf borderId="0" fillId="2" fontId="1" numFmtId="166" xfId="0" applyAlignment="1" applyFont="1" applyNumberFormat="1">
      <alignment horizontal="center" readingOrder="0" shrinkToFit="0" vertical="center" wrapText="1"/>
    </xf>
    <xf borderId="0" fillId="2" fontId="1" numFmtId="167" xfId="0" applyAlignment="1" applyFont="1" applyNumberFormat="1">
      <alignment horizontal="center" readingOrder="0" shrinkToFit="0" vertical="center" wrapText="1"/>
    </xf>
    <xf borderId="0" fillId="2" fontId="2" numFmtId="0" xfId="0" applyAlignment="1" applyFont="1">
      <alignment shrinkToFit="0" wrapText="1"/>
    </xf>
    <xf borderId="0" fillId="2" fontId="1" numFmtId="1" xfId="0" applyAlignment="1" applyFont="1" applyNumberFormat="1">
      <alignment horizontal="center" readingOrder="0" shrinkToFit="0" vertical="center" wrapText="1"/>
    </xf>
    <xf borderId="2" fillId="4" fontId="3" numFmtId="1" xfId="0" applyAlignment="1" applyBorder="1" applyFont="1" applyNumberFormat="1">
      <alignment horizontal="center" vertical="center"/>
    </xf>
    <xf borderId="0" fillId="4" fontId="5" numFmtId="4" xfId="0" applyAlignment="1" applyFont="1" applyNumberFormat="1">
      <alignment horizontal="center" shrinkToFit="0" vertical="center" wrapText="1"/>
    </xf>
    <xf borderId="0" fillId="2" fontId="2" numFmtId="166" xfId="0" applyFont="1" applyNumberFormat="1"/>
    <xf borderId="0" fillId="2" fontId="2" numFmtId="1" xfId="0" applyFont="1" applyNumberFormat="1"/>
    <xf borderId="2" fillId="4" fontId="11" numFmtId="2" xfId="0" applyAlignment="1" applyBorder="1" applyFont="1" applyNumberFormat="1">
      <alignment horizontal="center" shrinkToFit="0" vertical="center" wrapText="1"/>
    </xf>
    <xf borderId="7" fillId="2" fontId="12" numFmtId="2" xfId="0" applyBorder="1" applyFont="1" applyNumberFormat="1"/>
    <xf borderId="7" fillId="2" fontId="2" numFmtId="0" xfId="0" applyBorder="1" applyFont="1"/>
    <xf borderId="7" fillId="2" fontId="12" numFmtId="0" xfId="0" applyAlignment="1" applyBorder="1" applyFont="1">
      <alignment horizontal="right" readingOrder="0"/>
    </xf>
    <xf borderId="8" fillId="2" fontId="12" numFmtId="2" xfId="0" applyBorder="1" applyFont="1" applyNumberFormat="1"/>
    <xf borderId="8" fillId="2" fontId="12" numFmtId="0" xfId="0" applyBorder="1" applyFont="1"/>
    <xf borderId="8" fillId="2" fontId="12" numFmtId="10" xfId="0" applyBorder="1" applyFont="1" applyNumberFormat="1"/>
    <xf borderId="0" fillId="2" fontId="12" numFmtId="0" xfId="0" applyFont="1"/>
    <xf borderId="0" fillId="2" fontId="1" numFmtId="166" xfId="0" applyAlignment="1" applyFont="1" applyNumberFormat="1">
      <alignment horizontal="center" readingOrder="0" vertical="center"/>
    </xf>
    <xf borderId="0" fillId="2" fontId="1" numFmtId="4" xfId="0" applyAlignment="1" applyFont="1" applyNumberFormat="1">
      <alignment horizontal="center" readingOrder="0" vertical="center"/>
    </xf>
    <xf borderId="0" fillId="2" fontId="1" numFmtId="0" xfId="0" applyAlignment="1" applyFont="1">
      <alignment horizontal="center" vertical="bottom"/>
    </xf>
    <xf borderId="0" fillId="0" fontId="2" numFmtId="0" xfId="0" applyAlignment="1" applyFont="1">
      <alignment horizontal="center"/>
    </xf>
    <xf borderId="0" fillId="4" fontId="3" numFmtId="2" xfId="0" applyAlignment="1" applyFont="1" applyNumberFormat="1">
      <alignment horizontal="center" vertical="bottom"/>
    </xf>
    <xf borderId="0" fillId="4" fontId="3" numFmtId="1" xfId="0" applyAlignment="1" applyFont="1" applyNumberFormat="1">
      <alignment horizontal="center" readingOrder="0" vertical="bottom"/>
    </xf>
    <xf borderId="0" fillId="0" fontId="2" numFmtId="14" xfId="0" applyFont="1" applyNumberFormat="1"/>
    <xf borderId="0" fillId="0" fontId="2" numFmtId="166" xfId="0" applyAlignment="1" applyFont="1" applyNumberFormat="1">
      <alignment horizontal="center"/>
    </xf>
    <xf borderId="0" fillId="0" fontId="2" numFmtId="169" xfId="0" applyFont="1" applyNumberFormat="1"/>
    <xf borderId="0" fillId="4" fontId="3" numFmtId="1" xfId="0" applyAlignment="1" applyFont="1" applyNumberFormat="1">
      <alignment horizontal="center" vertical="bottom"/>
    </xf>
    <xf borderId="0" fillId="4" fontId="3" numFmtId="2" xfId="0" applyAlignment="1" applyFont="1" applyNumberFormat="1">
      <alignment horizontal="center" readingOrder="0" vertical="bottom"/>
    </xf>
    <xf borderId="0" fillId="0" fontId="13" numFmtId="0" xfId="0" applyAlignment="1" applyFont="1">
      <alignment vertical="bottom"/>
    </xf>
    <xf borderId="9" fillId="2" fontId="1" numFmtId="0" xfId="0" applyAlignment="1" applyBorder="1" applyFont="1">
      <alignment horizontal="center" readingOrder="0" vertical="center"/>
    </xf>
    <xf borderId="9" fillId="2" fontId="1" numFmtId="4" xfId="0" applyAlignment="1" applyBorder="1" applyFont="1" applyNumberFormat="1">
      <alignment horizontal="center" readingOrder="0" vertical="center"/>
    </xf>
    <xf borderId="9" fillId="2" fontId="1" numFmtId="2" xfId="0" applyAlignment="1" applyBorder="1" applyFont="1" applyNumberFormat="1">
      <alignment horizontal="center" readingOrder="0" vertical="center"/>
    </xf>
    <xf borderId="9" fillId="3" fontId="3" numFmtId="166" xfId="0" applyAlignment="1" applyBorder="1" applyFont="1" applyNumberFormat="1">
      <alignment horizontal="center" readingOrder="0" vertical="center"/>
    </xf>
    <xf borderId="0" fillId="0" fontId="2" numFmtId="171" xfId="0" applyFont="1" applyNumberFormat="1"/>
    <xf borderId="0" fillId="3" fontId="3" numFmtId="166" xfId="0" applyAlignment="1" applyFont="1" applyNumberFormat="1">
      <alignment horizontal="center" readingOrder="0" vertical="center"/>
    </xf>
    <xf borderId="0" fillId="4" fontId="3" numFmtId="4" xfId="0" applyAlignment="1" applyFont="1" applyNumberFormat="1">
      <alignment horizontal="center" vertical="center"/>
    </xf>
    <xf borderId="2" fillId="3" fontId="3" numFmtId="164" xfId="0" applyAlignment="1" applyBorder="1" applyFont="1" applyNumberFormat="1">
      <alignment horizontal="center" readingOrder="0" vertical="center"/>
    </xf>
    <xf borderId="2" fillId="4" fontId="3" numFmtId="164" xfId="0" applyAlignment="1" applyBorder="1" applyFont="1" applyNumberFormat="1">
      <alignment horizontal="center" readingOrder="0" vertical="center"/>
    </xf>
    <xf borderId="2" fillId="3" fontId="3" numFmtId="164" xfId="0" applyAlignment="1" applyBorder="1" applyFont="1" applyNumberFormat="1">
      <alignment horizontal="center" vertical="center"/>
    </xf>
    <xf borderId="0" fillId="2" fontId="1" numFmtId="3" xfId="0" applyAlignment="1" applyFont="1" applyNumberFormat="1">
      <alignment horizontal="center" readingOrder="0" vertical="center"/>
    </xf>
    <xf borderId="2" fillId="3" fontId="3" numFmtId="3" xfId="0" applyAlignment="1" applyBorder="1" applyFont="1" applyNumberFormat="1">
      <alignment horizontal="center" readingOrder="0" vertical="center"/>
    </xf>
    <xf borderId="2" fillId="3" fontId="3" numFmtId="4" xfId="0" applyAlignment="1" applyBorder="1" applyFont="1" applyNumberFormat="1">
      <alignment horizontal="center" readingOrder="0" vertical="center"/>
    </xf>
    <xf borderId="3" fillId="4" fontId="3" numFmtId="4" xfId="0" applyAlignment="1" applyBorder="1" applyFont="1" applyNumberFormat="1">
      <alignment horizontal="center" vertical="center"/>
    </xf>
    <xf borderId="2" fillId="3" fontId="3" numFmtId="3" xfId="0" applyAlignment="1" applyBorder="1" applyFont="1" applyNumberFormat="1">
      <alignment horizontal="center" vertical="center"/>
    </xf>
    <xf borderId="2" fillId="3" fontId="3" numFmtId="4" xfId="0" applyAlignment="1" applyBorder="1" applyFont="1" applyNumberFormat="1">
      <alignment horizontal="center" vertical="center"/>
    </xf>
    <xf borderId="0" fillId="2" fontId="2" numFmtId="3" xfId="0" applyFont="1" applyNumberFormat="1"/>
    <xf borderId="0" fillId="2" fontId="2" numFmtId="4" xfId="0" applyFont="1" applyNumberFormat="1"/>
    <xf borderId="0" fillId="0" fontId="2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2" numFmtId="167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7" xfId="0" applyAlignment="1" applyFont="1" applyNumberFormat="1">
      <alignment shrinkToFit="0" vertical="center" wrapText="0"/>
    </xf>
    <xf borderId="0" fillId="0" fontId="2" numFmtId="167" xfId="0" applyFont="1" applyNumberFormat="1"/>
    <xf borderId="0" fillId="6" fontId="14" numFmtId="0" xfId="0" applyAlignment="1" applyFill="1" applyFont="1">
      <alignment horizontal="center" readingOrder="0" shrinkToFit="0" wrapText="0"/>
    </xf>
    <xf borderId="0" fillId="0" fontId="15" numFmtId="0" xfId="0" applyAlignment="1" applyFont="1">
      <alignment horizontal="left" shrinkToFit="0" wrapText="0"/>
    </xf>
    <xf borderId="0" fillId="0" fontId="15" numFmtId="0" xfId="0" applyAlignment="1" applyFont="1">
      <alignment horizontal="right" shrinkToFit="0" wrapText="0"/>
    </xf>
    <xf borderId="10" fillId="7" fontId="16" numFmtId="0" xfId="0" applyAlignment="1" applyBorder="1" applyFill="1" applyFont="1">
      <alignment horizontal="left" readingOrder="0" shrinkToFit="0" wrapText="0"/>
    </xf>
    <xf borderId="10" fillId="7" fontId="17" numFmtId="4" xfId="0" applyAlignment="1" applyBorder="1" applyFont="1" applyNumberFormat="1">
      <alignment horizontal="right" readingOrder="0" shrinkToFit="0" wrapText="0"/>
    </xf>
    <xf borderId="10" fillId="7" fontId="17" numFmtId="0" xfId="0" applyAlignment="1" applyBorder="1" applyFont="1">
      <alignment horizontal="right" readingOrder="0" shrinkToFit="0" wrapText="0"/>
    </xf>
    <xf borderId="10" fillId="7" fontId="17" numFmtId="20" xfId="0" applyAlignment="1" applyBorder="1" applyFont="1" applyNumberFormat="1">
      <alignment horizontal="right" readingOrder="0" shrinkToFit="0" wrapText="0"/>
    </xf>
    <xf borderId="10" fillId="7" fontId="17" numFmtId="3" xfId="0" applyAlignment="1" applyBorder="1" applyFont="1" applyNumberFormat="1">
      <alignment horizontal="right" readingOrder="0" shrinkToFit="0" wrapText="0"/>
    </xf>
    <xf borderId="10" fillId="7" fontId="18" numFmtId="0" xfId="0" applyAlignment="1" applyBorder="1" applyFont="1">
      <alignment horizontal="left" readingOrder="0" shrinkToFit="0" wrapText="0"/>
    </xf>
    <xf borderId="10" fillId="7" fontId="19" numFmtId="0" xfId="0" applyAlignment="1" applyBorder="1" applyFont="1">
      <alignment horizontal="center" readingOrder="0" shrinkToFit="0" wrapText="0"/>
    </xf>
    <xf borderId="10" fillId="7" fontId="20" numFmtId="0" xfId="0" applyBorder="1" applyFont="1"/>
    <xf borderId="0" fillId="0" fontId="21" numFmtId="0" xfId="0" applyAlignment="1" applyFont="1">
      <alignment horizontal="center" shrinkToFit="0" wrapText="0"/>
    </xf>
    <xf borderId="0" fillId="0" fontId="22" numFmtId="0" xfId="0" applyAlignment="1" applyFont="1">
      <alignment horizontal="center" readingOrder="0" shrinkToFit="0" wrapText="0"/>
    </xf>
    <xf borderId="0" fillId="0" fontId="21" numFmtId="0" xfId="0" applyAlignment="1" applyFont="1">
      <alignment horizontal="center" readingOrder="0" shrinkToFit="0" wrapText="0"/>
    </xf>
    <xf borderId="0" fillId="0" fontId="23" numFmtId="0" xfId="0" applyAlignment="1" applyFont="1">
      <alignment horizontal="center" readingOrder="0" shrinkToFit="0" wrapText="0"/>
    </xf>
    <xf borderId="0" fillId="0" fontId="23" numFmtId="0" xfId="0" applyAlignment="1" applyFont="1">
      <alignment horizontal="center" shrinkToFit="0" wrapText="0"/>
    </xf>
    <xf borderId="0" fillId="0" fontId="24" numFmtId="0" xfId="0" applyAlignment="1" applyFont="1">
      <alignment readingOrder="0" shrinkToFit="0" wrapText="0"/>
    </xf>
    <xf borderId="0" fillId="6" fontId="24" numFmtId="0" xfId="0" applyAlignment="1" applyFont="1">
      <alignment shrinkToFit="0" wrapText="0"/>
    </xf>
    <xf borderId="0" fillId="2" fontId="25" numFmtId="0" xfId="0" applyAlignment="1" applyFont="1">
      <alignment horizontal="center" readingOrder="0"/>
    </xf>
    <xf borderId="0" fillId="4" fontId="2" numFmtId="0" xfId="0" applyAlignment="1" applyFont="1">
      <alignment horizontal="center" readingOrder="0"/>
    </xf>
    <xf borderId="0" fillId="4" fontId="2" numFmtId="10" xfId="0" applyAlignment="1" applyFont="1" applyNumberFormat="1">
      <alignment horizontal="center" readingOrder="0"/>
    </xf>
    <xf borderId="0" fillId="4" fontId="2" numFmtId="0" xfId="0" applyAlignment="1" applyFont="1">
      <alignment horizontal="center"/>
    </xf>
    <xf borderId="0" fillId="4" fontId="2" numFmtId="10" xfId="0" applyAlignment="1" applyFont="1" applyNumberFormat="1">
      <alignment horizontal="center"/>
    </xf>
    <xf borderId="11" fillId="8" fontId="26" numFmtId="0" xfId="0" applyAlignment="1" applyBorder="1" applyFill="1" applyFont="1">
      <alignment horizontal="center" shrinkToFit="0" vertical="center" wrapText="1"/>
    </xf>
    <xf borderId="12" fillId="0" fontId="7" numFmtId="0" xfId="0" applyBorder="1" applyFont="1"/>
    <xf borderId="13" fillId="0" fontId="7" numFmtId="0" xfId="0" applyBorder="1" applyFont="1"/>
    <xf borderId="11" fillId="9" fontId="27" numFmtId="172" xfId="0" applyAlignment="1" applyBorder="1" applyFill="1" applyFont="1" applyNumberFormat="1">
      <alignment horizontal="center" shrinkToFit="0" vertical="center" wrapText="1"/>
    </xf>
    <xf borderId="11" fillId="10" fontId="28" numFmtId="0" xfId="0" applyAlignment="1" applyBorder="1" applyFill="1" applyFont="1">
      <alignment horizontal="center" shrinkToFit="0" vertical="center" wrapText="1"/>
    </xf>
    <xf borderId="14" fillId="9" fontId="29" numFmtId="0" xfId="0" applyAlignment="1" applyBorder="1" applyFont="1">
      <alignment horizontal="center" shrinkToFit="0" vertical="center" wrapText="1"/>
    </xf>
    <xf borderId="14" fillId="11" fontId="30" numFmtId="0" xfId="0" applyAlignment="1" applyBorder="1" applyFill="1" applyFont="1">
      <alignment shrinkToFit="0" vertical="bottom" wrapText="0"/>
    </xf>
    <xf borderId="14" fillId="11" fontId="31" numFmtId="0" xfId="0" applyAlignment="1" applyBorder="1" applyFont="1">
      <alignment shrinkToFit="0" vertical="bottom" wrapText="0"/>
    </xf>
    <xf borderId="14" fillId="11" fontId="31" numFmtId="173" xfId="0" applyAlignment="1" applyBorder="1" applyFont="1" applyNumberFormat="1">
      <alignment shrinkToFit="0" vertical="bottom" wrapText="0"/>
    </xf>
    <xf borderId="14" fillId="11" fontId="31" numFmtId="174" xfId="0" applyAlignment="1" applyBorder="1" applyFont="1" applyNumberFormat="1">
      <alignment shrinkToFit="0" vertical="bottom" wrapText="0"/>
    </xf>
    <xf borderId="14" fillId="11" fontId="31" numFmtId="169" xfId="0" applyAlignment="1" applyBorder="1" applyFont="1" applyNumberFormat="1">
      <alignment shrinkToFit="0" vertical="bottom" wrapText="0"/>
    </xf>
    <xf borderId="14" fillId="11" fontId="32" numFmtId="173" xfId="0" applyAlignment="1" applyBorder="1" applyFont="1" applyNumberFormat="1">
      <alignment shrinkToFit="0" vertical="bottom" wrapText="0"/>
    </xf>
    <xf borderId="14" fillId="12" fontId="30" numFmtId="0" xfId="0" applyAlignment="1" applyBorder="1" applyFill="1" applyFont="1">
      <alignment shrinkToFit="0" vertical="bottom" wrapText="0"/>
    </xf>
    <xf borderId="14" fillId="12" fontId="31" numFmtId="0" xfId="0" applyAlignment="1" applyBorder="1" applyFont="1">
      <alignment shrinkToFit="0" vertical="bottom" wrapText="0"/>
    </xf>
    <xf borderId="14" fillId="12" fontId="31" numFmtId="173" xfId="0" applyAlignment="1" applyBorder="1" applyFont="1" applyNumberFormat="1">
      <alignment shrinkToFit="0" vertical="bottom" wrapText="0"/>
    </xf>
    <xf borderId="14" fillId="12" fontId="31" numFmtId="174" xfId="0" applyAlignment="1" applyBorder="1" applyFont="1" applyNumberFormat="1">
      <alignment shrinkToFit="0" vertical="bottom" wrapText="0"/>
    </xf>
    <xf borderId="14" fillId="12" fontId="31" numFmtId="169" xfId="0" applyAlignment="1" applyBorder="1" applyFont="1" applyNumberFormat="1">
      <alignment shrinkToFit="0" vertical="bottom" wrapText="0"/>
    </xf>
    <xf borderId="14" fillId="12" fontId="32" numFmtId="173" xfId="0" applyAlignment="1" applyBorder="1" applyFont="1" applyNumberFormat="1">
      <alignment shrinkToFit="0" vertical="bottom" wrapText="0"/>
    </xf>
    <xf borderId="11" fillId="9" fontId="29" numFmtId="0" xfId="0" applyAlignment="1" applyBorder="1" applyFont="1">
      <alignment horizontal="center" shrinkToFit="0" vertical="center" wrapText="1"/>
    </xf>
    <xf borderId="14" fillId="11" fontId="33" numFmtId="173" xfId="0" applyAlignment="1" applyBorder="1" applyFont="1" applyNumberFormat="1">
      <alignment shrinkToFit="0" vertical="bottom" wrapText="0"/>
    </xf>
    <xf borderId="11" fillId="13" fontId="28" numFmtId="0" xfId="0" applyAlignment="1" applyBorder="1" applyFill="1" applyFont="1">
      <alignment horizontal="center" shrinkToFit="0" vertical="center" wrapText="1"/>
    </xf>
    <xf borderId="14" fillId="14" fontId="34" numFmtId="0" xfId="0" applyAlignment="1" applyBorder="1" applyFill="1" applyFont="1">
      <alignment shrinkToFit="0" vertical="bottom" wrapText="0"/>
    </xf>
    <xf borderId="14" fillId="14" fontId="35" numFmtId="175" xfId="0" applyAlignment="1" applyBorder="1" applyFont="1" applyNumberFormat="1">
      <alignment shrinkToFit="0" vertical="bottom" wrapText="0"/>
    </xf>
    <xf borderId="14" fillId="14" fontId="35" numFmtId="173" xfId="0" applyAlignment="1" applyBorder="1" applyFont="1" applyNumberFormat="1">
      <alignment shrinkToFit="0" vertical="bottom" wrapText="0"/>
    </xf>
    <xf borderId="14" fillId="14" fontId="35" numFmtId="0" xfId="0" applyAlignment="1" applyBorder="1" applyFont="1">
      <alignment shrinkToFit="0" vertical="bottom" wrapText="0"/>
    </xf>
    <xf borderId="14" fillId="15" fontId="34" numFmtId="0" xfId="0" applyAlignment="1" applyBorder="1" applyFill="1" applyFont="1">
      <alignment shrinkToFit="0" vertical="bottom" wrapText="0"/>
    </xf>
    <xf borderId="14" fillId="15" fontId="35" numFmtId="175" xfId="0" applyAlignment="1" applyBorder="1" applyFont="1" applyNumberFormat="1">
      <alignment shrinkToFit="0" vertical="bottom" wrapText="0"/>
    </xf>
    <xf borderId="14" fillId="15" fontId="35" numFmtId="173" xfId="0" applyAlignment="1" applyBorder="1" applyFont="1" applyNumberFormat="1">
      <alignment shrinkToFit="0" vertical="bottom" wrapText="0"/>
    </xf>
    <xf borderId="14" fillId="15" fontId="35" numFmtId="0" xfId="0" applyAlignment="1" applyBorder="1" applyFont="1">
      <alignment shrinkToFit="0" vertical="bottom" wrapText="0"/>
    </xf>
    <xf borderId="14" fillId="14" fontId="36" numFmtId="173" xfId="0" applyAlignment="1" applyBorder="1" applyFont="1" applyNumberFormat="1">
      <alignment shrinkToFit="0" vertical="bottom" wrapText="0"/>
    </xf>
    <xf borderId="0" fillId="0" fontId="37" numFmtId="0" xfId="0" applyAlignment="1" applyFont="1">
      <alignment horizontal="left" shrinkToFit="0" vertical="center" wrapText="0"/>
    </xf>
    <xf borderId="11" fillId="8" fontId="38" numFmtId="0" xfId="0" applyAlignment="1" applyBorder="1" applyFont="1">
      <alignment horizontal="center" shrinkToFit="0" vertical="center" wrapText="1"/>
    </xf>
    <xf borderId="15" fillId="9" fontId="29" numFmtId="0" xfId="0" applyAlignment="1" applyBorder="1" applyFont="1">
      <alignment horizontal="left" shrinkToFit="0" vertical="center" wrapText="0"/>
    </xf>
    <xf borderId="16" fillId="0" fontId="7" numFmtId="0" xfId="0" applyBorder="1" applyFont="1"/>
    <xf borderId="14" fillId="0" fontId="39" numFmtId="0" xfId="0" applyAlignment="1" applyBorder="1" applyFont="1">
      <alignment shrinkToFit="0" vertical="bottom" wrapText="0"/>
    </xf>
    <xf borderId="14" fillId="0" fontId="40" numFmtId="0" xfId="0" applyAlignment="1" applyBorder="1" applyFont="1">
      <alignment shrinkToFit="0" vertical="bottom" wrapText="0"/>
    </xf>
    <xf borderId="17" fillId="9" fontId="29" numFmtId="0" xfId="0" applyAlignment="1" applyBorder="1" applyFont="1">
      <alignment horizontal="right" shrinkToFit="0" vertical="center" wrapText="0"/>
    </xf>
    <xf borderId="17" fillId="16" fontId="41" numFmtId="0" xfId="0" applyAlignment="1" applyBorder="1" applyFill="1" applyFont="1">
      <alignment horizontal="left" shrinkToFit="0" vertical="center" wrapText="0"/>
    </xf>
    <xf borderId="17" fillId="16" fontId="42" numFmtId="173" xfId="0" applyAlignment="1" applyBorder="1" applyFont="1" applyNumberFormat="1">
      <alignment horizontal="right" shrinkToFit="0" vertical="center" wrapText="0"/>
    </xf>
    <xf borderId="17" fillId="16" fontId="43" numFmtId="174" xfId="0" applyAlignment="1" applyBorder="1" applyFont="1" applyNumberFormat="1">
      <alignment horizontal="center" shrinkToFit="0" vertical="center" wrapText="1"/>
    </xf>
    <xf borderId="14" fillId="6" fontId="44" numFmtId="0" xfId="0" applyAlignment="1" applyBorder="1" applyFont="1">
      <alignment horizontal="center" shrinkToFit="0" vertical="center" wrapText="1"/>
    </xf>
    <xf borderId="14" fillId="6" fontId="32" numFmtId="169" xfId="0" applyAlignment="1" applyBorder="1" applyFont="1" applyNumberFormat="1">
      <alignment horizontal="center" shrinkToFit="0" vertical="center" wrapText="1"/>
    </xf>
    <xf borderId="14" fillId="6" fontId="32" numFmtId="0" xfId="0" applyAlignment="1" applyBorder="1" applyFont="1">
      <alignment horizontal="center" shrinkToFit="0" vertical="center" wrapText="1"/>
    </xf>
    <xf borderId="14" fillId="6" fontId="32" numFmtId="173" xfId="0" applyAlignment="1" applyBorder="1" applyFont="1" applyNumberFormat="1">
      <alignment horizontal="right" shrinkToFit="0" vertical="center" wrapText="0"/>
    </xf>
    <xf borderId="14" fillId="6" fontId="45" numFmtId="173" xfId="0" applyAlignment="1" applyBorder="1" applyFont="1" applyNumberFormat="1">
      <alignment horizontal="right" shrinkToFit="0" vertical="center" wrapText="0"/>
    </xf>
    <xf borderId="14" fillId="6" fontId="45" numFmtId="174" xfId="0" applyAlignment="1" applyBorder="1" applyFont="1" applyNumberFormat="1">
      <alignment horizontal="center" shrinkToFit="0" vertical="center" wrapText="1"/>
    </xf>
    <xf borderId="14" fillId="6" fontId="45" numFmtId="0" xfId="0" applyAlignment="1" applyBorder="1" applyFont="1">
      <alignment horizontal="center" shrinkToFit="0" vertical="center" wrapText="1"/>
    </xf>
    <xf borderId="14" fillId="6" fontId="32" numFmtId="0" xfId="0" applyAlignment="1" applyBorder="1" applyFont="1">
      <alignment horizontal="left" shrinkToFit="0" vertical="center" wrapText="0"/>
    </xf>
    <xf borderId="14" fillId="17" fontId="44" numFmtId="0" xfId="0" applyAlignment="1" applyBorder="1" applyFill="1" applyFont="1">
      <alignment horizontal="center" shrinkToFit="0" vertical="center" wrapText="1"/>
    </xf>
    <xf borderId="14" fillId="17" fontId="32" numFmtId="169" xfId="0" applyAlignment="1" applyBorder="1" applyFont="1" applyNumberFormat="1">
      <alignment horizontal="center" shrinkToFit="0" vertical="center" wrapText="1"/>
    </xf>
    <xf borderId="14" fillId="17" fontId="32" numFmtId="0" xfId="0" applyAlignment="1" applyBorder="1" applyFont="1">
      <alignment horizontal="center" shrinkToFit="0" vertical="center" wrapText="1"/>
    </xf>
    <xf borderId="14" fillId="17" fontId="32" numFmtId="173" xfId="0" applyAlignment="1" applyBorder="1" applyFont="1" applyNumberFormat="1">
      <alignment horizontal="right" shrinkToFit="0" vertical="center" wrapText="0"/>
    </xf>
    <xf borderId="14" fillId="17" fontId="45" numFmtId="173" xfId="0" applyAlignment="1" applyBorder="1" applyFont="1" applyNumberFormat="1">
      <alignment horizontal="right" shrinkToFit="0" vertical="center" wrapText="0"/>
    </xf>
    <xf borderId="14" fillId="17" fontId="45" numFmtId="174" xfId="0" applyAlignment="1" applyBorder="1" applyFont="1" applyNumberFormat="1">
      <alignment horizontal="center" shrinkToFit="0" vertical="center" wrapText="1"/>
    </xf>
    <xf borderId="14" fillId="17" fontId="45" numFmtId="0" xfId="0" applyAlignment="1" applyBorder="1" applyFont="1">
      <alignment horizontal="center" shrinkToFit="0" vertical="center" wrapText="1"/>
    </xf>
    <xf borderId="14" fillId="17" fontId="32" numFmtId="0" xfId="0" applyAlignment="1" applyBorder="1" applyFont="1">
      <alignment horizontal="left" shrinkToFit="0" vertical="center" wrapText="0"/>
    </xf>
    <xf borderId="11" fillId="9" fontId="29" numFmtId="0" xfId="0" applyAlignment="1" applyBorder="1" applyFont="1">
      <alignment horizontal="right" shrinkToFit="0" vertical="center" wrapText="0"/>
    </xf>
    <xf borderId="0" fillId="0" fontId="2" numFmtId="0" xfId="0" applyAlignment="1" applyFont="1">
      <alignment horizontal="left"/>
    </xf>
    <xf borderId="0" fillId="0" fontId="33" numFmtId="0" xfId="0" applyAlignment="1" applyFont="1">
      <alignment horizontal="center" readingOrder="0" shrinkToFit="0" vertical="center" wrapText="1"/>
    </xf>
    <xf borderId="0" fillId="0" fontId="33" numFmtId="0" xfId="0" applyAlignment="1" applyFont="1">
      <alignment horizontal="left" readingOrder="0" shrinkToFit="0" vertical="center" wrapText="1"/>
    </xf>
    <xf borderId="14" fillId="6" fontId="44" numFmtId="0" xfId="0" applyAlignment="1" applyBorder="1" applyFont="1">
      <alignment shrinkToFit="0" vertical="center" wrapText="1"/>
    </xf>
    <xf borderId="14" fillId="6" fontId="32" numFmtId="171" xfId="0" applyAlignment="1" applyBorder="1" applyFont="1" applyNumberFormat="1">
      <alignment horizontal="center" readingOrder="0" shrinkToFit="0" vertical="center" wrapText="1"/>
    </xf>
    <xf borderId="14" fillId="6" fontId="32" numFmtId="0" xfId="0" applyAlignment="1" applyBorder="1" applyFont="1">
      <alignment horizontal="left" readingOrder="0" shrinkToFit="0" vertical="center" wrapText="1"/>
    </xf>
    <xf borderId="14" fillId="6" fontId="32" numFmtId="0" xfId="0" applyAlignment="1" applyBorder="1" applyFont="1">
      <alignment readingOrder="0" shrinkToFit="0" vertical="center" wrapText="0"/>
    </xf>
    <xf borderId="14" fillId="6" fontId="45" numFmtId="173" xfId="0" applyAlignment="1" applyBorder="1" applyFont="1" applyNumberFormat="1">
      <alignment shrinkToFit="0" vertical="center" wrapText="0"/>
    </xf>
    <xf borderId="14" fillId="6" fontId="45" numFmtId="174" xfId="0" applyAlignment="1" applyBorder="1" applyFont="1" applyNumberFormat="1">
      <alignment shrinkToFit="0" vertical="center" wrapText="1"/>
    </xf>
    <xf borderId="14" fillId="6" fontId="45" numFmtId="0" xfId="0" applyAlignment="1" applyBorder="1" applyFont="1">
      <alignment horizontal="center" shrinkToFit="0" vertical="center" wrapText="1"/>
    </xf>
    <xf borderId="14" fillId="6" fontId="32" numFmtId="173" xfId="0" applyAlignment="1" applyBorder="1" applyFont="1" applyNumberFormat="1">
      <alignment shrinkToFit="0" vertical="center" wrapText="0"/>
    </xf>
    <xf borderId="14" fillId="6" fontId="32" numFmtId="0" xfId="0" applyAlignment="1" applyBorder="1" applyFont="1">
      <alignment horizontal="left" shrinkToFit="0" vertical="center" wrapText="0"/>
    </xf>
    <xf borderId="14" fillId="17" fontId="32" numFmtId="171" xfId="0" applyAlignment="1" applyBorder="1" applyFont="1" applyNumberFormat="1">
      <alignment horizontal="center" readingOrder="0" shrinkToFit="0" vertical="center" wrapText="1"/>
    </xf>
    <xf borderId="14" fillId="17" fontId="32" numFmtId="0" xfId="0" applyAlignment="1" applyBorder="1" applyFont="1">
      <alignment horizontal="left" readingOrder="0" shrinkToFit="0" vertical="center" wrapText="1"/>
    </xf>
    <xf borderId="14" fillId="17" fontId="32" numFmtId="0" xfId="0" applyAlignment="1" applyBorder="1" applyFont="1">
      <alignment readingOrder="0" shrinkToFit="0" vertical="center" wrapText="0"/>
    </xf>
    <xf borderId="14" fillId="17" fontId="45" numFmtId="174" xfId="0" applyAlignment="1" applyBorder="1" applyFont="1" applyNumberFormat="1">
      <alignment shrinkToFit="0" vertical="center" wrapText="1"/>
    </xf>
    <xf borderId="14" fillId="17" fontId="45" numFmtId="0" xfId="0" applyAlignment="1" applyBorder="1" applyFont="1">
      <alignment horizontal="center" shrinkToFit="0" vertical="center" wrapText="1"/>
    </xf>
    <xf borderId="14" fillId="17" fontId="32" numFmtId="173" xfId="0" applyAlignment="1" applyBorder="1" applyFont="1" applyNumberFormat="1">
      <alignment shrinkToFit="0" vertical="center" wrapText="0"/>
    </xf>
    <xf borderId="14" fillId="17" fontId="32" numFmtId="0" xfId="0" applyAlignment="1" applyBorder="1" applyFont="1">
      <alignment horizontal="left" shrinkToFit="0" vertical="center" wrapText="0"/>
    </xf>
    <xf borderId="14" fillId="6" fontId="32" numFmtId="169" xfId="0" applyAlignment="1" applyBorder="1" applyFont="1" applyNumberFormat="1">
      <alignment horizontal="center" readingOrder="0" shrinkToFit="0" vertical="center" wrapText="1"/>
    </xf>
    <xf borderId="14" fillId="17" fontId="32" numFmtId="169" xfId="0" applyAlignment="1" applyBorder="1" applyFont="1" applyNumberFormat="1">
      <alignment horizontal="center" readingOrder="0" shrinkToFit="0" vertical="center" wrapText="1"/>
    </xf>
    <xf borderId="14" fillId="17" fontId="45" numFmtId="173" xfId="0" applyAlignment="1" applyBorder="1" applyFont="1" applyNumberFormat="1">
      <alignment shrinkToFit="0" vertical="center" wrapText="0"/>
    </xf>
    <xf borderId="14" fillId="6" fontId="44" numFmtId="0" xfId="0" applyAlignment="1" applyBorder="1" applyFont="1">
      <alignment shrinkToFit="0" vertical="center" wrapText="1"/>
    </xf>
    <xf borderId="14" fillId="6" fontId="32" numFmtId="169" xfId="0" applyAlignment="1" applyBorder="1" applyFont="1" applyNumberFormat="1">
      <alignment horizontal="center" readingOrder="0" shrinkToFit="0" vertical="center" wrapText="1"/>
    </xf>
    <xf borderId="14" fillId="6" fontId="32" numFmtId="0" xfId="0" applyAlignment="1" applyBorder="1" applyFont="1">
      <alignment readingOrder="0" shrinkToFit="0" vertical="center" wrapText="0"/>
    </xf>
    <xf borderId="14" fillId="6" fontId="45" numFmtId="173" xfId="0" applyAlignment="1" applyBorder="1" applyFont="1" applyNumberFormat="1">
      <alignment shrinkToFit="0" vertical="center" wrapText="0"/>
    </xf>
    <xf borderId="14" fillId="6" fontId="45" numFmtId="174" xfId="0" applyAlignment="1" applyBorder="1" applyFont="1" applyNumberFormat="1">
      <alignment shrinkToFit="0" vertical="center" wrapText="1"/>
    </xf>
    <xf borderId="14" fillId="6" fontId="32" numFmtId="173" xfId="0" applyAlignment="1" applyBorder="1" applyFont="1" applyNumberFormat="1">
      <alignment shrinkToFit="0" vertical="center" wrapText="0"/>
    </xf>
    <xf borderId="0" fillId="6" fontId="44" numFmtId="0" xfId="0" applyAlignment="1" applyFont="1">
      <alignment shrinkToFit="0" vertical="center" wrapText="1"/>
    </xf>
    <xf borderId="0" fillId="6" fontId="32" numFmtId="169" xfId="0" applyAlignment="1" applyFont="1" applyNumberFormat="1">
      <alignment horizontal="center" readingOrder="0" shrinkToFit="0" vertical="center" wrapText="1"/>
    </xf>
    <xf borderId="0" fillId="6" fontId="32" numFmtId="0" xfId="0" applyAlignment="1" applyFont="1">
      <alignment horizontal="left" readingOrder="0" shrinkToFit="0" vertical="center" wrapText="1"/>
    </xf>
    <xf borderId="0" fillId="6" fontId="32" numFmtId="0" xfId="0" applyAlignment="1" applyFont="1">
      <alignment readingOrder="0" shrinkToFit="0" vertical="center" wrapText="0"/>
    </xf>
    <xf borderId="0" fillId="6" fontId="45" numFmtId="173" xfId="0" applyAlignment="1" applyFont="1" applyNumberFormat="1">
      <alignment shrinkToFit="0" vertical="center" wrapText="0"/>
    </xf>
    <xf borderId="0" fillId="6" fontId="45" numFmtId="174" xfId="0" applyAlignment="1" applyFont="1" applyNumberFormat="1">
      <alignment shrinkToFit="0" vertical="center" wrapText="1"/>
    </xf>
    <xf borderId="0" fillId="6" fontId="45" numFmtId="0" xfId="0" applyAlignment="1" applyFont="1">
      <alignment horizontal="center" shrinkToFit="0" vertical="center" wrapText="1"/>
    </xf>
    <xf borderId="0" fillId="6" fontId="32" numFmtId="173" xfId="0" applyAlignment="1" applyFont="1" applyNumberFormat="1">
      <alignment shrinkToFit="0" vertical="center" wrapText="0"/>
    </xf>
    <xf borderId="0" fillId="6" fontId="32" numFmtId="0" xfId="0" applyAlignment="1" applyFont="1">
      <alignment horizontal="left" shrinkToFit="0" vertical="center" wrapText="0"/>
    </xf>
    <xf borderId="14" fillId="6" fontId="32" numFmtId="0" xfId="0" applyAlignment="1" applyBorder="1" applyFont="1">
      <alignment horizontal="center" readingOrder="0" shrinkToFit="0" vertical="center" wrapText="1"/>
    </xf>
    <xf borderId="14" fillId="6" fontId="32" numFmtId="0" xfId="0" applyAlignment="1" applyBorder="1" applyFont="1">
      <alignment horizontal="right" readingOrder="0" shrinkToFit="0" vertical="center" wrapText="0"/>
    </xf>
    <xf borderId="14" fillId="6" fontId="45" numFmtId="174" xfId="0" applyAlignment="1" applyBorder="1" applyFont="1" applyNumberFormat="1">
      <alignment horizontal="center" shrinkToFit="0" vertical="center" wrapText="1"/>
    </xf>
    <xf borderId="14" fillId="6" fontId="32" numFmtId="173" xfId="0" applyAlignment="1" applyBorder="1" applyFont="1" applyNumberFormat="1">
      <alignment horizontal="right" shrinkToFit="0" vertical="center" wrapText="0"/>
    </xf>
    <xf borderId="14" fillId="17" fontId="32" numFmtId="0" xfId="0" applyAlignment="1" applyBorder="1" applyFont="1">
      <alignment horizontal="center" readingOrder="0" shrinkToFit="0" vertical="center" wrapText="1"/>
    </xf>
    <xf borderId="14" fillId="17" fontId="32" numFmtId="0" xfId="0" applyAlignment="1" applyBorder="1" applyFont="1">
      <alignment horizontal="right" readingOrder="0" shrinkToFit="0" vertical="center" wrapText="0"/>
    </xf>
    <xf borderId="14" fillId="17" fontId="45" numFmtId="174" xfId="0" applyAlignment="1" applyBorder="1" applyFont="1" applyNumberFormat="1">
      <alignment horizontal="center" shrinkToFit="0" vertical="center" wrapText="1"/>
    </xf>
    <xf borderId="14" fillId="17" fontId="32" numFmtId="173" xfId="0" applyAlignment="1" applyBorder="1" applyFont="1" applyNumberFormat="1">
      <alignment horizontal="right" shrinkToFit="0" vertical="center" wrapText="0"/>
    </xf>
    <xf borderId="14" fillId="17" fontId="44" numFmtId="0" xfId="0" applyAlignment="1" applyBorder="1" applyFont="1">
      <alignment shrinkToFit="0" vertical="center" wrapText="1"/>
    </xf>
    <xf borderId="14" fillId="6" fontId="32" numFmtId="0" xfId="0" applyAlignment="1" applyBorder="1" applyFont="1">
      <alignment horizontal="right" shrinkToFit="0" vertical="center" wrapText="0"/>
    </xf>
    <xf borderId="14" fillId="17" fontId="32" numFmtId="173" xfId="0" applyAlignment="1" applyBorder="1" applyFont="1" applyNumberFormat="1">
      <alignment horizontal="right" readingOrder="0" shrinkToFit="0" vertical="center" wrapText="0"/>
    </xf>
    <xf borderId="14" fillId="6" fontId="32" numFmtId="0" xfId="0" applyAlignment="1" applyBorder="1" applyFont="1">
      <alignment horizontal="center" readingOrder="0" shrinkToFit="0" vertical="center" wrapText="1"/>
    </xf>
    <xf borderId="14" fillId="6" fontId="32" numFmtId="167" xfId="0" applyAlignment="1" applyBorder="1" applyFont="1" applyNumberFormat="1">
      <alignment readingOrder="0" shrinkToFit="0" vertical="center" wrapText="0"/>
    </xf>
    <xf borderId="14" fillId="17" fontId="44" numFmtId="0" xfId="0" applyAlignment="1" applyBorder="1" applyFont="1">
      <alignment shrinkToFit="0" vertical="center" wrapText="1"/>
    </xf>
    <xf borderId="14" fillId="17" fontId="32" numFmtId="169" xfId="0" applyAlignment="1" applyBorder="1" applyFont="1" applyNumberFormat="1">
      <alignment horizontal="center" readingOrder="0" shrinkToFit="0" vertical="center" wrapText="1"/>
    </xf>
    <xf borderId="14" fillId="17" fontId="32" numFmtId="173" xfId="0" applyAlignment="1" applyBorder="1" applyFont="1" applyNumberFormat="1">
      <alignment horizontal="right" readingOrder="0" shrinkToFit="0" vertical="center" wrapText="0"/>
    </xf>
    <xf borderId="14" fillId="6" fontId="32" numFmtId="173" xfId="0" applyAlignment="1" applyBorder="1" applyFont="1" applyNumberFormat="1">
      <alignment horizontal="right" readingOrder="0" shrinkToFit="0" vertical="center" wrapText="0"/>
    </xf>
    <xf borderId="14" fillId="17" fontId="32" numFmtId="0" xfId="0" applyAlignment="1" applyBorder="1" applyFont="1">
      <alignment horizontal="center" readingOrder="0" shrinkToFit="0" vertical="center" wrapText="1"/>
    </xf>
    <xf borderId="14" fillId="6" fontId="32" numFmtId="167" xfId="0" applyAlignment="1" applyBorder="1" applyFont="1" applyNumberFormat="1">
      <alignment readingOrder="0" shrinkToFit="0" vertical="center" wrapText="0"/>
    </xf>
    <xf borderId="14" fillId="6" fontId="45" numFmtId="173" xfId="0" applyAlignment="1" applyBorder="1" applyFont="1" applyNumberFormat="1">
      <alignment horizontal="right" shrinkToFit="0" vertical="center" wrapText="0"/>
    </xf>
    <xf borderId="14" fillId="17" fontId="32" numFmtId="167" xfId="0" applyAlignment="1" applyBorder="1" applyFont="1" applyNumberFormat="1">
      <alignment readingOrder="0" shrinkToFit="0" vertical="center" wrapText="0"/>
    </xf>
    <xf borderId="14" fillId="17" fontId="32" numFmtId="169" xfId="0" applyAlignment="1" applyBorder="1" applyFont="1" applyNumberFormat="1">
      <alignment horizontal="center" shrinkToFit="0" vertical="center" wrapText="1"/>
    </xf>
    <xf borderId="14" fillId="17" fontId="32" numFmtId="167" xfId="0" applyAlignment="1" applyBorder="1" applyFont="1" applyNumberFormat="1">
      <alignment shrinkToFit="0" vertical="center" wrapText="0"/>
    </xf>
    <xf borderId="14" fillId="6" fontId="32" numFmtId="169" xfId="0" applyAlignment="1" applyBorder="1" applyFont="1" applyNumberFormat="1">
      <alignment horizontal="center" shrinkToFit="0" vertical="center" wrapText="1"/>
    </xf>
    <xf borderId="14" fillId="6" fontId="32" numFmtId="167" xfId="0" applyAlignment="1" applyBorder="1" applyFont="1" applyNumberFormat="1">
      <alignment shrinkToFit="0" vertical="center" wrapText="0"/>
    </xf>
    <xf borderId="14" fillId="17" fontId="45" numFmtId="173" xfId="0" applyAlignment="1" applyBorder="1" applyFont="1" applyNumberFormat="1">
      <alignment horizontal="right" shrinkToFit="0" vertical="center" wrapText="0"/>
    </xf>
    <xf borderId="14" fillId="6" fontId="32" numFmtId="0" xfId="0" applyAlignment="1" applyBorder="1" applyFont="1">
      <alignment horizontal="center" shrinkToFit="0" vertical="center" wrapText="1"/>
    </xf>
    <xf borderId="14" fillId="17" fontId="3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18"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>
        <b/>
        <color rgb="FF6AA84F"/>
      </font>
      <fill>
        <patternFill patternType="none"/>
      </fill>
      <border/>
    </dxf>
    <dxf>
      <font>
        <b/>
        <color rgb="FFCC0000"/>
      </font>
      <fill>
        <patternFill patternType="none"/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  <dxf>
      <font>
        <color rgb="FF0B8043"/>
      </font>
      <fill>
        <patternFill patternType="none"/>
      </fill>
      <border/>
    </dxf>
    <dxf>
      <font>
        <color rgb="FFC53929"/>
      </font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FF3E0"/>
          <bgColor rgb="FFFFF3E0"/>
        </patternFill>
      </fill>
      <border/>
    </dxf>
    <dxf>
      <font/>
      <fill>
        <patternFill patternType="solid">
          <fgColor rgb="FFFFEBEE"/>
          <bgColor rgb="FFFFEBEE"/>
        </patternFill>
      </fill>
      <border/>
    </dxf>
  </dxfs>
  <tableStyles count="7">
    <tableStyle count="4" pivot="0" name="PRECIOS ACCIONES-style">
      <tableStyleElement dxfId="12" type="headerRow"/>
      <tableStyleElement dxfId="13" type="firstRowStripe"/>
      <tableStyleElement dxfId="14" type="secondRowStripe"/>
      <tableStyleElement dxfId="15" size="0" type="wholeTable"/>
    </tableStyle>
    <tableStyle count="4" pivot="0" name="ETH-style">
      <tableStyleElement dxfId="12" type="headerRow"/>
      <tableStyleElement dxfId="13" type="firstRowStripe"/>
      <tableStyleElement dxfId="14" type="secondRowStripe"/>
      <tableStyleElement dxfId="15" size="0" type="wholeTable"/>
    </tableStyle>
    <tableStyle count="2" pivot="0" name="ETH-style 2">
      <tableStyleElement dxfId="14" type="firstRowStripe"/>
      <tableStyleElement dxfId="13" type="secondRowStripe"/>
    </tableStyle>
    <tableStyle count="2" pivot="0" name="ETH-style 3">
      <tableStyleElement dxfId="14" type="firstRowStripe"/>
      <tableStyleElement dxfId="13" type="secondRowStripe"/>
    </tableStyle>
    <tableStyle count="4" pivot="0" name="ADA-style">
      <tableStyleElement dxfId="12" type="headerRow"/>
      <tableStyleElement dxfId="13" type="firstRowStripe"/>
      <tableStyleElement dxfId="14" type="secondRowStripe"/>
      <tableStyleElement dxfId="15" size="0" type="wholeTable"/>
    </tableStyle>
    <tableStyle count="2" pivot="0" name="ADA-style 2">
      <tableStyleElement dxfId="13" type="firstRowStripe"/>
      <tableStyleElement dxfId="14" type="secondRowStripe"/>
    </tableStyle>
    <tableStyle count="4" pivot="0" name="PAXGUSD-style">
      <tableStyleElement dxfId="12" type="headerRow"/>
      <tableStyleElement dxfId="13" type="firstRowStripe"/>
      <tableStyleElement dxfId="14" type="secondRowStripe"/>
      <tableStyleElement dxfId="1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3" Type="http://schemas.openxmlformats.org/officeDocument/2006/relationships/worksheet" Target="worksheets/sheet19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  <c:spPr>
              <a:solidFill>
                <a:srgbClr val="000C31"/>
              </a:solidFill>
            </c:spPr>
          </c:dPt>
          <c:dPt>
            <c:idx val="27"/>
            <c:spPr>
              <a:solidFill>
                <a:srgbClr val="281021"/>
              </a:solidFill>
            </c:spPr>
          </c:dPt>
          <c:dPt>
            <c:idx val="28"/>
            <c:spPr>
              <a:solidFill>
                <a:srgbClr val="FF1C32"/>
              </a:solidFill>
            </c:spPr>
          </c:dPt>
          <c:dPt>
            <c:idx val="29"/>
            <c:spPr>
              <a:solidFill>
                <a:srgbClr val="240C0A"/>
              </a:solidFill>
            </c:spPr>
          </c:dPt>
          <c:dPt>
            <c:idx val="30"/>
            <c:spPr>
              <a:solidFill>
                <a:srgbClr val="5E3C05"/>
              </a:solidFill>
            </c:spPr>
          </c:dPt>
          <c:dPt>
            <c:idx val="31"/>
            <c:spPr>
              <a:solidFill>
                <a:srgbClr val="0A5D64"/>
              </a:solidFill>
            </c:spPr>
          </c:dPt>
          <c:dPt>
            <c:idx val="32"/>
            <c:spPr>
              <a:solidFill>
                <a:srgbClr val="01217D"/>
              </a:solidFill>
            </c:spPr>
          </c:dPt>
          <c:dPt>
            <c:idx val="33"/>
            <c:spPr>
              <a:solidFill>
                <a:srgbClr val="652B55"/>
              </a:solidFill>
            </c:spPr>
          </c:dPt>
          <c:dPt>
            <c:idx val="34"/>
            <c:spPr>
              <a:solidFill>
                <a:srgbClr val="FF487E"/>
              </a:solidFill>
            </c:spPr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Pt>
            <c:idx val="89"/>
          </c:dPt>
          <c:dPt>
            <c:idx val="90"/>
          </c:dPt>
          <c:dPt>
            <c:idx val="91"/>
          </c:dPt>
          <c:dPt>
            <c:idx val="92"/>
          </c:dPt>
          <c:dPt>
            <c:idx val="93"/>
          </c:dPt>
          <c:dPt>
            <c:idx val="94"/>
          </c:dPt>
          <c:dPt>
            <c:idx val="95"/>
          </c:dPt>
          <c:dPt>
            <c:idx val="96"/>
          </c:dPt>
          <c:dPt>
            <c:idx val="97"/>
          </c:dPt>
          <c:dPt>
            <c:idx val="98"/>
          </c:dPt>
          <c:dPt>
            <c:idx val="99"/>
          </c:dPt>
          <c:dPt>
            <c:idx val="100"/>
          </c:dPt>
          <c:dPt>
            <c:idx val="101"/>
          </c:dPt>
          <c:dPt>
            <c:idx val="102"/>
          </c:dPt>
          <c:dPt>
            <c:idx val="103"/>
          </c:dPt>
          <c:dPt>
            <c:idx val="104"/>
          </c:dPt>
          <c:dPt>
            <c:idx val="105"/>
          </c:dPt>
          <c:dPt>
            <c:idx val="106"/>
          </c:dPt>
          <c:dPt>
            <c:idx val="107"/>
          </c:dPt>
          <c:dPt>
            <c:idx val="108"/>
          </c:dPt>
          <c:dPt>
            <c:idx val="109"/>
          </c:dPt>
          <c:dPt>
            <c:idx val="110"/>
          </c:dPt>
          <c:dPt>
            <c:idx val="111"/>
          </c:dPt>
          <c:dPt>
            <c:idx val="112"/>
          </c:dPt>
          <c:dPt>
            <c:idx val="113"/>
          </c:dPt>
          <c:dPt>
            <c:idx val="114"/>
          </c:dPt>
          <c:dPt>
            <c:idx val="115"/>
          </c:dPt>
          <c:dPt>
            <c:idx val="116"/>
          </c:dPt>
          <c:dPt>
            <c:idx val="117"/>
          </c:dPt>
          <c:dPt>
            <c:idx val="118"/>
          </c:dPt>
          <c:dPt>
            <c:idx val="119"/>
          </c:dPt>
          <c:dPt>
            <c:idx val="120"/>
          </c:dPt>
          <c:dPt>
            <c:idx val="121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Cryptos!$P$2:$P$123</c:f>
            </c:strRef>
          </c:cat>
          <c:val>
            <c:numRef>
              <c:f>Cryptos!$R$2:$R$123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'Acciones ARG'!$U$2:$U$27</c:f>
            </c:strRef>
          </c:cat>
          <c:val>
            <c:numRef>
              <c:f>'Acciones ARG'!$W$2:$W$27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Pt>
            <c:idx val="89"/>
          </c:dPt>
          <c:dPt>
            <c:idx val="90"/>
          </c:dPt>
          <c:dPt>
            <c:idx val="91"/>
          </c:dPt>
          <c:dPt>
            <c:idx val="92"/>
          </c:dPt>
          <c:dPt>
            <c:idx val="93"/>
          </c:dPt>
          <c:dPt>
            <c:idx val="94"/>
          </c:dPt>
          <c:dPt>
            <c:idx val="95"/>
          </c:dPt>
          <c:dPt>
            <c:idx val="96"/>
          </c:dPt>
          <c:dPt>
            <c:idx val="97"/>
          </c:dPt>
          <c:dPt>
            <c:idx val="98"/>
          </c:dPt>
          <c:dPt>
            <c:idx val="99"/>
          </c:dPt>
          <c:dPt>
            <c:idx val="100"/>
          </c:dPt>
          <c:dPt>
            <c:idx val="101"/>
          </c:dPt>
          <c:dPt>
            <c:idx val="102"/>
          </c:dPt>
          <c:dPt>
            <c:idx val="103"/>
          </c:dPt>
          <c:dPt>
            <c:idx val="104"/>
          </c:dPt>
          <c:dPt>
            <c:idx val="105"/>
          </c:dPt>
          <c:dPt>
            <c:idx val="106"/>
          </c:dPt>
          <c:dPt>
            <c:idx val="107"/>
          </c:dPt>
          <c:dPt>
            <c:idx val="108"/>
          </c:dPt>
          <c:dPt>
            <c:idx val="109"/>
          </c:dPt>
          <c:dPt>
            <c:idx val="110"/>
          </c:dPt>
          <c:dPt>
            <c:idx val="111"/>
          </c:dPt>
          <c:dPt>
            <c:idx val="112"/>
          </c:dPt>
          <c:dPt>
            <c:idx val="113"/>
          </c:dPt>
          <c:dPt>
            <c:idx val="114"/>
          </c:dPt>
          <c:dPt>
            <c:idx val="115"/>
          </c:dPt>
          <c:dPt>
            <c:idx val="116"/>
          </c:dPt>
          <c:dPt>
            <c:idx val="117"/>
          </c:dPt>
          <c:dPt>
            <c:idx val="118"/>
          </c:dPt>
          <c:dPt>
            <c:idx val="119"/>
          </c:dPt>
          <c:dPt>
            <c:idx val="120"/>
          </c:dPt>
          <c:dPt>
            <c:idx val="121"/>
          </c:dPt>
          <c:dPt>
            <c:idx val="122"/>
          </c:dPt>
          <c:dPt>
            <c:idx val="123"/>
          </c:dPt>
          <c:dPt>
            <c:idx val="124"/>
          </c:dPt>
          <c:dPt>
            <c:idx val="125"/>
          </c:dPt>
          <c:dPt>
            <c:idx val="126"/>
          </c:dPt>
          <c:dPt>
            <c:idx val="127"/>
          </c:dPt>
          <c:dPt>
            <c:idx val="128"/>
          </c:dPt>
          <c:dPt>
            <c:idx val="129"/>
          </c:dPt>
          <c:dPt>
            <c:idx val="130"/>
          </c:dPt>
          <c:dPt>
            <c:idx val="131"/>
          </c:dPt>
          <c:dPt>
            <c:idx val="132"/>
          </c:dPt>
          <c:dPt>
            <c:idx val="133"/>
          </c:dPt>
          <c:dPt>
            <c:idx val="134"/>
          </c:dPt>
          <c:dPt>
            <c:idx val="135"/>
          </c:dPt>
          <c:dPt>
            <c:idx val="136"/>
          </c:dPt>
          <c:dPt>
            <c:idx val="137"/>
          </c:dPt>
          <c:dPt>
            <c:idx val="138"/>
          </c:dPt>
          <c:dPt>
            <c:idx val="139"/>
          </c:dPt>
          <c:dPt>
            <c:idx val="140"/>
          </c:dPt>
          <c:dPt>
            <c:idx val="141"/>
          </c:dPt>
          <c:dPt>
            <c:idx val="142"/>
          </c:dPt>
          <c:dPt>
            <c:idx val="143"/>
          </c:dPt>
          <c:dPt>
            <c:idx val="144"/>
          </c:dPt>
          <c:dPt>
            <c:idx val="145"/>
          </c:dPt>
          <c:dPt>
            <c:idx val="146"/>
          </c:dPt>
          <c:dPt>
            <c:idx val="147"/>
          </c:dPt>
          <c:dPt>
            <c:idx val="148"/>
          </c:dPt>
          <c:dPt>
            <c:idx val="149"/>
          </c:dPt>
          <c:dPt>
            <c:idx val="150"/>
          </c:dPt>
          <c:dPt>
            <c:idx val="151"/>
          </c:dPt>
          <c:dPt>
            <c:idx val="152"/>
          </c:dPt>
          <c:dPt>
            <c:idx val="153"/>
          </c:dPt>
          <c:dPt>
            <c:idx val="154"/>
          </c:dPt>
          <c:dPt>
            <c:idx val="155"/>
          </c:dPt>
          <c:dPt>
            <c:idx val="156"/>
          </c:dPt>
          <c:dPt>
            <c:idx val="157"/>
          </c:dPt>
          <c:dPt>
            <c:idx val="158"/>
          </c:dPt>
          <c:dPt>
            <c:idx val="159"/>
          </c:dPt>
          <c:dPt>
            <c:idx val="160"/>
          </c:dPt>
          <c:dPt>
            <c:idx val="161"/>
          </c:dPt>
          <c:dPt>
            <c:idx val="162"/>
          </c:dPt>
          <c:dPt>
            <c:idx val="163"/>
          </c:dPt>
          <c:dPt>
            <c:idx val="164"/>
          </c:dPt>
          <c:dPt>
            <c:idx val="165"/>
          </c:dPt>
          <c:dPt>
            <c:idx val="166"/>
          </c:dPt>
          <c:dPt>
            <c:idx val="167"/>
          </c:dPt>
          <c:dPt>
            <c:idx val="168"/>
          </c:dPt>
          <c:dPt>
            <c:idx val="169"/>
          </c:dPt>
          <c:dPt>
            <c:idx val="170"/>
          </c:dPt>
          <c:dPt>
            <c:idx val="171"/>
          </c:dPt>
          <c:dPt>
            <c:idx val="172"/>
          </c:dPt>
          <c:dPt>
            <c:idx val="173"/>
          </c:dPt>
          <c:dPt>
            <c:idx val="174"/>
          </c:dPt>
          <c:dPt>
            <c:idx val="175"/>
          </c:dPt>
          <c:dPt>
            <c:idx val="176"/>
          </c:dPt>
          <c:dPt>
            <c:idx val="177"/>
          </c:dPt>
          <c:dPt>
            <c:idx val="178"/>
          </c:dPt>
          <c:dPt>
            <c:idx val="179"/>
          </c:dPt>
          <c:dPt>
            <c:idx val="180"/>
          </c:dPt>
          <c:dPt>
            <c:idx val="181"/>
          </c:dPt>
          <c:dPt>
            <c:idx val="182"/>
          </c:dPt>
          <c:dPt>
            <c:idx val="183"/>
          </c:dPt>
          <c:dPt>
            <c:idx val="184"/>
          </c:dPt>
          <c:dPt>
            <c:idx val="185"/>
          </c:dPt>
          <c:dPt>
            <c:idx val="186"/>
          </c:dPt>
          <c:dPt>
            <c:idx val="187"/>
          </c:dPt>
          <c:dPt>
            <c:idx val="188"/>
          </c:dPt>
          <c:dPt>
            <c:idx val="189"/>
          </c:dPt>
          <c:dPt>
            <c:idx val="190"/>
          </c:dPt>
          <c:dPt>
            <c:idx val="191"/>
          </c:dPt>
          <c:dPt>
            <c:idx val="192"/>
          </c:dPt>
          <c:dPt>
            <c:idx val="193"/>
          </c:dPt>
          <c:dPt>
            <c:idx val="194"/>
          </c:dPt>
          <c:dPt>
            <c:idx val="195"/>
          </c:dPt>
          <c:dPt>
            <c:idx val="196"/>
          </c:dPt>
          <c:dPt>
            <c:idx val="197"/>
          </c:dPt>
          <c:dPt>
            <c:idx val="198"/>
          </c:dPt>
          <c:dPt>
            <c:idx val="199"/>
          </c:dPt>
          <c:dPt>
            <c:idx val="200"/>
          </c:dPt>
          <c:dPt>
            <c:idx val="201"/>
          </c:dPt>
          <c:dPt>
            <c:idx val="202"/>
          </c:dPt>
          <c:dPt>
            <c:idx val="203"/>
          </c:dPt>
          <c:dPt>
            <c:idx val="204"/>
          </c:dPt>
          <c:dPt>
            <c:idx val="205"/>
          </c:dPt>
          <c:dPt>
            <c:idx val="206"/>
          </c:dPt>
          <c:dPt>
            <c:idx val="207"/>
          </c:dPt>
          <c:dPt>
            <c:idx val="208"/>
          </c:dPt>
          <c:dPt>
            <c:idx val="209"/>
          </c:dPt>
          <c:dPt>
            <c:idx val="210"/>
          </c:dPt>
          <c:dPt>
            <c:idx val="211"/>
          </c:dPt>
          <c:dPt>
            <c:idx val="212"/>
          </c:dPt>
          <c:dPt>
            <c:idx val="213"/>
          </c:dPt>
          <c:dPt>
            <c:idx val="214"/>
          </c:dPt>
          <c:dPt>
            <c:idx val="215"/>
          </c:dPt>
          <c:dPt>
            <c:idx val="216"/>
          </c:dPt>
          <c:dPt>
            <c:idx val="217"/>
          </c:dPt>
          <c:dPt>
            <c:idx val="218"/>
          </c:dPt>
          <c:dPt>
            <c:idx val="219"/>
          </c:dPt>
          <c:dPt>
            <c:idx val="220"/>
          </c:dPt>
          <c:dPt>
            <c:idx val="221"/>
          </c:dPt>
          <c:dPt>
            <c:idx val="222"/>
          </c:dPt>
          <c:dPt>
            <c:idx val="223"/>
          </c:dPt>
          <c:dPt>
            <c:idx val="224"/>
          </c:dPt>
          <c:dPt>
            <c:idx val="225"/>
          </c:dPt>
          <c:dPt>
            <c:idx val="226"/>
          </c:dPt>
          <c:dPt>
            <c:idx val="227"/>
          </c:dPt>
          <c:dPt>
            <c:idx val="228"/>
          </c:dPt>
          <c:dPt>
            <c:idx val="229"/>
          </c:dPt>
          <c:dPt>
            <c:idx val="230"/>
          </c:dPt>
          <c:dPt>
            <c:idx val="231"/>
          </c:dPt>
          <c:dPt>
            <c:idx val="23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'Cartera corto plazo'!$V$2:$V$234</c:f>
            </c:strRef>
          </c:cat>
          <c:val>
            <c:numRef>
              <c:f>'Cartera corto plazo'!$X$2:$X$234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Pt>
            <c:idx val="89"/>
          </c:dPt>
          <c:dPt>
            <c:idx val="90"/>
          </c:dPt>
          <c:dPt>
            <c:idx val="91"/>
          </c:dPt>
          <c:dPt>
            <c:idx val="92"/>
          </c:dPt>
          <c:dPt>
            <c:idx val="93"/>
          </c:dPt>
          <c:dPt>
            <c:idx val="94"/>
          </c:dPt>
          <c:dPt>
            <c:idx val="95"/>
          </c:dPt>
          <c:dPt>
            <c:idx val="96"/>
          </c:dPt>
          <c:dPt>
            <c:idx val="97"/>
          </c:dPt>
          <c:dPt>
            <c:idx val="98"/>
          </c:dPt>
          <c:dPt>
            <c:idx val="99"/>
          </c:dPt>
          <c:dPt>
            <c:idx val="100"/>
          </c:dPt>
          <c:dPt>
            <c:idx val="101"/>
          </c:dPt>
          <c:dPt>
            <c:idx val="102"/>
          </c:dPt>
          <c:dPt>
            <c:idx val="103"/>
          </c:dPt>
          <c:dPt>
            <c:idx val="104"/>
          </c:dPt>
          <c:dPt>
            <c:idx val="105"/>
          </c:dPt>
          <c:dPt>
            <c:idx val="106"/>
          </c:dPt>
          <c:dPt>
            <c:idx val="107"/>
          </c:dPt>
          <c:dPt>
            <c:idx val="108"/>
          </c:dPt>
          <c:dPt>
            <c:idx val="109"/>
          </c:dPt>
          <c:dPt>
            <c:idx val="110"/>
          </c:dPt>
          <c:dPt>
            <c:idx val="111"/>
          </c:dPt>
          <c:dPt>
            <c:idx val="112"/>
          </c:dPt>
          <c:dPt>
            <c:idx val="113"/>
          </c:dPt>
          <c:dPt>
            <c:idx val="114"/>
          </c:dPt>
          <c:dPt>
            <c:idx val="115"/>
          </c:dPt>
          <c:dPt>
            <c:idx val="116"/>
          </c:dPt>
          <c:dPt>
            <c:idx val="117"/>
          </c:dPt>
          <c:dPt>
            <c:idx val="118"/>
          </c:dPt>
          <c:dPt>
            <c:idx val="119"/>
          </c:dPt>
          <c:dPt>
            <c:idx val="120"/>
          </c:dPt>
          <c:dPt>
            <c:idx val="121"/>
          </c:dPt>
          <c:dPt>
            <c:idx val="122"/>
          </c:dPt>
          <c:dPt>
            <c:idx val="123"/>
          </c:dPt>
          <c:dPt>
            <c:idx val="124"/>
          </c:dPt>
          <c:dPt>
            <c:idx val="125"/>
          </c:dPt>
          <c:dPt>
            <c:idx val="126"/>
          </c:dPt>
          <c:dPt>
            <c:idx val="127"/>
          </c:dPt>
          <c:dPt>
            <c:idx val="128"/>
          </c:dPt>
          <c:dPt>
            <c:idx val="129"/>
          </c:dPt>
          <c:dPt>
            <c:idx val="130"/>
          </c:dPt>
          <c:dPt>
            <c:idx val="131"/>
          </c:dPt>
          <c:dPt>
            <c:idx val="132"/>
          </c:dPt>
          <c:dPt>
            <c:idx val="133"/>
          </c:dPt>
          <c:dPt>
            <c:idx val="134"/>
          </c:dPt>
          <c:dPt>
            <c:idx val="135"/>
          </c:dPt>
          <c:dPt>
            <c:idx val="136"/>
          </c:dPt>
          <c:dPt>
            <c:idx val="137"/>
          </c:dPt>
          <c:dPt>
            <c:idx val="138"/>
          </c:dPt>
          <c:dPt>
            <c:idx val="139"/>
          </c:dPt>
          <c:dPt>
            <c:idx val="140"/>
          </c:dPt>
          <c:dPt>
            <c:idx val="141"/>
          </c:dPt>
          <c:dPt>
            <c:idx val="142"/>
          </c:dPt>
          <c:dPt>
            <c:idx val="143"/>
          </c:dPt>
          <c:dPt>
            <c:idx val="144"/>
          </c:dPt>
          <c:dPt>
            <c:idx val="145"/>
          </c:dPt>
          <c:dPt>
            <c:idx val="146"/>
          </c:dPt>
          <c:dPt>
            <c:idx val="147"/>
          </c:dPt>
          <c:dPt>
            <c:idx val="148"/>
          </c:dPt>
          <c:dPt>
            <c:idx val="149"/>
          </c:dPt>
          <c:dPt>
            <c:idx val="150"/>
          </c:dPt>
          <c:dPt>
            <c:idx val="151"/>
          </c:dPt>
          <c:dPt>
            <c:idx val="152"/>
          </c:dPt>
          <c:dPt>
            <c:idx val="153"/>
          </c:dPt>
          <c:dPt>
            <c:idx val="154"/>
          </c:dPt>
          <c:dPt>
            <c:idx val="155"/>
          </c:dPt>
          <c:dPt>
            <c:idx val="156"/>
          </c:dPt>
          <c:dPt>
            <c:idx val="157"/>
          </c:dPt>
          <c:dPt>
            <c:idx val="158"/>
          </c:dPt>
          <c:dPt>
            <c:idx val="159"/>
          </c:dPt>
          <c:dPt>
            <c:idx val="160"/>
          </c:dPt>
          <c:dPt>
            <c:idx val="161"/>
          </c:dPt>
          <c:dPt>
            <c:idx val="162"/>
          </c:dPt>
          <c:dPt>
            <c:idx val="163"/>
          </c:dPt>
          <c:dPt>
            <c:idx val="164"/>
          </c:dPt>
          <c:dPt>
            <c:idx val="165"/>
          </c:dPt>
          <c:dPt>
            <c:idx val="166"/>
          </c:dPt>
          <c:dPt>
            <c:idx val="167"/>
          </c:dPt>
          <c:dPt>
            <c:idx val="168"/>
          </c:dPt>
          <c:dPt>
            <c:idx val="169"/>
          </c:dPt>
          <c:dPt>
            <c:idx val="170"/>
          </c:dPt>
          <c:dPt>
            <c:idx val="171"/>
          </c:dPt>
          <c:dPt>
            <c:idx val="172"/>
          </c:dPt>
          <c:dPt>
            <c:idx val="173"/>
          </c:dPt>
          <c:dPt>
            <c:idx val="174"/>
          </c:dPt>
          <c:dPt>
            <c:idx val="175"/>
          </c:dPt>
          <c:dPt>
            <c:idx val="176"/>
          </c:dPt>
          <c:dPt>
            <c:idx val="177"/>
          </c:dPt>
          <c:dPt>
            <c:idx val="178"/>
          </c:dPt>
          <c:dPt>
            <c:idx val="179"/>
          </c:dPt>
          <c:dPt>
            <c:idx val="180"/>
          </c:dPt>
          <c:dPt>
            <c:idx val="181"/>
          </c:dPt>
          <c:dPt>
            <c:idx val="182"/>
          </c:dPt>
          <c:dPt>
            <c:idx val="183"/>
          </c:dPt>
          <c:dPt>
            <c:idx val="184"/>
          </c:dPt>
          <c:dPt>
            <c:idx val="185"/>
          </c:dPt>
          <c:dPt>
            <c:idx val="186"/>
          </c:dPt>
          <c:dPt>
            <c:idx val="187"/>
          </c:dPt>
          <c:dPt>
            <c:idx val="188"/>
          </c:dPt>
          <c:dPt>
            <c:idx val="189"/>
          </c:dPt>
          <c:dPt>
            <c:idx val="190"/>
          </c:dPt>
          <c:dPt>
            <c:idx val="191"/>
          </c:dPt>
          <c:dPt>
            <c:idx val="192"/>
          </c:dPt>
          <c:dPt>
            <c:idx val="193"/>
          </c:dPt>
          <c:dPt>
            <c:idx val="194"/>
          </c:dPt>
          <c:dPt>
            <c:idx val="195"/>
          </c:dPt>
          <c:dPt>
            <c:idx val="196"/>
          </c:dPt>
          <c:dPt>
            <c:idx val="197"/>
          </c:dPt>
          <c:dPt>
            <c:idx val="198"/>
          </c:dPt>
          <c:dPt>
            <c:idx val="199"/>
          </c:dPt>
          <c:dPt>
            <c:idx val="200"/>
          </c:dPt>
          <c:dPt>
            <c:idx val="201"/>
          </c:dPt>
          <c:dPt>
            <c:idx val="202"/>
          </c:dPt>
          <c:dPt>
            <c:idx val="203"/>
          </c:dPt>
          <c:dPt>
            <c:idx val="204"/>
          </c:dPt>
          <c:dPt>
            <c:idx val="205"/>
          </c:dPt>
          <c:dPt>
            <c:idx val="206"/>
          </c:dPt>
          <c:dPt>
            <c:idx val="207"/>
          </c:dPt>
          <c:dPt>
            <c:idx val="208"/>
          </c:dPt>
          <c:dPt>
            <c:idx val="209"/>
          </c:dPt>
          <c:dPt>
            <c:idx val="210"/>
          </c:dPt>
          <c:dPt>
            <c:idx val="211"/>
          </c:dPt>
          <c:dPt>
            <c:idx val="212"/>
          </c:dPt>
          <c:dPt>
            <c:idx val="213"/>
          </c:dPt>
          <c:dPt>
            <c:idx val="214"/>
          </c:dPt>
          <c:dPt>
            <c:idx val="215"/>
          </c:dPt>
          <c:dPt>
            <c:idx val="216"/>
          </c:dPt>
          <c:dPt>
            <c:idx val="217"/>
          </c:dPt>
          <c:dPt>
            <c:idx val="218"/>
          </c:dPt>
          <c:dPt>
            <c:idx val="219"/>
          </c:dPt>
          <c:dPt>
            <c:idx val="220"/>
          </c:dPt>
          <c:dPt>
            <c:idx val="221"/>
          </c:dPt>
          <c:dPt>
            <c:idx val="222"/>
          </c:dPt>
          <c:dPt>
            <c:idx val="223"/>
          </c:dPt>
          <c:dPt>
            <c:idx val="224"/>
          </c:dPt>
          <c:dPt>
            <c:idx val="225"/>
          </c:dPt>
          <c:dPt>
            <c:idx val="226"/>
          </c:dPt>
          <c:dPt>
            <c:idx val="227"/>
          </c:dPt>
          <c:dPt>
            <c:idx val="228"/>
          </c:dPt>
          <c:dPt>
            <c:idx val="229"/>
          </c:dPt>
          <c:dPt>
            <c:idx val="230"/>
          </c:dPt>
          <c:dPt>
            <c:idx val="231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'Cartera Jubilación'!$W$2:$W$233</c:f>
            </c:strRef>
          </c:cat>
          <c:val>
            <c:numRef>
              <c:f>'Cartera Jubilación'!$AB$2:$AB$233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'Cartera Jubilación'!$AK$12:$AK$20</c:f>
            </c:strRef>
          </c:cat>
          <c:val>
            <c:numRef>
              <c:f>'Cartera Jubilación'!$AM$12:$AM$20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FCI_USD!$T$2:$T$27</c:f>
            </c:strRef>
          </c:cat>
          <c:val>
            <c:numRef>
              <c:f>FCI_USD!$V$2:$V$27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'Renta fija'!$R$2:$R$27</c:f>
            </c:strRef>
          </c:cat>
          <c:val>
            <c:numRef>
              <c:f>'Renta fija'!$T$2:$T$27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'Copia de Cedears'!$V$2:$V$34</c:f>
            </c:strRef>
          </c:cat>
          <c:val>
            <c:numRef>
              <c:f>'Copia de Cedears'!$X$2:$X$34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'Copia de Cedears 1'!$AA$2:$AA$34</c:f>
            </c:strRef>
          </c:cat>
          <c:val>
            <c:numRef>
              <c:f>'Copia de Cedears 1'!$AC$2:$AC$34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22</xdr:col>
      <xdr:colOff>123825</xdr:colOff>
      <xdr:row>0</xdr:row>
      <xdr:rowOff>200025</xdr:rowOff>
    </xdr:from>
    <xdr:ext cx="4029075" cy="29337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123825</xdr:colOff>
      <xdr:row>0</xdr:row>
      <xdr:rowOff>200025</xdr:rowOff>
    </xdr:from>
    <xdr:ext cx="4029075" cy="293370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31</xdr:col>
      <xdr:colOff>123825</xdr:colOff>
      <xdr:row>0</xdr:row>
      <xdr:rowOff>200025</xdr:rowOff>
    </xdr:from>
    <xdr:ext cx="4029075" cy="293370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35</xdr:col>
      <xdr:colOff>123825</xdr:colOff>
      <xdr:row>0</xdr:row>
      <xdr:rowOff>200025</xdr:rowOff>
    </xdr:from>
    <xdr:ext cx="4029075" cy="293370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35</xdr:col>
      <xdr:colOff>123825</xdr:colOff>
      <xdr:row>20</xdr:row>
      <xdr:rowOff>171450</xdr:rowOff>
    </xdr:from>
    <xdr:ext cx="4029075" cy="271462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123825</xdr:colOff>
      <xdr:row>0</xdr:row>
      <xdr:rowOff>200025</xdr:rowOff>
    </xdr:from>
    <xdr:ext cx="4029075" cy="2933700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123825</xdr:colOff>
      <xdr:row>0</xdr:row>
      <xdr:rowOff>200025</xdr:rowOff>
    </xdr:from>
    <xdr:ext cx="4029075" cy="2933700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30</xdr:col>
      <xdr:colOff>123825</xdr:colOff>
      <xdr:row>0</xdr:row>
      <xdr:rowOff>200025</xdr:rowOff>
    </xdr:from>
    <xdr:ext cx="4029075" cy="2933700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35</xdr:col>
      <xdr:colOff>123825</xdr:colOff>
      <xdr:row>0</xdr:row>
      <xdr:rowOff>200025</xdr:rowOff>
    </xdr:from>
    <xdr:ext cx="4029075" cy="2933700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Rodrigo Weichert" id="{8db2bb5c-5c76-41a8-ba98-0f0851cedddc}" providerId="google-sheets"/>
</x18tc:personList>
</file>

<file path=xl/tables/table1.xml><?xml version="1.0" encoding="utf-8"?>
<table xmlns="http://schemas.openxmlformats.org/spreadsheetml/2006/main" ref="A1:G21" displayName="Tabla_1" name="Tabla_1" id="1">
  <tableColumns count="7">
    <tableColumn name="TICKER" id="1"/>
    <tableColumn name="MERCADO" id="2"/>
    <tableColumn name="PRECIO USD" id="3"/>
    <tableColumn name="RATIO CEDEAR" id="4"/>
    <tableColumn name="Column 7" id="5"/>
    <tableColumn name="PRECIO ARS" id="6"/>
    <tableColumn name="GRÁFICA" id="7"/>
  </tableColumns>
  <tableStyleInfo name="PRECIOS ACCIONES-style" showColumnStripes="0" showFirstColumn="1" showLastColumn="1" showRowStripes="1"/>
</table>
</file>

<file path=xl/tables/table2.xml><?xml version="1.0" encoding="utf-8"?>
<table xmlns="http://schemas.openxmlformats.org/spreadsheetml/2006/main" ref="A4:I126" displayName="Tabla_2" name="Tabla_2" id="2">
  <tableColumns count="9">
    <tableColumn name="#" id="1"/>
    <tableColumn name="Fecha" id="2"/>
    <tableColumn name="Tipo" id="3"/>
    <tableColumn name="Importe ($USD)" id="4"/>
    <tableColumn name="Capital Acum. ($USD)" id="5"/>
    <tableColumn name="Días Abierto" id="6"/>
    <tableColumn name="Estado" id="7"/>
    <tableColumn name="Ganancia / Pérdida ($USD)" id="8"/>
    <tableColumn name="Notas" id="9"/>
  </tableColumns>
  <tableStyleInfo name="ETH-style" showColumnStripes="0" showFirstColumn="1" showLastColumn="1" showRowStripes="1"/>
</table>
</file>

<file path=xl/tables/table3.xml><?xml version="1.0" encoding="utf-8"?>
<table xmlns="http://schemas.openxmlformats.org/spreadsheetml/2006/main" headerRowCount="0" ref="A127:I127" displayName="Table_1" name="Table_1" id="3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ETH-style 2" showColumnStripes="0" showFirstColumn="1" showLastColumn="1" showRowStripes="1"/>
</table>
</file>

<file path=xl/tables/table4.xml><?xml version="1.0" encoding="utf-8"?>
<table xmlns="http://schemas.openxmlformats.org/spreadsheetml/2006/main" headerRowCount="0" ref="A128:I128" displayName="Table_2" name="Table_2" id="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ETH-style 3" showColumnStripes="0" showFirstColumn="1" showLastColumn="1" showRowStripes="1"/>
</table>
</file>

<file path=xl/tables/table5.xml><?xml version="1.0" encoding="utf-8"?>
<table xmlns="http://schemas.openxmlformats.org/spreadsheetml/2006/main" ref="A4:I54" displayName="Tabla_3" name="Tabla_3" id="5">
  <tableColumns count="9">
    <tableColumn name="#" id="1"/>
    <tableColumn name="Fecha" id="2"/>
    <tableColumn name="Tipo" id="3"/>
    <tableColumn name="Importe ($USD)" id="4"/>
    <tableColumn name="Capital Acum. ($USD)" id="5"/>
    <tableColumn name="Días Abierto" id="6"/>
    <tableColumn name="Estado" id="7"/>
    <tableColumn name="Ganancia / Pérdida ($USD)" id="8"/>
    <tableColumn name="Notas" id="9"/>
  </tableColumns>
  <tableStyleInfo name="ADA-style" showColumnStripes="0" showFirstColumn="1" showLastColumn="1" showRowStripes="1"/>
</table>
</file>

<file path=xl/tables/table6.xml><?xml version="1.0" encoding="utf-8"?>
<table xmlns="http://schemas.openxmlformats.org/spreadsheetml/2006/main" headerRowCount="0" ref="A55:I56" displayName="Table_3" name="Table_3" id="6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ADA-style 2" showColumnStripes="0" showFirstColumn="1" showLastColumn="1" showRowStripes="1"/>
</table>
</file>

<file path=xl/tables/table7.xml><?xml version="1.0" encoding="utf-8"?>
<table xmlns="http://schemas.openxmlformats.org/spreadsheetml/2006/main" ref="A4:I54" displayName="Tabla_4" name="Tabla_4" id="7">
  <tableColumns count="9">
    <tableColumn name="#" id="1"/>
    <tableColumn name="Fecha" id="2"/>
    <tableColumn name="Tipo" id="3"/>
    <tableColumn name="Importe ($USD)" id="4"/>
    <tableColumn name="Capital Acum. ($USD)" id="5"/>
    <tableColumn name="Días Abierto" id="6"/>
    <tableColumn name="Estado" id="7"/>
    <tableColumn name="Ganancia / Pérdida ($USD)" id="8"/>
    <tableColumn name="Notas" id="9"/>
  </tableColumns>
  <tableStyleInfo name="PAXGUS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114" dT="2025-10-06T18:51:39.00" personId="{8db2bb5c-5c76-41a8-ba98-0f0851cedddc}" id="{db490a5a-82d5-4de3-ac31-a5adbeb593e1}" done="0">
    <x18tc:text xml:space="preserve">Orden límite 6.5</x18tc:text>
  </x18tc:threadedComment>
  <x18tc:threadedComment ref="I110" dT="2025-10-06T18:42:39.00" personId="{8db2bb5c-5c76-41a8-ba98-0f0851cedddc}" id="{c3f9d49d-86a4-4035-a1b8-66425fe97494}" done="0">
    <x18tc:text xml:space="preserve">Orden límite en 337</x18tc:text>
  </x18tc:threadedComment>
  <x18tc:threadedComment ref="I112" dT="2025-10-06T18:32:19.00" personId="{8db2bb5c-5c76-41a8-ba98-0f0851cedddc}" id="{d1a8151a-8fda-40be-91c8-14d6853abdd9}" done="0">
    <x18tc:text xml:space="preserve">Orden límite en 1300</x18tc:text>
  </x18tc:threadedComment>
  <x18tc:threadedComment ref="B86" dT="2024-03-27T23:41:46.00" personId="{8db2bb5c-5c76-41a8-ba98-0f0851cedddc}" id="{104689ef-813e-4ac5-8ccc-332d64dde458}" done="0">
    <x18tc:text xml:space="preserve">Se va a fusionar con otras 2 criptos y pasará a llamarse ASI</x18tc:text>
  </x18tc:threadedComment>
  <x18tc:threadedComment ref="I115" dT="2025-10-06T18:52:58.00" personId="{8db2bb5c-5c76-41a8-ba98-0f0851cedddc}" id="{9c4f63f4-2dca-4e83-94d8-7e0b0d30a2fe}" done="0">
    <x18tc:text xml:space="preserve">Orden límite 3,17</x18tc:text>
  </x18tc:threadedComment>
  <x18tc:threadedComment ref="I113" dT="2025-10-06T18:49:43.00" personId="{8db2bb5c-5c76-41a8-ba98-0f0851cedddc}" id="{b3393ca9-4d22-434e-9c0c-ce5baa26e1a9}" done="0">
    <x18tc:text xml:space="preserve">Orden límite en 0.4587</x18tc:text>
  </x18tc:threadedComment>
  <x18tc:threadedComment ref="I109" dT="2025-10-06T18:35:30.00" personId="{8db2bb5c-5c76-41a8-ba98-0f0851cedddc}" id="{22b979cb-db22-4ab8-b928-2d2db93e7e2c}" done="0">
    <x18tc:text xml:space="preserve">Orden límite en 4,00</x18tc:text>
  </x18tc:threadedComment>
  <x18tc:threadedComment ref="I111" dT="2025-10-06T18:46:10.00" personId="{8db2bb5c-5c76-41a8-ba98-0f0851cedddc}" id="{00b157cb-25b2-4497-8aea-5ee8325a831a}" done="0">
    <x18tc:text xml:space="preserve">Orden límite en 15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21" dT="2023-12-22T18:39:07.00" personId="{8db2bb5c-5c76-41a8-ba98-0f0851cedddc}" id="{e3f60aa8-7daa-47b1-b24c-9bb6fdc28849}" done="1">
    <x18tc:text xml:space="preserve">Se vendió en 2 partes. El precio de final es el promedio de ambas ventas</x18tc:text>
  </x18tc:threadedComment>
  <x18tc:threadedComment ref="F27" dT="2026-01-02T19:28:19.00" personId="{8db2bb5c-5c76-41a8-ba98-0f0851cedddc}" id="{481740d6-2c9f-486f-915a-f9e4f3323f82}" done="0">
    <x18tc:text xml:space="preserve">La cerré porque no me gustó el SPY500 que venía haciendo máximos cada vez mas cortos y con menos volúmen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Y13" dT="2026-01-13T14:57:02.00" personId="{8db2bb5c-5c76-41a8-ba98-0f0851cedddc}" id="{7d5828cc-7617-4b4c-a444-7ab123227b47}" done="0">
    <x18tc:text xml:space="preserve">OJO: no está bien el importe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.xm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ava.com/perfil/BB" TargetMode="External"/><Relationship Id="rId190" Type="http://schemas.openxmlformats.org/officeDocument/2006/relationships/hyperlink" Target="https://www.rava.com/perfil/MSI" TargetMode="External"/><Relationship Id="rId42" Type="http://schemas.openxmlformats.org/officeDocument/2006/relationships/hyperlink" Target="https://www.rava.com/perfil/BBD" TargetMode="External"/><Relationship Id="rId41" Type="http://schemas.openxmlformats.org/officeDocument/2006/relationships/hyperlink" Target="https://www.rava.com/perfil/BBAS3" TargetMode="External"/><Relationship Id="rId44" Type="http://schemas.openxmlformats.org/officeDocument/2006/relationships/hyperlink" Target="https://www.rava.com/perfil/BBDD" TargetMode="External"/><Relationship Id="rId194" Type="http://schemas.openxmlformats.org/officeDocument/2006/relationships/hyperlink" Target="https://www.rava.com/perfil/MUFG" TargetMode="External"/><Relationship Id="rId43" Type="http://schemas.openxmlformats.org/officeDocument/2006/relationships/hyperlink" Target="https://www.rava.com/perfil/BBDC3" TargetMode="External"/><Relationship Id="rId193" Type="http://schemas.openxmlformats.org/officeDocument/2006/relationships/hyperlink" Target="https://www.rava.com/perfil/MUD" TargetMode="External"/><Relationship Id="rId46" Type="http://schemas.openxmlformats.org/officeDocument/2006/relationships/hyperlink" Target="https://www.rava.com/perfil/BBVD" TargetMode="External"/><Relationship Id="rId192" Type="http://schemas.openxmlformats.org/officeDocument/2006/relationships/hyperlink" Target="https://www.rava.com/perfil/MU" TargetMode="External"/><Relationship Id="rId45" Type="http://schemas.openxmlformats.org/officeDocument/2006/relationships/hyperlink" Target="https://www.rava.com/perfil/BBV" TargetMode="External"/><Relationship Id="rId191" Type="http://schemas.openxmlformats.org/officeDocument/2006/relationships/hyperlink" Target="https://www.rava.com/perfil/MSTR" TargetMode="External"/><Relationship Id="rId48" Type="http://schemas.openxmlformats.org/officeDocument/2006/relationships/hyperlink" Target="https://www.rava.com/perfil/BIDU" TargetMode="External"/><Relationship Id="rId187" Type="http://schemas.openxmlformats.org/officeDocument/2006/relationships/hyperlink" Target="https://www.rava.com/perfil/MRNA" TargetMode="External"/><Relationship Id="rId47" Type="http://schemas.openxmlformats.org/officeDocument/2006/relationships/hyperlink" Target="https://www.rava.com/perfil/BHP" TargetMode="External"/><Relationship Id="rId186" Type="http://schemas.openxmlformats.org/officeDocument/2006/relationships/hyperlink" Target="https://www.rava.com/perfil/MRKD" TargetMode="External"/><Relationship Id="rId185" Type="http://schemas.openxmlformats.org/officeDocument/2006/relationships/hyperlink" Target="https://www.rava.com/perfil/MRK" TargetMode="External"/><Relationship Id="rId49" Type="http://schemas.openxmlformats.org/officeDocument/2006/relationships/hyperlink" Target="https://www.rava.com/perfil/BIIB" TargetMode="External"/><Relationship Id="rId184" Type="http://schemas.openxmlformats.org/officeDocument/2006/relationships/hyperlink" Target="https://www.rava.com/perfil/MOS" TargetMode="External"/><Relationship Id="rId189" Type="http://schemas.openxmlformats.org/officeDocument/2006/relationships/hyperlink" Target="https://www.rava.com/perfil/MSFT" TargetMode="External"/><Relationship Id="rId188" Type="http://schemas.openxmlformats.org/officeDocument/2006/relationships/hyperlink" Target="https://www.rava.com/perfil/MRVL" TargetMode="External"/><Relationship Id="rId31" Type="http://schemas.openxmlformats.org/officeDocument/2006/relationships/hyperlink" Target="https://www.rava.com/perfil/AXP" TargetMode="External"/><Relationship Id="rId30" Type="http://schemas.openxmlformats.org/officeDocument/2006/relationships/hyperlink" Target="https://www.rava.com/perfil/AVGO" TargetMode="External"/><Relationship Id="rId33" Type="http://schemas.openxmlformats.org/officeDocument/2006/relationships/hyperlink" Target="https://www.rava.com/perfil/B" TargetMode="External"/><Relationship Id="rId183" Type="http://schemas.openxmlformats.org/officeDocument/2006/relationships/hyperlink" Target="https://www.rava.com/perfil/MOD" TargetMode="External"/><Relationship Id="rId32" Type="http://schemas.openxmlformats.org/officeDocument/2006/relationships/hyperlink" Target="https://www.rava.com/perfil/AXPD" TargetMode="External"/><Relationship Id="rId182" Type="http://schemas.openxmlformats.org/officeDocument/2006/relationships/hyperlink" Target="https://www.rava.com/perfil/MO" TargetMode="External"/><Relationship Id="rId35" Type="http://schemas.openxmlformats.org/officeDocument/2006/relationships/hyperlink" Target="https://www.rava.com/perfil/BA" TargetMode="External"/><Relationship Id="rId181" Type="http://schemas.openxmlformats.org/officeDocument/2006/relationships/hyperlink" Target="https://www.rava.com/perfil/MMMD" TargetMode="External"/><Relationship Id="rId34" Type="http://schemas.openxmlformats.org/officeDocument/2006/relationships/hyperlink" Target="https://www.rava.com/perfil/B.D" TargetMode="External"/><Relationship Id="rId180" Type="http://schemas.openxmlformats.org/officeDocument/2006/relationships/hyperlink" Target="https://www.rava.com/perfil/MMM" TargetMode="External"/><Relationship Id="rId37" Type="http://schemas.openxmlformats.org/officeDocument/2006/relationships/hyperlink" Target="https://www.rava.com/perfil/BABA" TargetMode="External"/><Relationship Id="rId176" Type="http://schemas.openxmlformats.org/officeDocument/2006/relationships/hyperlink" Target="https://www.rava.com/perfil/MDLZ" TargetMode="External"/><Relationship Id="rId297" Type="http://schemas.openxmlformats.org/officeDocument/2006/relationships/hyperlink" Target="https://www.rava.com/perfil/URBN" TargetMode="External"/><Relationship Id="rId36" Type="http://schemas.openxmlformats.org/officeDocument/2006/relationships/hyperlink" Target="https://www.rava.com/perfil/BA.C" TargetMode="External"/><Relationship Id="rId175" Type="http://schemas.openxmlformats.org/officeDocument/2006/relationships/hyperlink" Target="https://www.rava.com/perfil/MCDD" TargetMode="External"/><Relationship Id="rId296" Type="http://schemas.openxmlformats.org/officeDocument/2006/relationships/hyperlink" Target="https://www.rava.com/perfil/UPST" TargetMode="External"/><Relationship Id="rId39" Type="http://schemas.openxmlformats.org/officeDocument/2006/relationships/hyperlink" Target="https://www.rava.com/perfil/BAK" TargetMode="External"/><Relationship Id="rId174" Type="http://schemas.openxmlformats.org/officeDocument/2006/relationships/hyperlink" Target="https://www.rava.com/perfil/MCD" TargetMode="External"/><Relationship Id="rId295" Type="http://schemas.openxmlformats.org/officeDocument/2006/relationships/hyperlink" Target="https://www.rava.com/perfil/UNHD" TargetMode="External"/><Relationship Id="rId38" Type="http://schemas.openxmlformats.org/officeDocument/2006/relationships/hyperlink" Target="https://www.rava.com/perfil/BAD" TargetMode="External"/><Relationship Id="rId173" Type="http://schemas.openxmlformats.org/officeDocument/2006/relationships/hyperlink" Target="https://www.rava.com/perfil/MAD" TargetMode="External"/><Relationship Id="rId294" Type="http://schemas.openxmlformats.org/officeDocument/2006/relationships/hyperlink" Target="https://www.rava.com/perfil/UNH" TargetMode="External"/><Relationship Id="rId179" Type="http://schemas.openxmlformats.org/officeDocument/2006/relationships/hyperlink" Target="https://www.rava.com/perfil/META" TargetMode="External"/><Relationship Id="rId178" Type="http://schemas.openxmlformats.org/officeDocument/2006/relationships/hyperlink" Target="https://www.rava.com/perfil/MELI" TargetMode="External"/><Relationship Id="rId299" Type="http://schemas.openxmlformats.org/officeDocument/2006/relationships/hyperlink" Target="https://www.rava.com/perfil/VALE" TargetMode="External"/><Relationship Id="rId177" Type="http://schemas.openxmlformats.org/officeDocument/2006/relationships/hyperlink" Target="https://www.rava.com/perfil/MDT" TargetMode="External"/><Relationship Id="rId298" Type="http://schemas.openxmlformats.org/officeDocument/2006/relationships/hyperlink" Target="https://www.rava.com/perfil/V" TargetMode="External"/><Relationship Id="rId20" Type="http://schemas.openxmlformats.org/officeDocument/2006/relationships/hyperlink" Target="https://www.rava.com/perfil/AMAT" TargetMode="External"/><Relationship Id="rId22" Type="http://schemas.openxmlformats.org/officeDocument/2006/relationships/hyperlink" Target="https://www.rava.com/perfil/AMDD" TargetMode="External"/><Relationship Id="rId21" Type="http://schemas.openxmlformats.org/officeDocument/2006/relationships/hyperlink" Target="https://www.rava.com/perfil/AMD" TargetMode="External"/><Relationship Id="rId24" Type="http://schemas.openxmlformats.org/officeDocument/2006/relationships/hyperlink" Target="https://www.rava.com/perfil/AMZN" TargetMode="External"/><Relationship Id="rId23" Type="http://schemas.openxmlformats.org/officeDocument/2006/relationships/hyperlink" Target="https://www.rava.com/perfil/AMGN" TargetMode="External"/><Relationship Id="rId26" Type="http://schemas.openxmlformats.org/officeDocument/2006/relationships/hyperlink" Target="https://www.rava.com/perfil/ARCO" TargetMode="External"/><Relationship Id="rId25" Type="http://schemas.openxmlformats.org/officeDocument/2006/relationships/hyperlink" Target="https://www.rava.com/perfil/ANF" TargetMode="External"/><Relationship Id="rId28" Type="http://schemas.openxmlformats.org/officeDocument/2006/relationships/hyperlink" Target="https://www.rava.com/perfil/ARM" TargetMode="External"/><Relationship Id="rId27" Type="http://schemas.openxmlformats.org/officeDocument/2006/relationships/hyperlink" Target="https://www.rava.com/perfil/ARKK" TargetMode="External"/><Relationship Id="rId29" Type="http://schemas.openxmlformats.org/officeDocument/2006/relationships/hyperlink" Target="https://www.rava.com/perfil/ARMD" TargetMode="External"/><Relationship Id="rId11" Type="http://schemas.openxmlformats.org/officeDocument/2006/relationships/hyperlink" Target="https://www.rava.com/perfil/ABTD" TargetMode="External"/><Relationship Id="rId10" Type="http://schemas.openxmlformats.org/officeDocument/2006/relationships/hyperlink" Target="https://www.rava.com/perfil/ABT" TargetMode="External"/><Relationship Id="rId13" Type="http://schemas.openxmlformats.org/officeDocument/2006/relationships/hyperlink" Target="https://www.rava.com/perfil/ACND" TargetMode="External"/><Relationship Id="rId12" Type="http://schemas.openxmlformats.org/officeDocument/2006/relationships/hyperlink" Target="https://www.rava.com/perfil/ACN" TargetMode="External"/><Relationship Id="rId15" Type="http://schemas.openxmlformats.org/officeDocument/2006/relationships/hyperlink" Target="https://www.rava.com/perfil/ADGO" TargetMode="External"/><Relationship Id="rId198" Type="http://schemas.openxmlformats.org/officeDocument/2006/relationships/hyperlink" Target="https://www.rava.com/perfil/NEMD" TargetMode="External"/><Relationship Id="rId14" Type="http://schemas.openxmlformats.org/officeDocument/2006/relationships/hyperlink" Target="https://www.rava.com/perfil/ADBE" TargetMode="External"/><Relationship Id="rId197" Type="http://schemas.openxmlformats.org/officeDocument/2006/relationships/hyperlink" Target="https://www.rava.com/perfil/NEM" TargetMode="External"/><Relationship Id="rId17" Type="http://schemas.openxmlformats.org/officeDocument/2006/relationships/hyperlink" Target="https://www.rava.com/perfil/AEG" TargetMode="External"/><Relationship Id="rId196" Type="http://schemas.openxmlformats.org/officeDocument/2006/relationships/hyperlink" Target="https://www.rava.com/perfil/MUXD" TargetMode="External"/><Relationship Id="rId16" Type="http://schemas.openxmlformats.org/officeDocument/2006/relationships/hyperlink" Target="https://www.rava.com/perfil/ADI" TargetMode="External"/><Relationship Id="rId195" Type="http://schemas.openxmlformats.org/officeDocument/2006/relationships/hyperlink" Target="https://www.rava.com/perfil/MUX" TargetMode="External"/><Relationship Id="rId19" Type="http://schemas.openxmlformats.org/officeDocument/2006/relationships/hyperlink" Target="https://www.rava.com/perfil/AIG" TargetMode="External"/><Relationship Id="rId18" Type="http://schemas.openxmlformats.org/officeDocument/2006/relationships/hyperlink" Target="https://www.rava.com/perfil/AEM" TargetMode="External"/><Relationship Id="rId199" Type="http://schemas.openxmlformats.org/officeDocument/2006/relationships/hyperlink" Target="https://www.rava.com/perfil/NFLX" TargetMode="External"/><Relationship Id="rId84" Type="http://schemas.openxmlformats.org/officeDocument/2006/relationships/hyperlink" Target="https://www.rava.com/perfil/DOCU" TargetMode="External"/><Relationship Id="rId83" Type="http://schemas.openxmlformats.org/officeDocument/2006/relationships/hyperlink" Target="https://www.rava.com/perfil/DISN" TargetMode="External"/><Relationship Id="rId86" Type="http://schemas.openxmlformats.org/officeDocument/2006/relationships/hyperlink" Target="https://www.rava.com/perfil/E" TargetMode="External"/><Relationship Id="rId85" Type="http://schemas.openxmlformats.org/officeDocument/2006/relationships/hyperlink" Target="https://www.rava.com/perfil/DOW" TargetMode="External"/><Relationship Id="rId88" Type="http://schemas.openxmlformats.org/officeDocument/2006/relationships/hyperlink" Target="https://www.rava.com/perfil/EBAY" TargetMode="External"/><Relationship Id="rId150" Type="http://schemas.openxmlformats.org/officeDocument/2006/relationships/hyperlink" Target="https://www.rava.com/perfil/JNJ" TargetMode="External"/><Relationship Id="rId271" Type="http://schemas.openxmlformats.org/officeDocument/2006/relationships/hyperlink" Target="https://www.rava.com/perfil/STNE" TargetMode="External"/><Relationship Id="rId87" Type="http://schemas.openxmlformats.org/officeDocument/2006/relationships/hyperlink" Target="https://www.rava.com/perfil/EA" TargetMode="External"/><Relationship Id="rId270" Type="http://schemas.openxmlformats.org/officeDocument/2006/relationships/hyperlink" Target="https://www.rava.com/perfil/STLA" TargetMode="External"/><Relationship Id="rId89" Type="http://schemas.openxmlformats.org/officeDocument/2006/relationships/hyperlink" Target="https://www.rava.com/perfil/EEM" TargetMode="External"/><Relationship Id="rId80" Type="http://schemas.openxmlformats.org/officeDocument/2006/relationships/hyperlink" Target="https://www.rava.com/perfil/DHR" TargetMode="External"/><Relationship Id="rId82" Type="http://schemas.openxmlformats.org/officeDocument/2006/relationships/hyperlink" Target="https://www.rava.com/perfil/DIAD" TargetMode="External"/><Relationship Id="rId81" Type="http://schemas.openxmlformats.org/officeDocument/2006/relationships/hyperlink" Target="https://www.rava.com/perfil/DIA" TargetMode="External"/><Relationship Id="rId1" Type="http://schemas.openxmlformats.org/officeDocument/2006/relationships/hyperlink" Target="https://www.rava.com/cotizaciones/cedears" TargetMode="External"/><Relationship Id="rId2" Type="http://schemas.openxmlformats.org/officeDocument/2006/relationships/hyperlink" Target="https://www.rava.com/perfil/AAL" TargetMode="External"/><Relationship Id="rId3" Type="http://schemas.openxmlformats.org/officeDocument/2006/relationships/hyperlink" Target="https://www.rava.com/perfil/AALD" TargetMode="External"/><Relationship Id="rId149" Type="http://schemas.openxmlformats.org/officeDocument/2006/relationships/hyperlink" Target="https://www.rava.com/perfil/JMIA" TargetMode="External"/><Relationship Id="rId4" Type="http://schemas.openxmlformats.org/officeDocument/2006/relationships/hyperlink" Target="https://www.rava.com/perfil/AAP" TargetMode="External"/><Relationship Id="rId148" Type="http://schemas.openxmlformats.org/officeDocument/2006/relationships/hyperlink" Target="https://www.rava.com/perfil/JDD" TargetMode="External"/><Relationship Id="rId269" Type="http://schemas.openxmlformats.org/officeDocument/2006/relationships/hyperlink" Target="https://www.rava.com/perfil/SPYD" TargetMode="External"/><Relationship Id="rId9" Type="http://schemas.openxmlformats.org/officeDocument/2006/relationships/hyperlink" Target="https://www.rava.com/perfil/ABNB" TargetMode="External"/><Relationship Id="rId143" Type="http://schemas.openxmlformats.org/officeDocument/2006/relationships/hyperlink" Target="https://www.rava.com/perfil/IVW" TargetMode="External"/><Relationship Id="rId264" Type="http://schemas.openxmlformats.org/officeDocument/2006/relationships/hyperlink" Target="https://www.rava.com/perfil/SONY" TargetMode="External"/><Relationship Id="rId142" Type="http://schemas.openxmlformats.org/officeDocument/2006/relationships/hyperlink" Target="https://www.rava.com/perfil/IVED" TargetMode="External"/><Relationship Id="rId263" Type="http://schemas.openxmlformats.org/officeDocument/2006/relationships/hyperlink" Target="https://www.rava.com/perfil/SNOW" TargetMode="External"/><Relationship Id="rId141" Type="http://schemas.openxmlformats.org/officeDocument/2006/relationships/hyperlink" Target="https://www.rava.com/perfil/IVE" TargetMode="External"/><Relationship Id="rId262" Type="http://schemas.openxmlformats.org/officeDocument/2006/relationships/hyperlink" Target="https://www.rava.com/perfil/SNAP" TargetMode="External"/><Relationship Id="rId140" Type="http://schemas.openxmlformats.org/officeDocument/2006/relationships/hyperlink" Target="https://www.rava.com/perfil/ITUB3" TargetMode="External"/><Relationship Id="rId261" Type="http://schemas.openxmlformats.org/officeDocument/2006/relationships/hyperlink" Target="https://www.rava.com/perfil/SLB" TargetMode="External"/><Relationship Id="rId5" Type="http://schemas.openxmlformats.org/officeDocument/2006/relationships/hyperlink" Target="https://www.rava.com/perfil/AAPL" TargetMode="External"/><Relationship Id="rId147" Type="http://schemas.openxmlformats.org/officeDocument/2006/relationships/hyperlink" Target="https://www.rava.com/perfil/JD" TargetMode="External"/><Relationship Id="rId268" Type="http://schemas.openxmlformats.org/officeDocument/2006/relationships/hyperlink" Target="https://www.rava.com/perfil/SPY" TargetMode="External"/><Relationship Id="rId6" Type="http://schemas.openxmlformats.org/officeDocument/2006/relationships/hyperlink" Target="https://www.rava.com/perfil/ABBV" TargetMode="External"/><Relationship Id="rId146" Type="http://schemas.openxmlformats.org/officeDocument/2006/relationships/hyperlink" Target="https://www.rava.com/perfil/IWMD" TargetMode="External"/><Relationship Id="rId267" Type="http://schemas.openxmlformats.org/officeDocument/2006/relationships/hyperlink" Target="https://www.rava.com/perfil/SPOT" TargetMode="External"/><Relationship Id="rId7" Type="http://schemas.openxmlformats.org/officeDocument/2006/relationships/hyperlink" Target="https://www.rava.com/perfil/ABEV" TargetMode="External"/><Relationship Id="rId145" Type="http://schemas.openxmlformats.org/officeDocument/2006/relationships/hyperlink" Target="https://www.rava.com/perfil/IWM" TargetMode="External"/><Relationship Id="rId266" Type="http://schemas.openxmlformats.org/officeDocument/2006/relationships/hyperlink" Target="https://www.rava.com/perfil/SPGI" TargetMode="External"/><Relationship Id="rId8" Type="http://schemas.openxmlformats.org/officeDocument/2006/relationships/hyperlink" Target="https://www.rava.com/perfil/ABEV3" TargetMode="External"/><Relationship Id="rId144" Type="http://schemas.openxmlformats.org/officeDocument/2006/relationships/hyperlink" Target="https://www.rava.com/perfil/IVWD" TargetMode="External"/><Relationship Id="rId265" Type="http://schemas.openxmlformats.org/officeDocument/2006/relationships/hyperlink" Target="https://www.rava.com/perfil/SPCE" TargetMode="External"/><Relationship Id="rId73" Type="http://schemas.openxmlformats.org/officeDocument/2006/relationships/hyperlink" Target="https://www.rava.com/perfil/CVS" TargetMode="External"/><Relationship Id="rId72" Type="http://schemas.openxmlformats.org/officeDocument/2006/relationships/hyperlink" Target="https://www.rava.com/perfil/CSNA3" TargetMode="External"/><Relationship Id="rId75" Type="http://schemas.openxmlformats.org/officeDocument/2006/relationships/hyperlink" Target="https://www.rava.com/perfil/CVXD" TargetMode="External"/><Relationship Id="rId74" Type="http://schemas.openxmlformats.org/officeDocument/2006/relationships/hyperlink" Target="https://www.rava.com/perfil/CVX" TargetMode="External"/><Relationship Id="rId77" Type="http://schemas.openxmlformats.org/officeDocument/2006/relationships/hyperlink" Target="https://www.rava.com/perfil/DAL" TargetMode="External"/><Relationship Id="rId260" Type="http://schemas.openxmlformats.org/officeDocument/2006/relationships/hyperlink" Target="https://www.rava.com/perfil/SID" TargetMode="External"/><Relationship Id="rId76" Type="http://schemas.openxmlformats.org/officeDocument/2006/relationships/hyperlink" Target="https://www.rava.com/perfil/CX" TargetMode="External"/><Relationship Id="rId79" Type="http://schemas.openxmlformats.org/officeDocument/2006/relationships/hyperlink" Target="https://www.rava.com/perfil/DEO" TargetMode="External"/><Relationship Id="rId78" Type="http://schemas.openxmlformats.org/officeDocument/2006/relationships/hyperlink" Target="https://www.rava.com/perfil/DE" TargetMode="External"/><Relationship Id="rId71" Type="http://schemas.openxmlformats.org/officeDocument/2006/relationships/hyperlink" Target="https://www.rava.com/perfil/CSCO" TargetMode="External"/><Relationship Id="rId70" Type="http://schemas.openxmlformats.org/officeDocument/2006/relationships/hyperlink" Target="https://www.rava.com/perfil/CRMD" TargetMode="External"/><Relationship Id="rId139" Type="http://schemas.openxmlformats.org/officeDocument/2006/relationships/hyperlink" Target="https://www.rava.com/perfil/ITUB" TargetMode="External"/><Relationship Id="rId138" Type="http://schemas.openxmlformats.org/officeDocument/2006/relationships/hyperlink" Target="https://www.rava.com/perfil/ISRG" TargetMode="External"/><Relationship Id="rId259" Type="http://schemas.openxmlformats.org/officeDocument/2006/relationships/hyperlink" Target="https://www.rava.com/perfil/SHOP" TargetMode="External"/><Relationship Id="rId137" Type="http://schemas.openxmlformats.org/officeDocument/2006/relationships/hyperlink" Target="https://www.rava.com/perfil/INTC" TargetMode="External"/><Relationship Id="rId258" Type="http://schemas.openxmlformats.org/officeDocument/2006/relationships/hyperlink" Target="https://www.rava.com/perfil/SHEL" TargetMode="External"/><Relationship Id="rId132" Type="http://schemas.openxmlformats.org/officeDocument/2006/relationships/hyperlink" Target="https://www.rava.com/perfil/IBIT" TargetMode="External"/><Relationship Id="rId253" Type="http://schemas.openxmlformats.org/officeDocument/2006/relationships/hyperlink" Target="https://www.rava.com/perfil/SDA" TargetMode="External"/><Relationship Id="rId131" Type="http://schemas.openxmlformats.org/officeDocument/2006/relationships/hyperlink" Target="https://www.rava.com/perfil/IBB" TargetMode="External"/><Relationship Id="rId252" Type="http://schemas.openxmlformats.org/officeDocument/2006/relationships/hyperlink" Target="https://www.rava.com/perfil/SCCO" TargetMode="External"/><Relationship Id="rId130" Type="http://schemas.openxmlformats.org/officeDocument/2006/relationships/hyperlink" Target="https://www.rava.com/perfil/HWM" TargetMode="External"/><Relationship Id="rId251" Type="http://schemas.openxmlformats.org/officeDocument/2006/relationships/hyperlink" Target="https://www.rava.com/perfil/SBUX" TargetMode="External"/><Relationship Id="rId250" Type="http://schemas.openxmlformats.org/officeDocument/2006/relationships/hyperlink" Target="https://www.rava.com/perfil/SBS" TargetMode="External"/><Relationship Id="rId136" Type="http://schemas.openxmlformats.org/officeDocument/2006/relationships/hyperlink" Target="https://www.rava.com/perfil/INFY" TargetMode="External"/><Relationship Id="rId257" Type="http://schemas.openxmlformats.org/officeDocument/2006/relationships/hyperlink" Target="https://www.rava.com/perfil/SHD" TargetMode="External"/><Relationship Id="rId135" Type="http://schemas.openxmlformats.org/officeDocument/2006/relationships/hyperlink" Target="https://www.rava.com/perfil/IEUR" TargetMode="External"/><Relationship Id="rId256" Type="http://schemas.openxmlformats.org/officeDocument/2006/relationships/hyperlink" Target="https://www.rava.com/perfil/SH" TargetMode="External"/><Relationship Id="rId134" Type="http://schemas.openxmlformats.org/officeDocument/2006/relationships/hyperlink" Target="https://www.rava.com/perfil/IBN" TargetMode="External"/><Relationship Id="rId255" Type="http://schemas.openxmlformats.org/officeDocument/2006/relationships/hyperlink" Target="https://www.rava.com/perfil/SED" TargetMode="External"/><Relationship Id="rId133" Type="http://schemas.openxmlformats.org/officeDocument/2006/relationships/hyperlink" Target="https://www.rava.com/perfil/IBM" TargetMode="External"/><Relationship Id="rId254" Type="http://schemas.openxmlformats.org/officeDocument/2006/relationships/hyperlink" Target="https://www.rava.com/perfil/SE" TargetMode="External"/><Relationship Id="rId62" Type="http://schemas.openxmlformats.org/officeDocument/2006/relationships/hyperlink" Target="https://www.rava.com/perfil/CAT" TargetMode="External"/><Relationship Id="rId61" Type="http://schemas.openxmlformats.org/officeDocument/2006/relationships/hyperlink" Target="https://www.rava.com/perfil/C.D" TargetMode="External"/><Relationship Id="rId64" Type="http://schemas.openxmlformats.org/officeDocument/2006/relationships/hyperlink" Target="https://www.rava.com/perfil/CCL" TargetMode="External"/><Relationship Id="rId63" Type="http://schemas.openxmlformats.org/officeDocument/2006/relationships/hyperlink" Target="https://www.rava.com/perfil/CATD" TargetMode="External"/><Relationship Id="rId66" Type="http://schemas.openxmlformats.org/officeDocument/2006/relationships/hyperlink" Target="https://www.rava.com/perfil/CL" TargetMode="External"/><Relationship Id="rId172" Type="http://schemas.openxmlformats.org/officeDocument/2006/relationships/hyperlink" Target="https://www.rava.com/perfil/MA" TargetMode="External"/><Relationship Id="rId293" Type="http://schemas.openxmlformats.org/officeDocument/2006/relationships/hyperlink" Target="https://www.rava.com/perfil/UL" TargetMode="External"/><Relationship Id="rId65" Type="http://schemas.openxmlformats.org/officeDocument/2006/relationships/hyperlink" Target="https://www.rava.com/perfil/CDE" TargetMode="External"/><Relationship Id="rId171" Type="http://schemas.openxmlformats.org/officeDocument/2006/relationships/hyperlink" Target="https://www.rava.com/perfil/LYG" TargetMode="External"/><Relationship Id="rId292" Type="http://schemas.openxmlformats.org/officeDocument/2006/relationships/hyperlink" Target="https://www.rava.com/perfil/UBER" TargetMode="External"/><Relationship Id="rId68" Type="http://schemas.openxmlformats.org/officeDocument/2006/relationships/hyperlink" Target="https://www.rava.com/perfil/COST" TargetMode="External"/><Relationship Id="rId170" Type="http://schemas.openxmlformats.org/officeDocument/2006/relationships/hyperlink" Target="https://www.rava.com/perfil/LVS" TargetMode="External"/><Relationship Id="rId291" Type="http://schemas.openxmlformats.org/officeDocument/2006/relationships/hyperlink" Target="https://www.rava.com/perfil/UAL" TargetMode="External"/><Relationship Id="rId67" Type="http://schemas.openxmlformats.org/officeDocument/2006/relationships/hyperlink" Target="https://www.rava.com/perfil/COIN" TargetMode="External"/><Relationship Id="rId290" Type="http://schemas.openxmlformats.org/officeDocument/2006/relationships/hyperlink" Target="https://www.rava.com/perfil/TXR" TargetMode="External"/><Relationship Id="rId60" Type="http://schemas.openxmlformats.org/officeDocument/2006/relationships/hyperlink" Target="https://www.rava.com/perfil/C" TargetMode="External"/><Relationship Id="rId165" Type="http://schemas.openxmlformats.org/officeDocument/2006/relationships/hyperlink" Target="https://www.rava.com/perfil/LLYD" TargetMode="External"/><Relationship Id="rId286" Type="http://schemas.openxmlformats.org/officeDocument/2006/relationships/hyperlink" Target="https://www.rava.com/perfil/TTE" TargetMode="External"/><Relationship Id="rId69" Type="http://schemas.openxmlformats.org/officeDocument/2006/relationships/hyperlink" Target="https://www.rava.com/perfil/CRM" TargetMode="External"/><Relationship Id="rId164" Type="http://schemas.openxmlformats.org/officeDocument/2006/relationships/hyperlink" Target="https://www.rava.com/perfil/LLY" TargetMode="External"/><Relationship Id="rId285" Type="http://schemas.openxmlformats.org/officeDocument/2006/relationships/hyperlink" Target="https://www.rava.com/perfil/TSMD" TargetMode="External"/><Relationship Id="rId163" Type="http://schemas.openxmlformats.org/officeDocument/2006/relationships/hyperlink" Target="https://www.rava.com/perfil/LARD" TargetMode="External"/><Relationship Id="rId284" Type="http://schemas.openxmlformats.org/officeDocument/2006/relationships/hyperlink" Target="https://www.rava.com/perfil/TSM" TargetMode="External"/><Relationship Id="rId162" Type="http://schemas.openxmlformats.org/officeDocument/2006/relationships/hyperlink" Target="https://www.rava.com/perfil/LAR" TargetMode="External"/><Relationship Id="rId283" Type="http://schemas.openxmlformats.org/officeDocument/2006/relationships/hyperlink" Target="https://www.rava.com/perfil/TSLA" TargetMode="External"/><Relationship Id="rId169" Type="http://schemas.openxmlformats.org/officeDocument/2006/relationships/hyperlink" Target="https://www.rava.com/perfil/LREN3" TargetMode="External"/><Relationship Id="rId168" Type="http://schemas.openxmlformats.org/officeDocument/2006/relationships/hyperlink" Target="https://www.rava.com/perfil/LRCX" TargetMode="External"/><Relationship Id="rId289" Type="http://schemas.openxmlformats.org/officeDocument/2006/relationships/hyperlink" Target="https://www.rava.com/perfil/TXN" TargetMode="External"/><Relationship Id="rId167" Type="http://schemas.openxmlformats.org/officeDocument/2006/relationships/hyperlink" Target="https://www.rava.com/perfil/LND" TargetMode="External"/><Relationship Id="rId288" Type="http://schemas.openxmlformats.org/officeDocument/2006/relationships/hyperlink" Target="https://www.rava.com/perfil/TWLO" TargetMode="External"/><Relationship Id="rId166" Type="http://schemas.openxmlformats.org/officeDocument/2006/relationships/hyperlink" Target="https://www.rava.com/perfil/LMT" TargetMode="External"/><Relationship Id="rId287" Type="http://schemas.openxmlformats.org/officeDocument/2006/relationships/hyperlink" Target="https://www.rava.com/perfil/TV" TargetMode="External"/><Relationship Id="rId51" Type="http://schemas.openxmlformats.org/officeDocument/2006/relationships/hyperlink" Target="https://www.rava.com/perfil/BITF" TargetMode="External"/><Relationship Id="rId50" Type="http://schemas.openxmlformats.org/officeDocument/2006/relationships/hyperlink" Target="https://www.rava.com/perfil/BIOX" TargetMode="External"/><Relationship Id="rId53" Type="http://schemas.openxmlformats.org/officeDocument/2006/relationships/hyperlink" Target="https://www.rava.com/perfil/BKNG" TargetMode="External"/><Relationship Id="rId52" Type="http://schemas.openxmlformats.org/officeDocument/2006/relationships/hyperlink" Target="https://www.rava.com/perfil/BK" TargetMode="External"/><Relationship Id="rId55" Type="http://schemas.openxmlformats.org/officeDocument/2006/relationships/hyperlink" Target="https://www.rava.com/perfil/BNG" TargetMode="External"/><Relationship Id="rId161" Type="http://schemas.openxmlformats.org/officeDocument/2006/relationships/hyperlink" Target="https://www.rava.com/perfil/LACD" TargetMode="External"/><Relationship Id="rId282" Type="http://schemas.openxmlformats.org/officeDocument/2006/relationships/hyperlink" Target="https://www.rava.com/perfil/TRVV" TargetMode="External"/><Relationship Id="rId54" Type="http://schemas.openxmlformats.org/officeDocument/2006/relationships/hyperlink" Target="https://www.rava.com/perfil/BMY" TargetMode="External"/><Relationship Id="rId160" Type="http://schemas.openxmlformats.org/officeDocument/2006/relationships/hyperlink" Target="https://www.rava.com/perfil/LAC" TargetMode="External"/><Relationship Id="rId281" Type="http://schemas.openxmlformats.org/officeDocument/2006/relationships/hyperlink" Target="https://www.rava.com/perfil/TMUS" TargetMode="External"/><Relationship Id="rId57" Type="http://schemas.openxmlformats.org/officeDocument/2006/relationships/hyperlink" Target="https://www.rava.com/perfil/BPA11" TargetMode="External"/><Relationship Id="rId280" Type="http://schemas.openxmlformats.org/officeDocument/2006/relationships/hyperlink" Target="https://www.rava.com/perfil/TMO" TargetMode="External"/><Relationship Id="rId56" Type="http://schemas.openxmlformats.org/officeDocument/2006/relationships/hyperlink" Target="https://www.rava.com/perfil/BP" TargetMode="External"/><Relationship Id="rId159" Type="http://schemas.openxmlformats.org/officeDocument/2006/relationships/hyperlink" Target="https://www.rava.com/perfil/KOFM" TargetMode="External"/><Relationship Id="rId59" Type="http://schemas.openxmlformats.org/officeDocument/2006/relationships/hyperlink" Target="https://www.rava.com/perfil/BSBR" TargetMode="External"/><Relationship Id="rId154" Type="http://schemas.openxmlformats.org/officeDocument/2006/relationships/hyperlink" Target="https://www.rava.com/perfil/KEP" TargetMode="External"/><Relationship Id="rId275" Type="http://schemas.openxmlformats.org/officeDocument/2006/relationships/hyperlink" Target="https://www.rava.com/perfil/TEN" TargetMode="External"/><Relationship Id="rId58" Type="http://schemas.openxmlformats.org/officeDocument/2006/relationships/hyperlink" Target="https://www.rava.com/perfil/BRKB" TargetMode="External"/><Relationship Id="rId153" Type="http://schemas.openxmlformats.org/officeDocument/2006/relationships/hyperlink" Target="https://www.rava.com/perfil/JPMD" TargetMode="External"/><Relationship Id="rId274" Type="http://schemas.openxmlformats.org/officeDocument/2006/relationships/hyperlink" Target="https://www.rava.com/perfil/TD" TargetMode="External"/><Relationship Id="rId152" Type="http://schemas.openxmlformats.org/officeDocument/2006/relationships/hyperlink" Target="https://www.rava.com/perfil/JPM" TargetMode="External"/><Relationship Id="rId273" Type="http://schemas.openxmlformats.org/officeDocument/2006/relationships/hyperlink" Target="https://www.rava.com/perfil/T" TargetMode="External"/><Relationship Id="rId151" Type="http://schemas.openxmlformats.org/officeDocument/2006/relationships/hyperlink" Target="https://www.rava.com/perfil/JNJD" TargetMode="External"/><Relationship Id="rId272" Type="http://schemas.openxmlformats.org/officeDocument/2006/relationships/hyperlink" Target="https://www.rava.com/perfil/SUZB3" TargetMode="External"/><Relationship Id="rId158" Type="http://schemas.openxmlformats.org/officeDocument/2006/relationships/hyperlink" Target="https://www.rava.com/perfil/KOD" TargetMode="External"/><Relationship Id="rId279" Type="http://schemas.openxmlformats.org/officeDocument/2006/relationships/hyperlink" Target="https://www.rava.com/perfil/TMD" TargetMode="External"/><Relationship Id="rId157" Type="http://schemas.openxmlformats.org/officeDocument/2006/relationships/hyperlink" Target="https://www.rava.com/perfil/KO" TargetMode="External"/><Relationship Id="rId278" Type="http://schemas.openxmlformats.org/officeDocument/2006/relationships/hyperlink" Target="https://www.rava.com/perfil/TM" TargetMode="External"/><Relationship Id="rId156" Type="http://schemas.openxmlformats.org/officeDocument/2006/relationships/hyperlink" Target="https://www.rava.com/perfil/KMB" TargetMode="External"/><Relationship Id="rId277" Type="http://schemas.openxmlformats.org/officeDocument/2006/relationships/hyperlink" Target="https://www.rava.com/perfil/TGTD" TargetMode="External"/><Relationship Id="rId155" Type="http://schemas.openxmlformats.org/officeDocument/2006/relationships/hyperlink" Target="https://www.rava.com/perfil/KGC" TargetMode="External"/><Relationship Id="rId276" Type="http://schemas.openxmlformats.org/officeDocument/2006/relationships/hyperlink" Target="https://www.rava.com/perfil/TGT" TargetMode="External"/><Relationship Id="rId107" Type="http://schemas.openxmlformats.org/officeDocument/2006/relationships/hyperlink" Target="https://www.rava.com/perfil/GLD" TargetMode="External"/><Relationship Id="rId228" Type="http://schemas.openxmlformats.org/officeDocument/2006/relationships/hyperlink" Target="https://www.rava.com/perfil/PKS" TargetMode="External"/><Relationship Id="rId349" Type="http://schemas.openxmlformats.org/officeDocument/2006/relationships/hyperlink" Target="https://www.rava.com/nosotros/politica-de-privacidad" TargetMode="External"/><Relationship Id="rId106" Type="http://schemas.openxmlformats.org/officeDocument/2006/relationships/hyperlink" Target="https://www.rava.com/perfil/GILD" TargetMode="External"/><Relationship Id="rId227" Type="http://schemas.openxmlformats.org/officeDocument/2006/relationships/hyperlink" Target="https://www.rava.com/perfil/PINS" TargetMode="External"/><Relationship Id="rId348" Type="http://schemas.openxmlformats.org/officeDocument/2006/relationships/hyperlink" Target="https://www.rava.com/nosotros/conducta" TargetMode="External"/><Relationship Id="rId105" Type="http://schemas.openxmlformats.org/officeDocument/2006/relationships/hyperlink" Target="https://www.rava.com/perfil/GGBD" TargetMode="External"/><Relationship Id="rId226" Type="http://schemas.openxmlformats.org/officeDocument/2006/relationships/hyperlink" Target="https://www.rava.com/perfil/PGD" TargetMode="External"/><Relationship Id="rId347" Type="http://schemas.openxmlformats.org/officeDocument/2006/relationships/hyperlink" Target="https://www.rava.com/nosotros/aviso-legal" TargetMode="External"/><Relationship Id="rId104" Type="http://schemas.openxmlformats.org/officeDocument/2006/relationships/hyperlink" Target="https://www.rava.com/perfil/GGB" TargetMode="External"/><Relationship Id="rId225" Type="http://schemas.openxmlformats.org/officeDocument/2006/relationships/hyperlink" Target="https://www.rava.com/perfil/PG" TargetMode="External"/><Relationship Id="rId346" Type="http://schemas.openxmlformats.org/officeDocument/2006/relationships/hyperlink" Target="https://www.rava.com/nosotros/cv" TargetMode="External"/><Relationship Id="rId109" Type="http://schemas.openxmlformats.org/officeDocument/2006/relationships/hyperlink" Target="https://www.rava.com/perfil/GLOB" TargetMode="External"/><Relationship Id="rId108" Type="http://schemas.openxmlformats.org/officeDocument/2006/relationships/hyperlink" Target="https://www.rava.com/perfil/GLDD" TargetMode="External"/><Relationship Id="rId229" Type="http://schemas.openxmlformats.org/officeDocument/2006/relationships/hyperlink" Target="https://www.rava.com/perfil/PLTR" TargetMode="External"/><Relationship Id="rId220" Type="http://schemas.openxmlformats.org/officeDocument/2006/relationships/hyperlink" Target="https://www.rava.com/perfil/PEP" TargetMode="External"/><Relationship Id="rId341" Type="http://schemas.openxmlformats.org/officeDocument/2006/relationships/hyperlink" Target="https://www.rava.com/centro-de-ayuda/preguntas-frecuentes" TargetMode="External"/><Relationship Id="rId340" Type="http://schemas.openxmlformats.org/officeDocument/2006/relationships/hyperlink" Target="https://www.rava.com/nuestros-servicios/aranceles" TargetMode="External"/><Relationship Id="rId103" Type="http://schemas.openxmlformats.org/officeDocument/2006/relationships/hyperlink" Target="https://www.rava.com/perfil/GFI" TargetMode="External"/><Relationship Id="rId224" Type="http://schemas.openxmlformats.org/officeDocument/2006/relationships/hyperlink" Target="https://www.rava.com/perfil/PFED" TargetMode="External"/><Relationship Id="rId345" Type="http://schemas.openxmlformats.org/officeDocument/2006/relationships/hyperlink" Target="https://www.rava.com/invertir/rofex" TargetMode="External"/><Relationship Id="rId102" Type="http://schemas.openxmlformats.org/officeDocument/2006/relationships/hyperlink" Target="https://www.rava.com/perfil/GED" TargetMode="External"/><Relationship Id="rId223" Type="http://schemas.openxmlformats.org/officeDocument/2006/relationships/hyperlink" Target="https://www.rava.com/perfil/PFE" TargetMode="External"/><Relationship Id="rId344" Type="http://schemas.openxmlformats.org/officeDocument/2006/relationships/hyperlink" Target="https://www.rava.com/invertir/cedears" TargetMode="External"/><Relationship Id="rId101" Type="http://schemas.openxmlformats.org/officeDocument/2006/relationships/hyperlink" Target="https://www.rava.com/perfil/GE" TargetMode="External"/><Relationship Id="rId222" Type="http://schemas.openxmlformats.org/officeDocument/2006/relationships/hyperlink" Target="https://www.rava.com/perfil/PETR3" TargetMode="External"/><Relationship Id="rId343" Type="http://schemas.openxmlformats.org/officeDocument/2006/relationships/hyperlink" Target="https://www.rava.com/invertir/cuentas-administradas" TargetMode="External"/><Relationship Id="rId100" Type="http://schemas.openxmlformats.org/officeDocument/2006/relationships/hyperlink" Target="https://www.rava.com/perfil/FXID" TargetMode="External"/><Relationship Id="rId221" Type="http://schemas.openxmlformats.org/officeDocument/2006/relationships/hyperlink" Target="https://www.rava.com/perfil/PEPD" TargetMode="External"/><Relationship Id="rId342" Type="http://schemas.openxmlformats.org/officeDocument/2006/relationships/hyperlink" Target="https://www.rava.com/centro-de-ayuda/contacto" TargetMode="External"/><Relationship Id="rId217" Type="http://schemas.openxmlformats.org/officeDocument/2006/relationships/hyperlink" Target="https://www.rava.com/perfil/PANW" TargetMode="External"/><Relationship Id="rId338" Type="http://schemas.openxmlformats.org/officeDocument/2006/relationships/hyperlink" Target="https://www.rava.com/perfil/ZMD" TargetMode="External"/><Relationship Id="rId216" Type="http://schemas.openxmlformats.org/officeDocument/2006/relationships/hyperlink" Target="https://www.rava.com/perfil/PAGS" TargetMode="External"/><Relationship Id="rId337" Type="http://schemas.openxmlformats.org/officeDocument/2006/relationships/hyperlink" Target="https://www.rava.com/perfil/ZM" TargetMode="External"/><Relationship Id="rId215" Type="http://schemas.openxmlformats.org/officeDocument/2006/relationships/hyperlink" Target="https://www.rava.com/perfil/PAAS" TargetMode="External"/><Relationship Id="rId336" Type="http://schemas.openxmlformats.org/officeDocument/2006/relationships/hyperlink" Target="https://www.rava.com/perfil/XYZ" TargetMode="External"/><Relationship Id="rId214" Type="http://schemas.openxmlformats.org/officeDocument/2006/relationships/hyperlink" Target="https://www.rava.com/perfil/OXYD" TargetMode="External"/><Relationship Id="rId335" Type="http://schemas.openxmlformats.org/officeDocument/2006/relationships/hyperlink" Target="https://www.rava.com/perfil/XROX" TargetMode="External"/><Relationship Id="rId219" Type="http://schemas.openxmlformats.org/officeDocument/2006/relationships/hyperlink" Target="https://www.rava.com/perfil/PBRD" TargetMode="External"/><Relationship Id="rId218" Type="http://schemas.openxmlformats.org/officeDocument/2006/relationships/hyperlink" Target="https://www.rava.com/perfil/PBR" TargetMode="External"/><Relationship Id="rId339" Type="http://schemas.openxmlformats.org/officeDocument/2006/relationships/hyperlink" Target="https://www.rava.com/nuestros-servicios/planes" TargetMode="External"/><Relationship Id="rId330" Type="http://schemas.openxmlformats.org/officeDocument/2006/relationships/hyperlink" Target="https://www.rava.com/perfil/XLY" TargetMode="External"/><Relationship Id="rId213" Type="http://schemas.openxmlformats.org/officeDocument/2006/relationships/hyperlink" Target="https://www.rava.com/perfil/OXY" TargetMode="External"/><Relationship Id="rId334" Type="http://schemas.openxmlformats.org/officeDocument/2006/relationships/hyperlink" Target="https://www.rava.com/perfil/XPD" TargetMode="External"/><Relationship Id="rId212" Type="http://schemas.openxmlformats.org/officeDocument/2006/relationships/hyperlink" Target="https://www.rava.com/perfil/ORLY" TargetMode="External"/><Relationship Id="rId333" Type="http://schemas.openxmlformats.org/officeDocument/2006/relationships/hyperlink" Target="https://www.rava.com/perfil/XP" TargetMode="External"/><Relationship Id="rId211" Type="http://schemas.openxmlformats.org/officeDocument/2006/relationships/hyperlink" Target="https://www.rava.com/perfil/ORCL" TargetMode="External"/><Relationship Id="rId332" Type="http://schemas.openxmlformats.org/officeDocument/2006/relationships/hyperlink" Target="https://www.rava.com/perfil/XOMD" TargetMode="External"/><Relationship Id="rId210" Type="http://schemas.openxmlformats.org/officeDocument/2006/relationships/hyperlink" Target="https://www.rava.com/perfil/NXE" TargetMode="External"/><Relationship Id="rId331" Type="http://schemas.openxmlformats.org/officeDocument/2006/relationships/hyperlink" Target="https://www.rava.com/perfil/XOM" TargetMode="External"/><Relationship Id="rId129" Type="http://schemas.openxmlformats.org/officeDocument/2006/relationships/hyperlink" Target="https://www.rava.com/perfil/HUTD" TargetMode="External"/><Relationship Id="rId128" Type="http://schemas.openxmlformats.org/officeDocument/2006/relationships/hyperlink" Target="https://www.rava.com/perfil/HUT" TargetMode="External"/><Relationship Id="rId249" Type="http://schemas.openxmlformats.org/officeDocument/2006/relationships/hyperlink" Target="https://www.rava.com/perfil/SATL" TargetMode="External"/><Relationship Id="rId127" Type="http://schemas.openxmlformats.org/officeDocument/2006/relationships/hyperlink" Target="https://www.rava.com/perfil/HSY" TargetMode="External"/><Relationship Id="rId248" Type="http://schemas.openxmlformats.org/officeDocument/2006/relationships/hyperlink" Target="https://www.rava.com/perfil/SAPD" TargetMode="External"/><Relationship Id="rId126" Type="http://schemas.openxmlformats.org/officeDocument/2006/relationships/hyperlink" Target="https://www.rava.com/perfil/HSBC" TargetMode="External"/><Relationship Id="rId247" Type="http://schemas.openxmlformats.org/officeDocument/2006/relationships/hyperlink" Target="https://www.rava.com/perfil/SAP" TargetMode="External"/><Relationship Id="rId121" Type="http://schemas.openxmlformats.org/officeDocument/2006/relationships/hyperlink" Target="https://www.rava.com/perfil/HL" TargetMode="External"/><Relationship Id="rId242" Type="http://schemas.openxmlformats.org/officeDocument/2006/relationships/hyperlink" Target="https://www.rava.com/perfil/RIOT" TargetMode="External"/><Relationship Id="rId120" Type="http://schemas.openxmlformats.org/officeDocument/2006/relationships/hyperlink" Target="https://www.rava.com/perfil/HDB" TargetMode="External"/><Relationship Id="rId241" Type="http://schemas.openxmlformats.org/officeDocument/2006/relationships/hyperlink" Target="https://www.rava.com/perfil/RIOD" TargetMode="External"/><Relationship Id="rId240" Type="http://schemas.openxmlformats.org/officeDocument/2006/relationships/hyperlink" Target="https://www.rava.com/perfil/RIO" TargetMode="External"/><Relationship Id="rId125" Type="http://schemas.openxmlformats.org/officeDocument/2006/relationships/hyperlink" Target="https://www.rava.com/perfil/HPQ" TargetMode="External"/><Relationship Id="rId246" Type="http://schemas.openxmlformats.org/officeDocument/2006/relationships/hyperlink" Target="https://www.rava.com/perfil/SAN" TargetMode="External"/><Relationship Id="rId124" Type="http://schemas.openxmlformats.org/officeDocument/2006/relationships/hyperlink" Target="https://www.rava.com/perfil/HOG" TargetMode="External"/><Relationship Id="rId245" Type="http://schemas.openxmlformats.org/officeDocument/2006/relationships/hyperlink" Target="https://www.rava.com/perfil/RTX" TargetMode="External"/><Relationship Id="rId123" Type="http://schemas.openxmlformats.org/officeDocument/2006/relationships/hyperlink" Target="https://www.rava.com/perfil/HMYD" TargetMode="External"/><Relationship Id="rId244" Type="http://schemas.openxmlformats.org/officeDocument/2006/relationships/hyperlink" Target="https://www.rava.com/perfil/ROST" TargetMode="External"/><Relationship Id="rId122" Type="http://schemas.openxmlformats.org/officeDocument/2006/relationships/hyperlink" Target="https://www.rava.com/perfil/HMY" TargetMode="External"/><Relationship Id="rId243" Type="http://schemas.openxmlformats.org/officeDocument/2006/relationships/hyperlink" Target="https://www.rava.com/perfil/ROKU" TargetMode="External"/><Relationship Id="rId95" Type="http://schemas.openxmlformats.org/officeDocument/2006/relationships/hyperlink" Target="https://www.rava.com/perfil/FCX" TargetMode="External"/><Relationship Id="rId94" Type="http://schemas.openxmlformats.org/officeDocument/2006/relationships/hyperlink" Target="https://www.rava.com/perfil/F" TargetMode="External"/><Relationship Id="rId97" Type="http://schemas.openxmlformats.org/officeDocument/2006/relationships/hyperlink" Target="https://www.rava.com/perfil/FDX" TargetMode="External"/><Relationship Id="rId96" Type="http://schemas.openxmlformats.org/officeDocument/2006/relationships/hyperlink" Target="https://www.rava.com/perfil/FCXD" TargetMode="External"/><Relationship Id="rId99" Type="http://schemas.openxmlformats.org/officeDocument/2006/relationships/hyperlink" Target="https://www.rava.com/perfil/FXI" TargetMode="External"/><Relationship Id="rId98" Type="http://schemas.openxmlformats.org/officeDocument/2006/relationships/hyperlink" Target="https://www.rava.com/perfil/FSLR" TargetMode="External"/><Relationship Id="rId91" Type="http://schemas.openxmlformats.org/officeDocument/2006/relationships/hyperlink" Target="https://www.rava.com/perfil/ETHA" TargetMode="External"/><Relationship Id="rId90" Type="http://schemas.openxmlformats.org/officeDocument/2006/relationships/hyperlink" Target="https://www.rava.com/perfil/EEMD" TargetMode="External"/><Relationship Id="rId93" Type="http://schemas.openxmlformats.org/officeDocument/2006/relationships/hyperlink" Target="https://www.rava.com/perfil/EWZD" TargetMode="External"/><Relationship Id="rId92" Type="http://schemas.openxmlformats.org/officeDocument/2006/relationships/hyperlink" Target="https://www.rava.com/perfil/EWZ" TargetMode="External"/><Relationship Id="rId118" Type="http://schemas.openxmlformats.org/officeDocument/2006/relationships/hyperlink" Target="https://www.rava.com/perfil/HAPV3" TargetMode="External"/><Relationship Id="rId239" Type="http://schemas.openxmlformats.org/officeDocument/2006/relationships/hyperlink" Target="https://www.rava.com/perfil/RENT3" TargetMode="External"/><Relationship Id="rId117" Type="http://schemas.openxmlformats.org/officeDocument/2006/relationships/hyperlink" Target="https://www.rava.com/perfil/HAL" TargetMode="External"/><Relationship Id="rId238" Type="http://schemas.openxmlformats.org/officeDocument/2006/relationships/hyperlink" Target="https://www.rava.com/perfil/RBLX" TargetMode="External"/><Relationship Id="rId116" Type="http://schemas.openxmlformats.org/officeDocument/2006/relationships/hyperlink" Target="https://www.rava.com/perfil/GT" TargetMode="External"/><Relationship Id="rId237" Type="http://schemas.openxmlformats.org/officeDocument/2006/relationships/hyperlink" Target="https://www.rava.com/perfil/RACE" TargetMode="External"/><Relationship Id="rId115" Type="http://schemas.openxmlformats.org/officeDocument/2006/relationships/hyperlink" Target="https://www.rava.com/perfil/GSK" TargetMode="External"/><Relationship Id="rId236" Type="http://schemas.openxmlformats.org/officeDocument/2006/relationships/hyperlink" Target="https://www.rava.com/perfil/QQQD" TargetMode="External"/><Relationship Id="rId119" Type="http://schemas.openxmlformats.org/officeDocument/2006/relationships/hyperlink" Target="https://www.rava.com/perfil/HD" TargetMode="External"/><Relationship Id="rId110" Type="http://schemas.openxmlformats.org/officeDocument/2006/relationships/hyperlink" Target="https://www.rava.com/perfil/GLW" TargetMode="External"/><Relationship Id="rId231" Type="http://schemas.openxmlformats.org/officeDocument/2006/relationships/hyperlink" Target="https://www.rava.com/perfil/PRIO3" TargetMode="External"/><Relationship Id="rId352" Type="http://schemas.openxmlformats.org/officeDocument/2006/relationships/hyperlink" Target="https://www.cnv.gov.ar/" TargetMode="External"/><Relationship Id="rId230" Type="http://schemas.openxmlformats.org/officeDocument/2006/relationships/hyperlink" Target="https://www.rava.com/perfil/PM" TargetMode="External"/><Relationship Id="rId351" Type="http://schemas.openxmlformats.org/officeDocument/2006/relationships/hyperlink" Target="http://www.cadane.com.ar/" TargetMode="External"/><Relationship Id="rId350" Type="http://schemas.openxmlformats.org/officeDocument/2006/relationships/hyperlink" Target="https://www.byma.com.ar/" TargetMode="External"/><Relationship Id="rId114" Type="http://schemas.openxmlformats.org/officeDocument/2006/relationships/hyperlink" Target="https://www.rava.com/perfil/GS" TargetMode="External"/><Relationship Id="rId235" Type="http://schemas.openxmlformats.org/officeDocument/2006/relationships/hyperlink" Target="https://www.rava.com/perfil/QQQ" TargetMode="External"/><Relationship Id="rId356" Type="http://schemas.openxmlformats.org/officeDocument/2006/relationships/drawing" Target="../drawings/drawing10.xml"/><Relationship Id="rId113" Type="http://schemas.openxmlformats.org/officeDocument/2006/relationships/hyperlink" Target="https://www.rava.com/perfil/GPRK" TargetMode="External"/><Relationship Id="rId234" Type="http://schemas.openxmlformats.org/officeDocument/2006/relationships/hyperlink" Target="https://www.rava.com/perfil/QCOM" TargetMode="External"/><Relationship Id="rId355" Type="http://schemas.openxmlformats.org/officeDocument/2006/relationships/hyperlink" Target="https://www.rava.com/suscribirse" TargetMode="External"/><Relationship Id="rId112" Type="http://schemas.openxmlformats.org/officeDocument/2006/relationships/hyperlink" Target="https://www.rava.com/perfil/GOOGL" TargetMode="External"/><Relationship Id="rId233" Type="http://schemas.openxmlformats.org/officeDocument/2006/relationships/hyperlink" Target="https://www.rava.com/perfil/PYPL" TargetMode="External"/><Relationship Id="rId354" Type="http://schemas.openxmlformats.org/officeDocument/2006/relationships/hyperlink" Target="https://www.rofex.com.ar/" TargetMode="External"/><Relationship Id="rId111" Type="http://schemas.openxmlformats.org/officeDocument/2006/relationships/hyperlink" Target="https://www.rava.com/perfil/GM" TargetMode="External"/><Relationship Id="rId232" Type="http://schemas.openxmlformats.org/officeDocument/2006/relationships/hyperlink" Target="https://www.rava.com/perfil/PSX" TargetMode="External"/><Relationship Id="rId353" Type="http://schemas.openxmlformats.org/officeDocument/2006/relationships/hyperlink" Target="http://www.mav-sa.com.ar/" TargetMode="External"/><Relationship Id="rId305" Type="http://schemas.openxmlformats.org/officeDocument/2006/relationships/hyperlink" Target="https://www.rava.com/perfil/VIVT3" TargetMode="External"/><Relationship Id="rId304" Type="http://schemas.openxmlformats.org/officeDocument/2006/relationships/hyperlink" Target="https://www.rava.com/perfil/VIST" TargetMode="External"/><Relationship Id="rId303" Type="http://schemas.openxmlformats.org/officeDocument/2006/relationships/hyperlink" Target="https://www.rava.com/perfil/VEAD" TargetMode="External"/><Relationship Id="rId302" Type="http://schemas.openxmlformats.org/officeDocument/2006/relationships/hyperlink" Target="https://www.rava.com/perfil/VEA" TargetMode="External"/><Relationship Id="rId309" Type="http://schemas.openxmlformats.org/officeDocument/2006/relationships/hyperlink" Target="https://www.rava.com/perfil/WBO" TargetMode="External"/><Relationship Id="rId308" Type="http://schemas.openxmlformats.org/officeDocument/2006/relationships/hyperlink" Target="https://www.rava.com/perfil/VZD" TargetMode="External"/><Relationship Id="rId307" Type="http://schemas.openxmlformats.org/officeDocument/2006/relationships/hyperlink" Target="https://www.rava.com/perfil/VZ" TargetMode="External"/><Relationship Id="rId306" Type="http://schemas.openxmlformats.org/officeDocument/2006/relationships/hyperlink" Target="https://www.rava.com/perfil/VOD" TargetMode="External"/><Relationship Id="rId301" Type="http://schemas.openxmlformats.org/officeDocument/2006/relationships/hyperlink" Target="https://www.rava.com/perfil/VD" TargetMode="External"/><Relationship Id="rId300" Type="http://schemas.openxmlformats.org/officeDocument/2006/relationships/hyperlink" Target="https://www.rava.com/perfil/VALE3" TargetMode="External"/><Relationship Id="rId206" Type="http://schemas.openxmlformats.org/officeDocument/2006/relationships/hyperlink" Target="https://www.rava.com/perfil/NTES" TargetMode="External"/><Relationship Id="rId327" Type="http://schemas.openxmlformats.org/officeDocument/2006/relationships/hyperlink" Target="https://www.rava.com/perfil/XLRE" TargetMode="External"/><Relationship Id="rId205" Type="http://schemas.openxmlformats.org/officeDocument/2006/relationships/hyperlink" Target="https://www.rava.com/perfil/NOKA" TargetMode="External"/><Relationship Id="rId326" Type="http://schemas.openxmlformats.org/officeDocument/2006/relationships/hyperlink" Target="https://www.rava.com/perfil/XLPD" TargetMode="External"/><Relationship Id="rId204" Type="http://schemas.openxmlformats.org/officeDocument/2006/relationships/hyperlink" Target="https://www.rava.com/perfil/NKED" TargetMode="External"/><Relationship Id="rId325" Type="http://schemas.openxmlformats.org/officeDocument/2006/relationships/hyperlink" Target="https://www.rava.com/perfil/XLP" TargetMode="External"/><Relationship Id="rId203" Type="http://schemas.openxmlformats.org/officeDocument/2006/relationships/hyperlink" Target="https://www.rava.com/perfil/NKE" TargetMode="External"/><Relationship Id="rId324" Type="http://schemas.openxmlformats.org/officeDocument/2006/relationships/hyperlink" Target="https://www.rava.com/perfil/XLKD" TargetMode="External"/><Relationship Id="rId209" Type="http://schemas.openxmlformats.org/officeDocument/2006/relationships/hyperlink" Target="https://www.rava.com/perfil/NVDA" TargetMode="External"/><Relationship Id="rId208" Type="http://schemas.openxmlformats.org/officeDocument/2006/relationships/hyperlink" Target="https://www.rava.com/perfil/NUD" TargetMode="External"/><Relationship Id="rId329" Type="http://schemas.openxmlformats.org/officeDocument/2006/relationships/hyperlink" Target="https://www.rava.com/perfil/XLVD" TargetMode="External"/><Relationship Id="rId207" Type="http://schemas.openxmlformats.org/officeDocument/2006/relationships/hyperlink" Target="https://www.rava.com/perfil/NU" TargetMode="External"/><Relationship Id="rId328" Type="http://schemas.openxmlformats.org/officeDocument/2006/relationships/hyperlink" Target="https://www.rava.com/perfil/XLV" TargetMode="External"/><Relationship Id="rId202" Type="http://schemas.openxmlformats.org/officeDocument/2006/relationships/hyperlink" Target="https://www.rava.com/perfil/NIOD" TargetMode="External"/><Relationship Id="rId323" Type="http://schemas.openxmlformats.org/officeDocument/2006/relationships/hyperlink" Target="https://www.rava.com/perfil/XLK" TargetMode="External"/><Relationship Id="rId201" Type="http://schemas.openxmlformats.org/officeDocument/2006/relationships/hyperlink" Target="https://www.rava.com/perfil/NIO" TargetMode="External"/><Relationship Id="rId322" Type="http://schemas.openxmlformats.org/officeDocument/2006/relationships/hyperlink" Target="https://www.rava.com/perfil/XLI" TargetMode="External"/><Relationship Id="rId200" Type="http://schemas.openxmlformats.org/officeDocument/2006/relationships/hyperlink" Target="https://www.rava.com/perfil/NG" TargetMode="External"/><Relationship Id="rId321" Type="http://schemas.openxmlformats.org/officeDocument/2006/relationships/hyperlink" Target="https://www.rava.com/perfil/XLFD" TargetMode="External"/><Relationship Id="rId320" Type="http://schemas.openxmlformats.org/officeDocument/2006/relationships/hyperlink" Target="https://www.rava.com/perfil/XLF" TargetMode="External"/><Relationship Id="rId316" Type="http://schemas.openxmlformats.org/officeDocument/2006/relationships/hyperlink" Target="https://www.rava.com/perfil/XLC" TargetMode="External"/><Relationship Id="rId315" Type="http://schemas.openxmlformats.org/officeDocument/2006/relationships/hyperlink" Target="https://www.rava.com/perfil/XLBD" TargetMode="External"/><Relationship Id="rId314" Type="http://schemas.openxmlformats.org/officeDocument/2006/relationships/hyperlink" Target="https://www.rava.com/perfil/XLB" TargetMode="External"/><Relationship Id="rId313" Type="http://schemas.openxmlformats.org/officeDocument/2006/relationships/hyperlink" Target="https://www.rava.com/perfil/WMTD" TargetMode="External"/><Relationship Id="rId319" Type="http://schemas.openxmlformats.org/officeDocument/2006/relationships/hyperlink" Target="https://www.rava.com/perfil/XLED" TargetMode="External"/><Relationship Id="rId318" Type="http://schemas.openxmlformats.org/officeDocument/2006/relationships/hyperlink" Target="https://www.rava.com/perfil/XLE" TargetMode="External"/><Relationship Id="rId317" Type="http://schemas.openxmlformats.org/officeDocument/2006/relationships/hyperlink" Target="https://www.rava.com/perfil/XLCD" TargetMode="External"/><Relationship Id="rId312" Type="http://schemas.openxmlformats.org/officeDocument/2006/relationships/hyperlink" Target="https://www.rava.com/perfil/WMT" TargetMode="External"/><Relationship Id="rId311" Type="http://schemas.openxmlformats.org/officeDocument/2006/relationships/hyperlink" Target="https://www.rava.com/perfil/WFC" TargetMode="External"/><Relationship Id="rId310" Type="http://schemas.openxmlformats.org/officeDocument/2006/relationships/hyperlink" Target="https://www.rava.com/perfil/WEGE3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5" Type="http://schemas.openxmlformats.org/officeDocument/2006/relationships/table" Target="../tables/table2.xml"/><Relationship Id="rId6" Type="http://schemas.openxmlformats.org/officeDocument/2006/relationships/table" Target="../tables/table3.xml"/><Relationship Id="rId7" Type="http://schemas.openxmlformats.org/officeDocument/2006/relationships/table" Target="../tables/table4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.75"/>
    <col customWidth="1" min="2" max="5" width="10.75"/>
    <col customWidth="1" min="6" max="6" width="6.38"/>
    <col customWidth="1" min="7" max="12" width="10.75"/>
    <col customWidth="1" min="13" max="14" width="12.0"/>
    <col customWidth="1" min="15" max="15" width="3.0"/>
    <col customWidth="1" min="16" max="17" width="10.13"/>
    <col customWidth="1" min="23" max="23" width="3.0"/>
    <col customWidth="1" min="28" max="28" width="3.0"/>
    <col customWidth="1" min="31" max="31" width="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1" t="s">
        <v>1</v>
      </c>
      <c r="Q1" s="3" t="s">
        <v>6</v>
      </c>
      <c r="R1" s="1" t="s">
        <v>14</v>
      </c>
      <c r="S1" s="1" t="s">
        <v>15</v>
      </c>
      <c r="T1" s="1" t="s">
        <v>16</v>
      </c>
      <c r="U1" s="1" t="s">
        <v>12</v>
      </c>
      <c r="V1" s="1" t="s">
        <v>17</v>
      </c>
      <c r="W1" s="2"/>
      <c r="X1" s="2"/>
      <c r="Y1" s="2"/>
      <c r="Z1" s="2"/>
      <c r="AA1" s="2"/>
      <c r="AB1" s="2"/>
      <c r="AC1" s="1" t="s">
        <v>18</v>
      </c>
      <c r="AD1" s="1" t="s">
        <v>19</v>
      </c>
      <c r="AE1" s="2"/>
    </row>
    <row r="2" ht="24.0" customHeight="1">
      <c r="A2" s="4" t="s">
        <v>20</v>
      </c>
      <c r="B2" s="4" t="s">
        <v>21</v>
      </c>
      <c r="C2" s="5">
        <v>44305.0</v>
      </c>
      <c r="D2" s="6" t="s">
        <v>22</v>
      </c>
      <c r="E2" s="7"/>
      <c r="F2" s="8">
        <f t="shared" ref="F2:F123" si="1">if(B2=0,"...", IF(E2=0,today()-C2,E2-C2))</f>
        <v>1812</v>
      </c>
      <c r="G2" s="6">
        <v>0.0052924</v>
      </c>
      <c r="H2" s="9">
        <v>56496.11</v>
      </c>
      <c r="I2" s="10" t="str">
        <f t="shared" ref="I2:I98" si="2">IF(B2=0,"...",IF(D2="CERRADA","-",VLOOKUP(B2,$AC$2:$AD$27,2,FALSE)))</f>
        <v>-</v>
      </c>
      <c r="J2" s="11" t="str">
        <f>IF(B2=0,"...",IF(D2="CERRADA","Valor Venta",I2*(1-VLOOKUP(A2,Config!$B$3:$C$22,2,FALSE))))</f>
        <v>Valor Venta</v>
      </c>
      <c r="K2" s="10">
        <f t="shared" ref="K2:K123" si="3">if(B2=0,"...",G2*H2)</f>
        <v>299.0000126</v>
      </c>
      <c r="L2" s="10" t="str">
        <f t="shared" ref="L2:L123" si="4">IF(B2=0,"...",G2*J2)</f>
        <v>#VALUE!</v>
      </c>
      <c r="M2" s="12" t="str">
        <f t="shared" ref="M2:M123" si="5">if(B2=0,"...",L2/K2-1)</f>
        <v>#VALUE!</v>
      </c>
      <c r="N2" s="13" t="str">
        <f t="shared" ref="N2:N123" si="6">if(B2=0,"...",L2-K2)</f>
        <v>#VALUE!</v>
      </c>
      <c r="O2" s="2"/>
      <c r="P2" s="10" t="str">
        <f t="array" ref="P2:P35">Unique(B10:B200)</f>
        <v>BTC</v>
      </c>
      <c r="Q2" s="14">
        <f t="shared" ref="Q2:Q123" si="7">if(P2=0,"...",sumifs($G$2:$G$124,$B$2:$B$124,P2,$D$2:$D$124,"ABIERTA"))</f>
        <v>0.01699</v>
      </c>
      <c r="R2" s="12" t="str">
        <f t="shared" ref="R2:R123" si="8">if(P2=0,"",T2/$Y$18)</f>
        <v>#ERROR!</v>
      </c>
      <c r="S2" s="10">
        <f t="shared" ref="S2:S123" si="9">if(Q2=0,"...",if(P2=0,"...",sumifs($K$2:$K$124,$B$2:$B$124,P2,$D$2:$D$124,"ABIERTA")/Q2))</f>
        <v>65950.87199</v>
      </c>
      <c r="T2" s="10">
        <f t="shared" ref="T2:T123" si="10">if(P2=0,"...",sumifs($L$2:$L$124,$B$2:$B$124,P2,$D$2:$D$124,"ABIERTA"))</f>
        <v>1129.194562</v>
      </c>
      <c r="U2" s="12">
        <f t="shared" ref="U2:U123" si="11">if(Q2=0,"...",if(P2=0,"...",V2/(T2-V2)))</f>
        <v>0.007754757051</v>
      </c>
      <c r="V2" s="10">
        <f t="shared" ref="V2:V123" si="12">if(Q2=0,"...",if(P2=0,"...",sumifs($N$2:$N$124,$B$2:$B$124,P2,$D$2:$D$124,"ABIERTA")))</f>
        <v>8.689246493</v>
      </c>
      <c r="W2" s="2"/>
      <c r="X2" s="2"/>
      <c r="Y2" s="2"/>
      <c r="Z2" s="2"/>
      <c r="AA2" s="2"/>
      <c r="AB2" s="2"/>
      <c r="AC2" s="10" t="s">
        <v>21</v>
      </c>
      <c r="AD2" s="15">
        <f>IFERROR(__xludf.DUMMYFUNCTION("IFERROR(GOOGLEFINANCE(""CURRENCY:""&amp;AC2&amp;""USD""),GECKOPRICE(AC2,""USD""))"),66948.35)</f>
        <v>66948.35</v>
      </c>
      <c r="AE2" s="2"/>
    </row>
    <row r="3" ht="24.0" customHeight="1">
      <c r="A3" s="4" t="s">
        <v>20</v>
      </c>
      <c r="B3" s="4" t="s">
        <v>23</v>
      </c>
      <c r="C3" s="5">
        <v>44439.0</v>
      </c>
      <c r="D3" s="6" t="s">
        <v>24</v>
      </c>
      <c r="E3" s="7"/>
      <c r="F3" s="8">
        <f t="shared" si="1"/>
        <v>1678</v>
      </c>
      <c r="G3" s="6">
        <v>0.08891975</v>
      </c>
      <c r="H3" s="9">
        <v>562.3</v>
      </c>
      <c r="I3" s="10">
        <f t="shared" si="2"/>
        <v>593.3397941</v>
      </c>
      <c r="J3" s="11">
        <f>IF(B3=0,"...",IF(D3="CERRADA","Valor Venta",I3*(1-VLOOKUP(A3,Config!$B$3:$C$22,2,FALSE))))</f>
        <v>589.0321472</v>
      </c>
      <c r="K3" s="10">
        <f t="shared" si="3"/>
        <v>49.99957543</v>
      </c>
      <c r="L3" s="10">
        <f t="shared" si="4"/>
        <v>52.37659127</v>
      </c>
      <c r="M3" s="12">
        <f t="shared" si="5"/>
        <v>0.0475407206</v>
      </c>
      <c r="N3" s="16">
        <f t="shared" si="6"/>
        <v>2.377015846</v>
      </c>
      <c r="O3" s="2"/>
      <c r="P3" s="10" t="s">
        <v>25</v>
      </c>
      <c r="Q3" s="14">
        <f t="shared" si="7"/>
        <v>24.63</v>
      </c>
      <c r="R3" s="12" t="str">
        <f t="shared" si="8"/>
        <v>#ERROR!</v>
      </c>
      <c r="S3" s="10">
        <f t="shared" si="9"/>
        <v>4.208</v>
      </c>
      <c r="T3" s="10">
        <f t="shared" si="10"/>
        <v>30.0064957</v>
      </c>
      <c r="U3" s="12">
        <f t="shared" si="11"/>
        <v>-0.710482289</v>
      </c>
      <c r="V3" s="10">
        <f t="shared" si="12"/>
        <v>-73.6365443</v>
      </c>
      <c r="W3" s="2"/>
      <c r="X3" s="2"/>
      <c r="Y3" s="2"/>
      <c r="Z3" s="2"/>
      <c r="AA3" s="2"/>
      <c r="AB3" s="2"/>
      <c r="AC3" s="10" t="s">
        <v>23</v>
      </c>
      <c r="AD3" s="15">
        <f>IFERROR(__xludf.DUMMYFUNCTION("IFERROR(GOOGLEFINANCE(""CURRENCY:""&amp;AC3&amp;""USD""),GECKOPRICE(AC3,""USD""))"),593.3397941)</f>
        <v>593.3397941</v>
      </c>
      <c r="AE3" s="2"/>
    </row>
    <row r="4" ht="24.0" customHeight="1">
      <c r="A4" s="4" t="s">
        <v>20</v>
      </c>
      <c r="B4" s="4" t="s">
        <v>26</v>
      </c>
      <c r="C4" s="5">
        <v>44529.0</v>
      </c>
      <c r="D4" s="6" t="s">
        <v>22</v>
      </c>
      <c r="E4" s="7"/>
      <c r="F4" s="8">
        <f t="shared" si="1"/>
        <v>1588</v>
      </c>
      <c r="G4" s="6">
        <v>0.42</v>
      </c>
      <c r="H4" s="9">
        <v>119.05</v>
      </c>
      <c r="I4" s="10" t="str">
        <f t="shared" si="2"/>
        <v>-</v>
      </c>
      <c r="J4" s="11">
        <v>33.62</v>
      </c>
      <c r="K4" s="10">
        <f t="shared" si="3"/>
        <v>50.001</v>
      </c>
      <c r="L4" s="10">
        <f t="shared" si="4"/>
        <v>14.1204</v>
      </c>
      <c r="M4" s="12">
        <f t="shared" si="5"/>
        <v>-0.717597648</v>
      </c>
      <c r="N4" s="16">
        <f t="shared" si="6"/>
        <v>-35.8806</v>
      </c>
      <c r="O4" s="2"/>
      <c r="P4" s="10" t="s">
        <v>27</v>
      </c>
      <c r="Q4" s="14">
        <f t="shared" si="7"/>
        <v>9.646</v>
      </c>
      <c r="R4" s="12" t="str">
        <f t="shared" si="8"/>
        <v>#ERROR!</v>
      </c>
      <c r="S4" s="10">
        <f t="shared" si="9"/>
        <v>154.1752467</v>
      </c>
      <c r="T4" s="10">
        <f t="shared" si="10"/>
        <v>764.2208226</v>
      </c>
      <c r="U4" s="12">
        <f t="shared" si="11"/>
        <v>-0.4861256305</v>
      </c>
      <c r="V4" s="10">
        <f t="shared" si="12"/>
        <v>-722.9536074</v>
      </c>
      <c r="W4" s="2"/>
      <c r="X4" s="2"/>
      <c r="Y4" s="2"/>
      <c r="Z4" s="2"/>
      <c r="AA4" s="2"/>
      <c r="AB4" s="2"/>
      <c r="AC4" s="10" t="s">
        <v>26</v>
      </c>
      <c r="AD4" s="15"/>
      <c r="AE4" s="2"/>
    </row>
    <row r="5" ht="24.0" customHeight="1">
      <c r="A5" s="4" t="s">
        <v>20</v>
      </c>
      <c r="B5" s="4" t="s">
        <v>21</v>
      </c>
      <c r="C5" s="5">
        <v>44530.0</v>
      </c>
      <c r="D5" s="6" t="s">
        <v>22</v>
      </c>
      <c r="E5" s="7"/>
      <c r="F5" s="8">
        <f t="shared" si="1"/>
        <v>1587</v>
      </c>
      <c r="G5" s="6">
        <v>0.00173</v>
      </c>
      <c r="H5" s="9">
        <v>48000.0</v>
      </c>
      <c r="I5" s="10" t="str">
        <f t="shared" si="2"/>
        <v>-</v>
      </c>
      <c r="J5" s="11" t="str">
        <f>IF(B5=0,"...",IF(D5="CERRADA","Valor Venta",I5*(1-VLOOKUP(A5,Config!$B$3:$C$22,2,FALSE))))</f>
        <v>Valor Venta</v>
      </c>
      <c r="K5" s="10">
        <f t="shared" si="3"/>
        <v>83.04</v>
      </c>
      <c r="L5" s="10" t="str">
        <f t="shared" si="4"/>
        <v>#VALUE!</v>
      </c>
      <c r="M5" s="12" t="str">
        <f t="shared" si="5"/>
        <v>#VALUE!</v>
      </c>
      <c r="N5" s="13" t="str">
        <f t="shared" si="6"/>
        <v>#VALUE!</v>
      </c>
      <c r="O5" s="2"/>
      <c r="P5" s="10" t="s">
        <v>28</v>
      </c>
      <c r="Q5" s="14">
        <f t="shared" si="7"/>
        <v>0</v>
      </c>
      <c r="R5" s="12" t="str">
        <f t="shared" si="8"/>
        <v>#ERROR!</v>
      </c>
      <c r="S5" s="10" t="str">
        <f t="shared" si="9"/>
        <v>...</v>
      </c>
      <c r="T5" s="10">
        <f t="shared" si="10"/>
        <v>0</v>
      </c>
      <c r="U5" s="12" t="str">
        <f t="shared" si="11"/>
        <v>...</v>
      </c>
      <c r="V5" s="10" t="str">
        <f t="shared" si="12"/>
        <v>...</v>
      </c>
      <c r="W5" s="2"/>
      <c r="X5" s="2"/>
      <c r="Y5" s="2"/>
      <c r="Z5" s="2"/>
      <c r="AA5" s="2"/>
      <c r="AB5" s="2"/>
      <c r="AC5" s="10" t="s">
        <v>29</v>
      </c>
      <c r="AD5" s="15">
        <f>IFERROR(__xludf.DUMMYFUNCTION("IFERROR(GOOGLEFINANCE(""CURRENCY:""&amp;AC5&amp;""USD""),GECKOPRICE(AC5,""USD""))"),2039.8307000000002)</f>
        <v>2039.8307</v>
      </c>
      <c r="AE5" s="2"/>
    </row>
    <row r="6" ht="24.0" customHeight="1">
      <c r="A6" s="4" t="s">
        <v>20</v>
      </c>
      <c r="B6" s="4" t="s">
        <v>29</v>
      </c>
      <c r="C6" s="5">
        <v>44577.0</v>
      </c>
      <c r="D6" s="6" t="s">
        <v>22</v>
      </c>
      <c r="E6" s="7"/>
      <c r="F6" s="8">
        <f t="shared" si="1"/>
        <v>1540</v>
      </c>
      <c r="G6" s="6">
        <v>0.0173</v>
      </c>
      <c r="H6" s="9">
        <v>3352.6</v>
      </c>
      <c r="I6" s="10" t="str">
        <f t="shared" si="2"/>
        <v>-</v>
      </c>
      <c r="J6" s="11">
        <v>2744.0</v>
      </c>
      <c r="K6" s="10">
        <f t="shared" si="3"/>
        <v>57.99998</v>
      </c>
      <c r="L6" s="10">
        <f t="shared" si="4"/>
        <v>47.4712</v>
      </c>
      <c r="M6" s="12">
        <f t="shared" si="5"/>
        <v>-0.1815307523</v>
      </c>
      <c r="N6" s="16">
        <f t="shared" si="6"/>
        <v>-10.52878</v>
      </c>
      <c r="O6" s="2"/>
      <c r="P6" s="10" t="s">
        <v>30</v>
      </c>
      <c r="Q6" s="14">
        <f t="shared" si="7"/>
        <v>0</v>
      </c>
      <c r="R6" s="12" t="str">
        <f t="shared" si="8"/>
        <v>#ERROR!</v>
      </c>
      <c r="S6" s="10" t="str">
        <f t="shared" si="9"/>
        <v>...</v>
      </c>
      <c r="T6" s="10">
        <f t="shared" si="10"/>
        <v>0</v>
      </c>
      <c r="U6" s="12" t="str">
        <f t="shared" si="11"/>
        <v>...</v>
      </c>
      <c r="V6" s="10" t="str">
        <f t="shared" si="12"/>
        <v>...</v>
      </c>
      <c r="W6" s="2"/>
      <c r="X6" s="2"/>
      <c r="Y6" s="2"/>
      <c r="Z6" s="2"/>
      <c r="AA6" s="2"/>
      <c r="AB6" s="2"/>
      <c r="AC6" s="10" t="s">
        <v>25</v>
      </c>
      <c r="AD6" s="15">
        <f>IFERROR(__xludf.DUMMYFUNCTION("IFERROR(GOOGLEFINANCE(""CURRENCY:""&amp;AC6&amp;""USD""),GECKOPRICE(AC6,""USD""))"),1.2272)</f>
        <v>1.2272</v>
      </c>
      <c r="AE6" s="2"/>
    </row>
    <row r="7" ht="24.0" customHeight="1">
      <c r="A7" s="4" t="s">
        <v>20</v>
      </c>
      <c r="B7" s="4" t="s">
        <v>21</v>
      </c>
      <c r="C7" s="5">
        <v>44676.0</v>
      </c>
      <c r="D7" s="6" t="s">
        <v>22</v>
      </c>
      <c r="E7" s="7"/>
      <c r="F7" s="8">
        <f t="shared" si="1"/>
        <v>1441</v>
      </c>
      <c r="G7" s="6">
        <v>0.003532468</v>
      </c>
      <c r="H7" s="9">
        <v>38500.0</v>
      </c>
      <c r="I7" s="10" t="str">
        <f t="shared" si="2"/>
        <v>-</v>
      </c>
      <c r="J7" s="11" t="str">
        <f>IF(B7=0,"...",IF(D7="CERRADA","Valor Venta",I7*(1-VLOOKUP(A7,Config!$B$3:$C$22,2,FALSE))))</f>
        <v>Valor Venta</v>
      </c>
      <c r="K7" s="10">
        <f t="shared" si="3"/>
        <v>136.000018</v>
      </c>
      <c r="L7" s="10" t="str">
        <f t="shared" si="4"/>
        <v>#VALUE!</v>
      </c>
      <c r="M7" s="12" t="str">
        <f t="shared" si="5"/>
        <v>#VALUE!</v>
      </c>
      <c r="N7" s="13" t="str">
        <f t="shared" si="6"/>
        <v>#VALUE!</v>
      </c>
      <c r="O7" s="2"/>
      <c r="P7" s="10" t="s">
        <v>31</v>
      </c>
      <c r="Q7" s="14">
        <f t="shared" si="7"/>
        <v>0</v>
      </c>
      <c r="R7" s="12" t="str">
        <f t="shared" si="8"/>
        <v>#ERROR!</v>
      </c>
      <c r="S7" s="10" t="str">
        <f t="shared" si="9"/>
        <v>...</v>
      </c>
      <c r="T7" s="10">
        <f t="shared" si="10"/>
        <v>0</v>
      </c>
      <c r="U7" s="12" t="str">
        <f t="shared" si="11"/>
        <v>...</v>
      </c>
      <c r="V7" s="10" t="str">
        <f t="shared" si="12"/>
        <v>...</v>
      </c>
      <c r="W7" s="2"/>
      <c r="X7" s="2"/>
      <c r="Y7" s="2"/>
      <c r="Z7" s="2"/>
      <c r="AA7" s="2"/>
      <c r="AB7" s="2"/>
      <c r="AC7" s="10" t="s">
        <v>27</v>
      </c>
      <c r="AD7" s="15">
        <f>IFERROR(__xludf.DUMMYFUNCTION("IFERROR(GOOGLEFINANCE(""CURRENCY:""&amp;AC7&amp;""USD""),GECKOPRICE(AC7,""USD""))"),79.8061)</f>
        <v>79.8061</v>
      </c>
      <c r="AE7" s="2"/>
    </row>
    <row r="8" ht="24.0" customHeight="1">
      <c r="A8" s="4" t="s">
        <v>20</v>
      </c>
      <c r="B8" s="4" t="s">
        <v>21</v>
      </c>
      <c r="C8" s="5">
        <v>44689.0</v>
      </c>
      <c r="D8" s="6" t="s">
        <v>22</v>
      </c>
      <c r="E8" s="7"/>
      <c r="F8" s="8">
        <f t="shared" si="1"/>
        <v>1428</v>
      </c>
      <c r="G8" s="6">
        <v>0.005571031</v>
      </c>
      <c r="H8" s="9">
        <v>35900.0</v>
      </c>
      <c r="I8" s="10" t="str">
        <f t="shared" si="2"/>
        <v>-</v>
      </c>
      <c r="J8" s="11" t="str">
        <f>IF(B8=0,"...",IF(D8="CERRADA","Valor Venta",I8*(1-VLOOKUP(A8,Config!$B$3:$C$22,2,FALSE))))</f>
        <v>Valor Venta</v>
      </c>
      <c r="K8" s="10">
        <f t="shared" si="3"/>
        <v>200.0000129</v>
      </c>
      <c r="L8" s="10" t="str">
        <f t="shared" si="4"/>
        <v>#VALUE!</v>
      </c>
      <c r="M8" s="12" t="str">
        <f t="shared" si="5"/>
        <v>#VALUE!</v>
      </c>
      <c r="N8" s="13" t="str">
        <f t="shared" si="6"/>
        <v>#VALUE!</v>
      </c>
      <c r="O8" s="2"/>
      <c r="P8" s="10" t="s">
        <v>32</v>
      </c>
      <c r="Q8" s="14">
        <f t="shared" si="7"/>
        <v>0</v>
      </c>
      <c r="R8" s="12" t="str">
        <f t="shared" si="8"/>
        <v>#ERROR!</v>
      </c>
      <c r="S8" s="10" t="str">
        <f t="shared" si="9"/>
        <v>...</v>
      </c>
      <c r="T8" s="10">
        <f t="shared" si="10"/>
        <v>0</v>
      </c>
      <c r="U8" s="12" t="str">
        <f t="shared" si="11"/>
        <v>...</v>
      </c>
      <c r="V8" s="10" t="str">
        <f t="shared" si="12"/>
        <v>...</v>
      </c>
      <c r="W8" s="2"/>
      <c r="X8" s="2"/>
      <c r="Y8" s="2"/>
      <c r="Z8" s="2"/>
      <c r="AA8" s="2"/>
      <c r="AB8" s="2"/>
      <c r="AC8" s="10" t="s">
        <v>28</v>
      </c>
      <c r="AD8" s="15"/>
      <c r="AE8" s="2"/>
    </row>
    <row r="9" ht="24.0" customHeight="1">
      <c r="A9" s="4" t="s">
        <v>20</v>
      </c>
      <c r="B9" s="4" t="s">
        <v>21</v>
      </c>
      <c r="C9" s="5">
        <v>45037.0</v>
      </c>
      <c r="D9" s="6" t="s">
        <v>22</v>
      </c>
      <c r="E9" s="7"/>
      <c r="F9" s="8">
        <f t="shared" si="1"/>
        <v>1080</v>
      </c>
      <c r="G9" s="6">
        <v>0.010690122</v>
      </c>
      <c r="H9" s="9">
        <v>28082.0</v>
      </c>
      <c r="I9" s="10" t="str">
        <f t="shared" si="2"/>
        <v>-</v>
      </c>
      <c r="J9" s="11" t="str">
        <f>IF(B9=0,"...",IF(D9="CERRADA","Valor Venta",I9*(1-VLOOKUP(A9,Config!$B$3:$C$22,2,FALSE))))</f>
        <v>Valor Venta</v>
      </c>
      <c r="K9" s="10">
        <f t="shared" si="3"/>
        <v>300.200006</v>
      </c>
      <c r="L9" s="10" t="str">
        <f t="shared" si="4"/>
        <v>#VALUE!</v>
      </c>
      <c r="M9" s="12" t="str">
        <f t="shared" si="5"/>
        <v>#VALUE!</v>
      </c>
      <c r="N9" s="13" t="str">
        <f t="shared" si="6"/>
        <v>#VALUE!</v>
      </c>
      <c r="O9" s="2"/>
      <c r="P9" s="10" t="s">
        <v>33</v>
      </c>
      <c r="Q9" s="14">
        <f t="shared" si="7"/>
        <v>0</v>
      </c>
      <c r="R9" s="12" t="str">
        <f t="shared" si="8"/>
        <v>#ERROR!</v>
      </c>
      <c r="S9" s="10" t="str">
        <f t="shared" si="9"/>
        <v>...</v>
      </c>
      <c r="T9" s="10">
        <f t="shared" si="10"/>
        <v>0</v>
      </c>
      <c r="U9" s="12" t="str">
        <f t="shared" si="11"/>
        <v>...</v>
      </c>
      <c r="V9" s="10" t="str">
        <f t="shared" si="12"/>
        <v>...</v>
      </c>
      <c r="W9" s="2"/>
      <c r="X9" s="2"/>
      <c r="Y9" s="2"/>
      <c r="Z9" s="2"/>
      <c r="AA9" s="2"/>
      <c r="AB9" s="2"/>
      <c r="AC9" s="10" t="s">
        <v>30</v>
      </c>
      <c r="AD9" s="15"/>
      <c r="AE9" s="2"/>
    </row>
    <row r="10" ht="24.0" customHeight="1">
      <c r="A10" s="4" t="s">
        <v>20</v>
      </c>
      <c r="B10" s="4" t="s">
        <v>21</v>
      </c>
      <c r="C10" s="5">
        <v>45123.0</v>
      </c>
      <c r="D10" s="6" t="s">
        <v>22</v>
      </c>
      <c r="E10" s="7"/>
      <c r="F10" s="8">
        <f t="shared" si="1"/>
        <v>994</v>
      </c>
      <c r="G10" s="6">
        <v>0.011229977</v>
      </c>
      <c r="H10" s="9">
        <v>30277.0</v>
      </c>
      <c r="I10" s="10" t="str">
        <f t="shared" si="2"/>
        <v>-</v>
      </c>
      <c r="J10" s="11" t="str">
        <f>IF(B10=0,"...",IF(D10="CERRADA","Valor Venta",I10*(1-VLOOKUP(A10,Config!$B$3:$C$22,2,FALSE))))</f>
        <v>Valor Venta</v>
      </c>
      <c r="K10" s="10">
        <f t="shared" si="3"/>
        <v>340.0100136</v>
      </c>
      <c r="L10" s="10" t="str">
        <f t="shared" si="4"/>
        <v>#VALUE!</v>
      </c>
      <c r="M10" s="12" t="str">
        <f t="shared" si="5"/>
        <v>#VALUE!</v>
      </c>
      <c r="N10" s="13" t="str">
        <f t="shared" si="6"/>
        <v>#VALUE!</v>
      </c>
      <c r="O10" s="2"/>
      <c r="P10" s="10" t="s">
        <v>34</v>
      </c>
      <c r="Q10" s="14">
        <f t="shared" si="7"/>
        <v>0</v>
      </c>
      <c r="R10" s="12" t="str">
        <f t="shared" si="8"/>
        <v>#ERROR!</v>
      </c>
      <c r="S10" s="10" t="str">
        <f t="shared" si="9"/>
        <v>...</v>
      </c>
      <c r="T10" s="10">
        <f t="shared" si="10"/>
        <v>0</v>
      </c>
      <c r="U10" s="12" t="str">
        <f t="shared" si="11"/>
        <v>...</v>
      </c>
      <c r="V10" s="10" t="str">
        <f t="shared" si="12"/>
        <v>...</v>
      </c>
      <c r="W10" s="2"/>
      <c r="X10" s="2"/>
      <c r="Y10" s="2"/>
      <c r="Z10" s="2"/>
      <c r="AA10" s="2"/>
      <c r="AB10" s="2"/>
      <c r="AC10" s="11" t="s">
        <v>35</v>
      </c>
      <c r="AD10" s="15"/>
      <c r="AE10" s="2"/>
    </row>
    <row r="11" ht="24.0" customHeight="1">
      <c r="A11" s="4" t="s">
        <v>20</v>
      </c>
      <c r="B11" s="4" t="s">
        <v>21</v>
      </c>
      <c r="C11" s="5">
        <v>45180.0</v>
      </c>
      <c r="D11" s="6" t="s">
        <v>22</v>
      </c>
      <c r="E11" s="7"/>
      <c r="F11" s="8">
        <f t="shared" si="1"/>
        <v>937</v>
      </c>
      <c r="G11" s="6">
        <v>0.004909613</v>
      </c>
      <c r="H11" s="9">
        <v>25148.62</v>
      </c>
      <c r="I11" s="10" t="str">
        <f t="shared" si="2"/>
        <v>-</v>
      </c>
      <c r="J11" s="11" t="str">
        <f>IF(B11=0,"...",IF(D11="CERRADA","Valor Venta",I11*(1-VLOOKUP(A11,Config!$B$3:$C$22,2,FALSE))))</f>
        <v>Valor Venta</v>
      </c>
      <c r="K11" s="10">
        <f t="shared" si="3"/>
        <v>123.4699917</v>
      </c>
      <c r="L11" s="10" t="str">
        <f t="shared" si="4"/>
        <v>#VALUE!</v>
      </c>
      <c r="M11" s="12" t="str">
        <f t="shared" si="5"/>
        <v>#VALUE!</v>
      </c>
      <c r="N11" s="13" t="str">
        <f t="shared" si="6"/>
        <v>#VALUE!</v>
      </c>
      <c r="O11" s="2"/>
      <c r="P11" s="10" t="s">
        <v>36</v>
      </c>
      <c r="Q11" s="14">
        <f t="shared" si="7"/>
        <v>0</v>
      </c>
      <c r="R11" s="12" t="str">
        <f t="shared" si="8"/>
        <v>#ERROR!</v>
      </c>
      <c r="S11" s="10" t="str">
        <f t="shared" si="9"/>
        <v>...</v>
      </c>
      <c r="T11" s="10">
        <f t="shared" si="10"/>
        <v>0</v>
      </c>
      <c r="U11" s="12" t="str">
        <f t="shared" si="11"/>
        <v>...</v>
      </c>
      <c r="V11" s="10" t="str">
        <f t="shared" si="12"/>
        <v>...</v>
      </c>
      <c r="W11" s="2"/>
      <c r="X11" s="2"/>
      <c r="Y11" s="2"/>
      <c r="Z11" s="2"/>
      <c r="AA11" s="2"/>
      <c r="AB11" s="2"/>
      <c r="AC11" s="11" t="s">
        <v>33</v>
      </c>
      <c r="AD11" s="15"/>
      <c r="AE11" s="2"/>
    </row>
    <row r="12" ht="24.0" customHeight="1">
      <c r="A12" s="4" t="s">
        <v>20</v>
      </c>
      <c r="B12" s="4" t="s">
        <v>25</v>
      </c>
      <c r="C12" s="5">
        <v>45204.0</v>
      </c>
      <c r="D12" s="6" t="s">
        <v>22</v>
      </c>
      <c r="E12" s="17">
        <v>45265.0</v>
      </c>
      <c r="F12" s="8">
        <f t="shared" si="1"/>
        <v>61</v>
      </c>
      <c r="G12" s="6">
        <v>4.97883993</v>
      </c>
      <c r="H12" s="9">
        <v>4.02</v>
      </c>
      <c r="I12" s="10" t="str">
        <f t="shared" si="2"/>
        <v>-</v>
      </c>
      <c r="J12" s="11">
        <v>5.77</v>
      </c>
      <c r="K12" s="10">
        <f t="shared" si="3"/>
        <v>20.01493652</v>
      </c>
      <c r="L12" s="10">
        <f t="shared" si="4"/>
        <v>28.7279064</v>
      </c>
      <c r="M12" s="12">
        <f t="shared" si="5"/>
        <v>0.4353233831</v>
      </c>
      <c r="N12" s="16">
        <f t="shared" si="6"/>
        <v>8.712969878</v>
      </c>
      <c r="O12" s="2"/>
      <c r="P12" s="10" t="s">
        <v>37</v>
      </c>
      <c r="Q12" s="14">
        <f t="shared" si="7"/>
        <v>0</v>
      </c>
      <c r="R12" s="12" t="str">
        <f t="shared" si="8"/>
        <v>#ERROR!</v>
      </c>
      <c r="S12" s="10" t="str">
        <f t="shared" si="9"/>
        <v>...</v>
      </c>
      <c r="T12" s="10">
        <f t="shared" si="10"/>
        <v>0</v>
      </c>
      <c r="U12" s="12" t="str">
        <f t="shared" si="11"/>
        <v>...</v>
      </c>
      <c r="V12" s="10" t="str">
        <f t="shared" si="12"/>
        <v>...</v>
      </c>
      <c r="W12" s="2"/>
      <c r="X12" s="2"/>
      <c r="Y12" s="2"/>
      <c r="Z12" s="2"/>
      <c r="AA12" s="2"/>
      <c r="AB12" s="2"/>
      <c r="AC12" s="10" t="s">
        <v>33</v>
      </c>
      <c r="AD12" s="15"/>
      <c r="AE12" s="2"/>
    </row>
    <row r="13" ht="24.0" customHeight="1">
      <c r="A13" s="4" t="s">
        <v>20</v>
      </c>
      <c r="B13" s="4" t="s">
        <v>21</v>
      </c>
      <c r="C13" s="5">
        <v>45204.0</v>
      </c>
      <c r="D13" s="6" t="s">
        <v>22</v>
      </c>
      <c r="E13" s="7"/>
      <c r="F13" s="8">
        <f t="shared" si="1"/>
        <v>913</v>
      </c>
      <c r="G13" s="6">
        <v>0.002669717</v>
      </c>
      <c r="H13" s="9">
        <v>27482.31</v>
      </c>
      <c r="I13" s="10" t="str">
        <f t="shared" si="2"/>
        <v>-</v>
      </c>
      <c r="J13" s="11" t="str">
        <f>IF(B13=0,"...",IF(D13="CERRADA","Valor Venta",I13*(1-VLOOKUP(A13,Config!$B$3:$C$22,2,FALSE))))</f>
        <v>Valor Venta</v>
      </c>
      <c r="K13" s="10">
        <f t="shared" si="3"/>
        <v>73.36999021</v>
      </c>
      <c r="L13" s="10" t="str">
        <f t="shared" si="4"/>
        <v>#VALUE!</v>
      </c>
      <c r="M13" s="12" t="str">
        <f t="shared" si="5"/>
        <v>#VALUE!</v>
      </c>
      <c r="N13" s="13" t="str">
        <f t="shared" si="6"/>
        <v>#VALUE!</v>
      </c>
      <c r="O13" s="2"/>
      <c r="P13" s="10" t="s">
        <v>38</v>
      </c>
      <c r="Q13" s="14">
        <f t="shared" si="7"/>
        <v>0</v>
      </c>
      <c r="R13" s="12" t="str">
        <f t="shared" si="8"/>
        <v>#ERROR!</v>
      </c>
      <c r="S13" s="10" t="str">
        <f t="shared" si="9"/>
        <v>...</v>
      </c>
      <c r="T13" s="10">
        <f t="shared" si="10"/>
        <v>0</v>
      </c>
      <c r="U13" s="12" t="str">
        <f t="shared" si="11"/>
        <v>...</v>
      </c>
      <c r="V13" s="10" t="str">
        <f t="shared" si="12"/>
        <v>...</v>
      </c>
      <c r="W13" s="2"/>
      <c r="X13" s="2"/>
      <c r="Y13" s="2"/>
      <c r="Z13" s="2"/>
      <c r="AA13" s="2"/>
      <c r="AB13" s="2"/>
      <c r="AC13" s="11" t="s">
        <v>39</v>
      </c>
      <c r="AD13" s="15"/>
      <c r="AE13" s="2"/>
    </row>
    <row r="14" ht="24.0" customHeight="1">
      <c r="A14" s="4" t="s">
        <v>20</v>
      </c>
      <c r="B14" s="4" t="s">
        <v>21</v>
      </c>
      <c r="C14" s="5">
        <v>45236.0</v>
      </c>
      <c r="D14" s="6" t="s">
        <v>22</v>
      </c>
      <c r="E14" s="7"/>
      <c r="F14" s="8">
        <f t="shared" si="1"/>
        <v>881</v>
      </c>
      <c r="G14" s="6">
        <v>0.002873563</v>
      </c>
      <c r="H14" s="9">
        <v>34800.0</v>
      </c>
      <c r="I14" s="10" t="str">
        <f t="shared" si="2"/>
        <v>-</v>
      </c>
      <c r="J14" s="11" t="str">
        <f>IF(B14=0,"...",IF(D14="CERRADA","Valor Venta",I14*(1-VLOOKUP(A14,Config!$B$3:$C$22,2,FALSE))))</f>
        <v>Valor Venta</v>
      </c>
      <c r="K14" s="10">
        <f t="shared" si="3"/>
        <v>99.9999924</v>
      </c>
      <c r="L14" s="10" t="str">
        <f t="shared" si="4"/>
        <v>#VALUE!</v>
      </c>
      <c r="M14" s="12" t="str">
        <f t="shared" si="5"/>
        <v>#VALUE!</v>
      </c>
      <c r="N14" s="13" t="str">
        <f t="shared" si="6"/>
        <v>#VALUE!</v>
      </c>
      <c r="O14" s="2"/>
      <c r="P14" s="10" t="s">
        <v>40</v>
      </c>
      <c r="Q14" s="14">
        <f t="shared" si="7"/>
        <v>0</v>
      </c>
      <c r="R14" s="12" t="str">
        <f t="shared" si="8"/>
        <v>#ERROR!</v>
      </c>
      <c r="S14" s="10" t="str">
        <f t="shared" si="9"/>
        <v>...</v>
      </c>
      <c r="T14" s="10">
        <f t="shared" si="10"/>
        <v>0</v>
      </c>
      <c r="U14" s="12" t="str">
        <f t="shared" si="11"/>
        <v>...</v>
      </c>
      <c r="V14" s="10" t="str">
        <f t="shared" si="12"/>
        <v>...</v>
      </c>
      <c r="W14" s="2"/>
      <c r="X14" s="2"/>
      <c r="Y14" s="2"/>
      <c r="Z14" s="2"/>
      <c r="AA14" s="2"/>
      <c r="AB14" s="2"/>
      <c r="AC14" s="11" t="s">
        <v>41</v>
      </c>
      <c r="AD14" s="15"/>
      <c r="AE14" s="2"/>
    </row>
    <row r="15" ht="24.0" customHeight="1">
      <c r="A15" s="4" t="s">
        <v>20</v>
      </c>
      <c r="B15" s="4" t="s">
        <v>25</v>
      </c>
      <c r="C15" s="5">
        <v>45236.0</v>
      </c>
      <c r="D15" s="6" t="s">
        <v>22</v>
      </c>
      <c r="E15" s="17">
        <v>45265.0</v>
      </c>
      <c r="F15" s="8">
        <f t="shared" si="1"/>
        <v>29</v>
      </c>
      <c r="G15" s="6">
        <v>4.338842975</v>
      </c>
      <c r="H15" s="9">
        <v>4.84</v>
      </c>
      <c r="I15" s="10" t="str">
        <f t="shared" si="2"/>
        <v>-</v>
      </c>
      <c r="J15" s="11">
        <v>5.77</v>
      </c>
      <c r="K15" s="10">
        <f t="shared" si="3"/>
        <v>21</v>
      </c>
      <c r="L15" s="10">
        <f t="shared" si="4"/>
        <v>25.03512397</v>
      </c>
      <c r="M15" s="12">
        <f t="shared" si="5"/>
        <v>0.1921487603</v>
      </c>
      <c r="N15" s="16">
        <f t="shared" si="6"/>
        <v>4.035123967</v>
      </c>
      <c r="O15" s="2"/>
      <c r="P15" s="10" t="s">
        <v>42</v>
      </c>
      <c r="Q15" s="14">
        <f t="shared" si="7"/>
        <v>0</v>
      </c>
      <c r="R15" s="12" t="str">
        <f t="shared" si="8"/>
        <v>#ERROR!</v>
      </c>
      <c r="S15" s="10" t="str">
        <f t="shared" si="9"/>
        <v>...</v>
      </c>
      <c r="T15" s="10">
        <f t="shared" si="10"/>
        <v>0</v>
      </c>
      <c r="U15" s="12" t="str">
        <f t="shared" si="11"/>
        <v>...</v>
      </c>
      <c r="V15" s="10" t="str">
        <f t="shared" si="12"/>
        <v>...</v>
      </c>
      <c r="W15" s="2"/>
      <c r="X15" s="2"/>
      <c r="Y15" s="2"/>
      <c r="Z15" s="2"/>
      <c r="AA15" s="2"/>
      <c r="AB15" s="2"/>
      <c r="AC15" s="10" t="s">
        <v>37</v>
      </c>
      <c r="AD15" s="15"/>
      <c r="AE15" s="2"/>
    </row>
    <row r="16" ht="24.0" customHeight="1">
      <c r="A16" s="4" t="s">
        <v>20</v>
      </c>
      <c r="B16" s="4" t="s">
        <v>21</v>
      </c>
      <c r="C16" s="5">
        <v>45246.0</v>
      </c>
      <c r="D16" s="6" t="s">
        <v>22</v>
      </c>
      <c r="E16" s="7"/>
      <c r="F16" s="8">
        <f t="shared" si="1"/>
        <v>871</v>
      </c>
      <c r="G16" s="6">
        <v>0.00273</v>
      </c>
      <c r="H16" s="9">
        <v>36630.04</v>
      </c>
      <c r="I16" s="10" t="str">
        <f t="shared" si="2"/>
        <v>-</v>
      </c>
      <c r="J16" s="11" t="str">
        <f>IF(B16=0,"...",IF(D16="CERRADA","Valor Venta",I16*(1-VLOOKUP(A16,Config!$B$3:$C$22,2,FALSE))))</f>
        <v>Valor Venta</v>
      </c>
      <c r="K16" s="10">
        <f t="shared" si="3"/>
        <v>100.0000092</v>
      </c>
      <c r="L16" s="10" t="str">
        <f t="shared" si="4"/>
        <v>#VALUE!</v>
      </c>
      <c r="M16" s="12" t="str">
        <f t="shared" si="5"/>
        <v>#VALUE!</v>
      </c>
      <c r="N16" s="13" t="str">
        <f t="shared" si="6"/>
        <v>#VALUE!</v>
      </c>
      <c r="O16" s="2"/>
      <c r="P16" s="10" t="s">
        <v>43</v>
      </c>
      <c r="Q16" s="14">
        <f t="shared" si="7"/>
        <v>0</v>
      </c>
      <c r="R16" s="12" t="str">
        <f t="shared" si="8"/>
        <v>#ERROR!</v>
      </c>
      <c r="S16" s="10" t="str">
        <f t="shared" si="9"/>
        <v>...</v>
      </c>
      <c r="T16" s="10">
        <f t="shared" si="10"/>
        <v>0</v>
      </c>
      <c r="U16" s="12" t="str">
        <f t="shared" si="11"/>
        <v>...</v>
      </c>
      <c r="V16" s="10" t="str">
        <f t="shared" si="12"/>
        <v>...</v>
      </c>
      <c r="W16" s="2"/>
      <c r="X16" s="2"/>
      <c r="Y16" s="2"/>
      <c r="Z16" s="2"/>
      <c r="AA16" s="2"/>
      <c r="AB16" s="2"/>
      <c r="AC16" s="11" t="s">
        <v>44</v>
      </c>
      <c r="AD16" s="15"/>
      <c r="AE16" s="2"/>
    </row>
    <row r="17" ht="24.0" customHeight="1">
      <c r="A17" s="4" t="s">
        <v>20</v>
      </c>
      <c r="B17" s="4" t="s">
        <v>27</v>
      </c>
      <c r="C17" s="5">
        <v>45254.0</v>
      </c>
      <c r="D17" s="6" t="s">
        <v>22</v>
      </c>
      <c r="E17" s="17">
        <v>45263.0</v>
      </c>
      <c r="F17" s="8">
        <f t="shared" si="1"/>
        <v>9</v>
      </c>
      <c r="G17" s="6">
        <v>0.79</v>
      </c>
      <c r="H17" s="9">
        <v>58.06</v>
      </c>
      <c r="I17" s="10" t="str">
        <f t="shared" si="2"/>
        <v>-</v>
      </c>
      <c r="J17" s="11">
        <v>64.15</v>
      </c>
      <c r="K17" s="10">
        <f t="shared" si="3"/>
        <v>45.8674</v>
      </c>
      <c r="L17" s="10">
        <f t="shared" si="4"/>
        <v>50.6785</v>
      </c>
      <c r="M17" s="12">
        <f t="shared" si="5"/>
        <v>0.1048914916</v>
      </c>
      <c r="N17" s="16">
        <f t="shared" si="6"/>
        <v>4.8111</v>
      </c>
      <c r="O17" s="2"/>
      <c r="P17" s="10" t="s">
        <v>45</v>
      </c>
      <c r="Q17" s="14">
        <f t="shared" si="7"/>
        <v>0</v>
      </c>
      <c r="R17" s="12" t="str">
        <f t="shared" si="8"/>
        <v>#ERROR!</v>
      </c>
      <c r="S17" s="10" t="str">
        <f t="shared" si="9"/>
        <v>...</v>
      </c>
      <c r="T17" s="10">
        <f t="shared" si="10"/>
        <v>0</v>
      </c>
      <c r="U17" s="12" t="str">
        <f t="shared" si="11"/>
        <v>...</v>
      </c>
      <c r="V17" s="10" t="str">
        <f t="shared" si="12"/>
        <v>...</v>
      </c>
      <c r="W17" s="2"/>
      <c r="X17" s="2"/>
      <c r="Y17" s="2"/>
      <c r="Z17" s="2"/>
      <c r="AA17" s="2"/>
      <c r="AB17" s="2"/>
      <c r="AC17" s="10" t="s">
        <v>40</v>
      </c>
      <c r="AD17" s="15"/>
      <c r="AE17" s="2"/>
    </row>
    <row r="18" ht="24.0" customHeight="1">
      <c r="A18" s="4" t="s">
        <v>20</v>
      </c>
      <c r="B18" s="4" t="s">
        <v>27</v>
      </c>
      <c r="C18" s="5">
        <v>45254.0</v>
      </c>
      <c r="D18" s="6" t="s">
        <v>22</v>
      </c>
      <c r="E18" s="17">
        <v>45263.0</v>
      </c>
      <c r="F18" s="8">
        <f t="shared" si="1"/>
        <v>9</v>
      </c>
      <c r="G18" s="6">
        <v>0.77</v>
      </c>
      <c r="H18" s="9">
        <v>58.16</v>
      </c>
      <c r="I18" s="10" t="str">
        <f t="shared" si="2"/>
        <v>-</v>
      </c>
      <c r="J18" s="11">
        <v>64.15</v>
      </c>
      <c r="K18" s="10">
        <f t="shared" si="3"/>
        <v>44.7832</v>
      </c>
      <c r="L18" s="10">
        <f t="shared" si="4"/>
        <v>49.3955</v>
      </c>
      <c r="M18" s="12">
        <f t="shared" si="5"/>
        <v>0.1029917469</v>
      </c>
      <c r="N18" s="16">
        <f t="shared" si="6"/>
        <v>4.6123</v>
      </c>
      <c r="O18" s="2"/>
      <c r="P18" s="10" t="s">
        <v>26</v>
      </c>
      <c r="Q18" s="14">
        <f t="shared" si="7"/>
        <v>0</v>
      </c>
      <c r="R18" s="12" t="str">
        <f t="shared" si="8"/>
        <v>#ERROR!</v>
      </c>
      <c r="S18" s="10" t="str">
        <f t="shared" si="9"/>
        <v>...</v>
      </c>
      <c r="T18" s="10">
        <f t="shared" si="10"/>
        <v>0</v>
      </c>
      <c r="U18" s="12" t="str">
        <f t="shared" si="11"/>
        <v>...</v>
      </c>
      <c r="V18" s="10" t="str">
        <f t="shared" si="12"/>
        <v>...</v>
      </c>
      <c r="W18" s="2"/>
      <c r="X18" s="18" t="s">
        <v>46</v>
      </c>
      <c r="Y18" s="19" t="str">
        <f>SUMIFS(L2:L150,D2:D150,"ABIERTA")</f>
        <v>#ERROR!</v>
      </c>
      <c r="Z18" s="18" t="s">
        <v>47</v>
      </c>
      <c r="AA18" s="19" t="str">
        <f>SUM(L2:L150)</f>
        <v>#VALUE!</v>
      </c>
      <c r="AB18" s="2"/>
      <c r="AC18" s="10" t="s">
        <v>42</v>
      </c>
      <c r="AD18" s="15"/>
      <c r="AE18" s="2"/>
    </row>
    <row r="19" ht="24.0" customHeight="1">
      <c r="A19" s="4" t="s">
        <v>20</v>
      </c>
      <c r="B19" s="4" t="s">
        <v>28</v>
      </c>
      <c r="C19" s="5">
        <v>45264.0</v>
      </c>
      <c r="D19" s="6" t="s">
        <v>22</v>
      </c>
      <c r="E19" s="17">
        <v>45268.0</v>
      </c>
      <c r="F19" s="8">
        <f t="shared" si="1"/>
        <v>4</v>
      </c>
      <c r="G19" s="6">
        <v>13.2</v>
      </c>
      <c r="H19" s="9">
        <v>6.75</v>
      </c>
      <c r="I19" s="10" t="str">
        <f t="shared" si="2"/>
        <v>-</v>
      </c>
      <c r="J19" s="11">
        <v>6.6</v>
      </c>
      <c r="K19" s="10">
        <f t="shared" si="3"/>
        <v>89.1</v>
      </c>
      <c r="L19" s="10">
        <f t="shared" si="4"/>
        <v>87.12</v>
      </c>
      <c r="M19" s="12">
        <f t="shared" si="5"/>
        <v>-0.02222222222</v>
      </c>
      <c r="N19" s="16">
        <f t="shared" si="6"/>
        <v>-1.98</v>
      </c>
      <c r="O19" s="2"/>
      <c r="P19" s="10" t="s">
        <v>48</v>
      </c>
      <c r="Q19" s="14">
        <f t="shared" si="7"/>
        <v>0</v>
      </c>
      <c r="R19" s="12" t="str">
        <f t="shared" si="8"/>
        <v>#ERROR!</v>
      </c>
      <c r="S19" s="10" t="str">
        <f t="shared" si="9"/>
        <v>...</v>
      </c>
      <c r="T19" s="10">
        <f t="shared" si="10"/>
        <v>0</v>
      </c>
      <c r="U19" s="12" t="str">
        <f t="shared" si="11"/>
        <v>...</v>
      </c>
      <c r="V19" s="10" t="str">
        <f t="shared" si="12"/>
        <v>...</v>
      </c>
      <c r="W19" s="2"/>
      <c r="AB19" s="2"/>
      <c r="AC19" s="20" t="s">
        <v>43</v>
      </c>
      <c r="AD19" s="20"/>
      <c r="AE19" s="2"/>
    </row>
    <row r="20" ht="24.0" customHeight="1">
      <c r="A20" s="4" t="s">
        <v>20</v>
      </c>
      <c r="B20" s="4" t="s">
        <v>30</v>
      </c>
      <c r="C20" s="5">
        <v>45268.0</v>
      </c>
      <c r="D20" s="6" t="s">
        <v>22</v>
      </c>
      <c r="E20" s="7"/>
      <c r="F20" s="8">
        <f t="shared" si="1"/>
        <v>849</v>
      </c>
      <c r="G20" s="6">
        <v>44.4</v>
      </c>
      <c r="H20" s="9">
        <v>0.9</v>
      </c>
      <c r="I20" s="10" t="str">
        <f t="shared" si="2"/>
        <v>-</v>
      </c>
      <c r="J20" s="11">
        <v>0.9</v>
      </c>
      <c r="K20" s="10">
        <f t="shared" si="3"/>
        <v>39.96</v>
      </c>
      <c r="L20" s="10">
        <f t="shared" si="4"/>
        <v>39.96</v>
      </c>
      <c r="M20" s="12">
        <f t="shared" si="5"/>
        <v>0</v>
      </c>
      <c r="N20" s="16">
        <f t="shared" si="6"/>
        <v>0</v>
      </c>
      <c r="O20" s="2"/>
      <c r="P20" s="10" t="s">
        <v>41</v>
      </c>
      <c r="Q20" s="14">
        <f t="shared" si="7"/>
        <v>0</v>
      </c>
      <c r="R20" s="12" t="str">
        <f t="shared" si="8"/>
        <v>#ERROR!</v>
      </c>
      <c r="S20" s="10" t="str">
        <f t="shared" si="9"/>
        <v>...</v>
      </c>
      <c r="T20" s="10">
        <f t="shared" si="10"/>
        <v>0</v>
      </c>
      <c r="U20" s="12" t="str">
        <f t="shared" si="11"/>
        <v>...</v>
      </c>
      <c r="V20" s="10" t="str">
        <f t="shared" si="12"/>
        <v>...</v>
      </c>
      <c r="W20" s="2"/>
      <c r="X20" s="18" t="s">
        <v>49</v>
      </c>
      <c r="Y20" s="19" t="str">
        <f>SUMIFS(N2:N150,D2:D150,"ABIERTA")</f>
        <v>#ERROR!</v>
      </c>
      <c r="Z20" s="18" t="s">
        <v>50</v>
      </c>
      <c r="AA20" s="19" t="str">
        <f>SUM(N2:N150)</f>
        <v>#VALUE!</v>
      </c>
      <c r="AB20" s="2"/>
      <c r="AC20" s="20" t="s">
        <v>45</v>
      </c>
      <c r="AD20" s="15"/>
      <c r="AE20" s="2"/>
    </row>
    <row r="21" ht="24.0" customHeight="1">
      <c r="A21" s="4" t="s">
        <v>20</v>
      </c>
      <c r="B21" s="4" t="s">
        <v>25</v>
      </c>
      <c r="C21" s="5">
        <v>45268.0</v>
      </c>
      <c r="D21" s="6" t="s">
        <v>22</v>
      </c>
      <c r="E21" s="7"/>
      <c r="F21" s="8">
        <f t="shared" si="1"/>
        <v>849</v>
      </c>
      <c r="G21" s="6">
        <v>5.97</v>
      </c>
      <c r="H21" s="9">
        <v>6.7</v>
      </c>
      <c r="I21" s="10" t="str">
        <f t="shared" si="2"/>
        <v>-</v>
      </c>
      <c r="J21" s="11">
        <v>5.77</v>
      </c>
      <c r="K21" s="10">
        <f t="shared" si="3"/>
        <v>39.999</v>
      </c>
      <c r="L21" s="10">
        <f t="shared" si="4"/>
        <v>34.4469</v>
      </c>
      <c r="M21" s="12">
        <f t="shared" si="5"/>
        <v>-0.1388059701</v>
      </c>
      <c r="N21" s="16">
        <f t="shared" si="6"/>
        <v>-5.5521</v>
      </c>
      <c r="O21" s="2"/>
      <c r="P21" s="10" t="s">
        <v>51</v>
      </c>
      <c r="Q21" s="14">
        <f t="shared" si="7"/>
        <v>0.305</v>
      </c>
      <c r="R21" s="12" t="str">
        <f t="shared" si="8"/>
        <v>#ERROR!</v>
      </c>
      <c r="S21" s="10">
        <f t="shared" si="9"/>
        <v>331.2</v>
      </c>
      <c r="T21" s="10" t="str">
        <f t="shared" si="10"/>
        <v>#ERROR!</v>
      </c>
      <c r="U21" s="12" t="str">
        <f t="shared" si="11"/>
        <v>#ERROR!</v>
      </c>
      <c r="V21" s="10" t="str">
        <f t="shared" si="12"/>
        <v>#ERROR!</v>
      </c>
      <c r="W21" s="2"/>
      <c r="AB21" s="2"/>
      <c r="AC21" s="21" t="s">
        <v>48</v>
      </c>
      <c r="AD21" s="15"/>
      <c r="AE21" s="2"/>
    </row>
    <row r="22" ht="24.0" customHeight="1">
      <c r="A22" s="4" t="s">
        <v>20</v>
      </c>
      <c r="B22" s="4" t="s">
        <v>27</v>
      </c>
      <c r="C22" s="5">
        <v>45268.0</v>
      </c>
      <c r="D22" s="6" t="s">
        <v>22</v>
      </c>
      <c r="E22" s="17">
        <v>45282.0</v>
      </c>
      <c r="F22" s="8">
        <f t="shared" si="1"/>
        <v>14</v>
      </c>
      <c r="G22" s="6">
        <v>0.54</v>
      </c>
      <c r="H22" s="9">
        <v>73.22</v>
      </c>
      <c r="I22" s="10" t="str">
        <f t="shared" si="2"/>
        <v>-</v>
      </c>
      <c r="J22" s="11">
        <v>97.0</v>
      </c>
      <c r="K22" s="10">
        <f t="shared" si="3"/>
        <v>39.5388</v>
      </c>
      <c r="L22" s="10">
        <f t="shared" si="4"/>
        <v>52.38</v>
      </c>
      <c r="M22" s="12">
        <f t="shared" si="5"/>
        <v>0.3247746517</v>
      </c>
      <c r="N22" s="16">
        <f t="shared" si="6"/>
        <v>12.8412</v>
      </c>
      <c r="O22" s="2"/>
      <c r="P22" s="10" t="s">
        <v>52</v>
      </c>
      <c r="Q22" s="14">
        <f t="shared" si="7"/>
        <v>316.1</v>
      </c>
      <c r="R22" s="12" t="str">
        <f t="shared" si="8"/>
        <v>#ERROR!</v>
      </c>
      <c r="S22" s="10">
        <f t="shared" si="9"/>
        <v>0.3163</v>
      </c>
      <c r="T22" s="10">
        <f t="shared" si="10"/>
        <v>99.69996418</v>
      </c>
      <c r="U22" s="12">
        <f t="shared" si="11"/>
        <v>-0.002825154537</v>
      </c>
      <c r="V22" s="10">
        <f t="shared" si="12"/>
        <v>-0.2824658157</v>
      </c>
      <c r="W22" s="2"/>
      <c r="X22" s="18" t="s">
        <v>53</v>
      </c>
      <c r="Y22" s="22" t="str">
        <f>Y20/(Y18-Y20)</f>
        <v>#ERROR!</v>
      </c>
      <c r="Z22" s="18" t="s">
        <v>53</v>
      </c>
      <c r="AA22" s="22" t="str">
        <f>AA20/(AA18-AA20)</f>
        <v>#VALUE!</v>
      </c>
      <c r="AB22" s="2"/>
      <c r="AC22" s="21" t="s">
        <v>41</v>
      </c>
      <c r="AD22" s="15"/>
      <c r="AE22" s="2"/>
    </row>
    <row r="23" ht="24.0" customHeight="1">
      <c r="A23" s="4" t="s">
        <v>20</v>
      </c>
      <c r="B23" s="4" t="s">
        <v>31</v>
      </c>
      <c r="C23" s="5">
        <v>45269.0</v>
      </c>
      <c r="D23" s="6" t="s">
        <v>22</v>
      </c>
      <c r="E23" s="7"/>
      <c r="F23" s="8">
        <f t="shared" si="1"/>
        <v>848</v>
      </c>
      <c r="G23" s="6">
        <v>32.9</v>
      </c>
      <c r="H23" s="9">
        <v>0.61</v>
      </c>
      <c r="I23" s="10" t="str">
        <f t="shared" si="2"/>
        <v>-</v>
      </c>
      <c r="J23" s="11">
        <v>0.7614</v>
      </c>
      <c r="K23" s="10">
        <f t="shared" si="3"/>
        <v>20.069</v>
      </c>
      <c r="L23" s="10">
        <f t="shared" si="4"/>
        <v>25.05006</v>
      </c>
      <c r="M23" s="12">
        <f t="shared" si="5"/>
        <v>0.2481967213</v>
      </c>
      <c r="N23" s="16">
        <f t="shared" si="6"/>
        <v>4.98106</v>
      </c>
      <c r="O23" s="2"/>
      <c r="P23" s="10" t="s">
        <v>35</v>
      </c>
      <c r="Q23" s="14">
        <f t="shared" si="7"/>
        <v>8.52</v>
      </c>
      <c r="R23" s="12" t="str">
        <f t="shared" si="8"/>
        <v>#ERROR!</v>
      </c>
      <c r="S23" s="10">
        <f t="shared" si="9"/>
        <v>10.547</v>
      </c>
      <c r="T23" s="10">
        <f t="shared" si="10"/>
        <v>0</v>
      </c>
      <c r="U23" s="12">
        <f t="shared" si="11"/>
        <v>-1</v>
      </c>
      <c r="V23" s="10">
        <f t="shared" si="12"/>
        <v>-89.86044</v>
      </c>
      <c r="W23" s="2"/>
      <c r="AB23" s="2"/>
      <c r="AC23" s="21" t="s">
        <v>51</v>
      </c>
      <c r="AD23" s="15" t="str">
        <f>IFERROR(__xludf.DUMMYFUNCTION("IFERROR(GOOGLEFINANCE(""CURRENCY:""&amp;AC23&amp;""USDT""),GECKOPRICE(AC23,""USD""))"),"#ERROR!")</f>
        <v>#ERROR!</v>
      </c>
      <c r="AE23" s="2"/>
    </row>
    <row r="24" ht="24.0" customHeight="1">
      <c r="A24" s="4" t="s">
        <v>20</v>
      </c>
      <c r="B24" s="4" t="s">
        <v>31</v>
      </c>
      <c r="C24" s="5">
        <v>45271.0</v>
      </c>
      <c r="D24" s="6" t="s">
        <v>22</v>
      </c>
      <c r="E24" s="7"/>
      <c r="F24" s="8">
        <f t="shared" si="1"/>
        <v>846</v>
      </c>
      <c r="G24" s="6">
        <v>35.5</v>
      </c>
      <c r="H24" s="9">
        <v>0.56</v>
      </c>
      <c r="I24" s="10" t="str">
        <f t="shared" si="2"/>
        <v>-</v>
      </c>
      <c r="J24" s="11">
        <v>0.7614</v>
      </c>
      <c r="K24" s="10">
        <f t="shared" si="3"/>
        <v>19.88</v>
      </c>
      <c r="L24" s="10">
        <f t="shared" si="4"/>
        <v>27.0297</v>
      </c>
      <c r="M24" s="12">
        <f t="shared" si="5"/>
        <v>0.3596428571</v>
      </c>
      <c r="N24" s="16">
        <f t="shared" si="6"/>
        <v>7.1497</v>
      </c>
      <c r="O24" s="2"/>
      <c r="P24" s="10" t="s">
        <v>54</v>
      </c>
      <c r="Q24" s="14">
        <f t="shared" si="7"/>
        <v>0</v>
      </c>
      <c r="R24" s="12" t="str">
        <f t="shared" si="8"/>
        <v>#ERROR!</v>
      </c>
      <c r="S24" s="10" t="str">
        <f t="shared" si="9"/>
        <v>...</v>
      </c>
      <c r="T24" s="10">
        <f t="shared" si="10"/>
        <v>0</v>
      </c>
      <c r="U24" s="12" t="str">
        <f t="shared" si="11"/>
        <v>...</v>
      </c>
      <c r="V24" s="10" t="str">
        <f t="shared" si="12"/>
        <v>...</v>
      </c>
      <c r="W24" s="2"/>
      <c r="X24" s="2"/>
      <c r="Y24" s="2"/>
      <c r="Z24" s="2"/>
      <c r="AA24" s="2"/>
      <c r="AB24" s="2"/>
      <c r="AC24" s="21" t="s">
        <v>52</v>
      </c>
      <c r="AD24" s="15">
        <f>IFERROR(__xludf.DUMMYFUNCTION("IFERROR(GOOGLEFINANCE(""CURRENCY:""&amp;AC24&amp;""USDT""),GECKOPRICE(AC24,""USD""))"),0.317713)</f>
        <v>0.317713</v>
      </c>
      <c r="AE24" s="2"/>
    </row>
    <row r="25" ht="24.0" customHeight="1">
      <c r="A25" s="4" t="s">
        <v>20</v>
      </c>
      <c r="B25" s="4" t="s">
        <v>27</v>
      </c>
      <c r="C25" s="5">
        <v>45271.0</v>
      </c>
      <c r="D25" s="6" t="s">
        <v>22</v>
      </c>
      <c r="E25" s="17">
        <v>45282.0</v>
      </c>
      <c r="F25" s="8">
        <f t="shared" si="1"/>
        <v>11</v>
      </c>
      <c r="G25" s="6">
        <v>0.27</v>
      </c>
      <c r="H25" s="9">
        <v>74.07</v>
      </c>
      <c r="I25" s="10" t="str">
        <f t="shared" si="2"/>
        <v>-</v>
      </c>
      <c r="J25" s="11">
        <v>97.0</v>
      </c>
      <c r="K25" s="10">
        <f t="shared" si="3"/>
        <v>19.9989</v>
      </c>
      <c r="L25" s="10">
        <f t="shared" si="4"/>
        <v>26.19</v>
      </c>
      <c r="M25" s="12">
        <f t="shared" si="5"/>
        <v>0.3095720265</v>
      </c>
      <c r="N25" s="16">
        <f t="shared" si="6"/>
        <v>6.1911</v>
      </c>
      <c r="O25" s="2"/>
      <c r="P25" s="10" t="s">
        <v>55</v>
      </c>
      <c r="Q25" s="14">
        <f t="shared" si="7"/>
        <v>0</v>
      </c>
      <c r="R25" s="12" t="str">
        <f t="shared" si="8"/>
        <v>#ERROR!</v>
      </c>
      <c r="S25" s="10" t="str">
        <f t="shared" si="9"/>
        <v>...</v>
      </c>
      <c r="T25" s="10">
        <f t="shared" si="10"/>
        <v>0</v>
      </c>
      <c r="U25" s="12" t="str">
        <f t="shared" si="11"/>
        <v>...</v>
      </c>
      <c r="V25" s="10" t="str">
        <f t="shared" si="12"/>
        <v>...</v>
      </c>
      <c r="W25" s="2"/>
      <c r="X25" s="2"/>
      <c r="Y25" s="2"/>
      <c r="Z25" s="2"/>
      <c r="AA25" s="2"/>
      <c r="AB25" s="2"/>
      <c r="AC25" s="21" t="s">
        <v>35</v>
      </c>
      <c r="AD25" s="15" t="str">
        <f>IFERROR(__xludf.DUMMYFUNCTION("IFERROR(GOOGLEFINANCE(""CURRENCY:""&amp;AC25&amp;""USDT""),GECKOPRICE(AC25,""USD""))"),"#ERROR!")</f>
        <v>#ERROR!</v>
      </c>
      <c r="AE25" s="2"/>
    </row>
    <row r="26" ht="24.0" customHeight="1">
      <c r="A26" s="4" t="s">
        <v>20</v>
      </c>
      <c r="B26" s="4" t="s">
        <v>30</v>
      </c>
      <c r="C26" s="5">
        <v>45271.0</v>
      </c>
      <c r="D26" s="6" t="s">
        <v>22</v>
      </c>
      <c r="E26" s="7"/>
      <c r="F26" s="8">
        <f t="shared" si="1"/>
        <v>846</v>
      </c>
      <c r="G26" s="6">
        <v>22.8</v>
      </c>
      <c r="H26" s="9">
        <v>0.88</v>
      </c>
      <c r="I26" s="10" t="str">
        <f t="shared" si="2"/>
        <v>-</v>
      </c>
      <c r="J26" s="11">
        <v>0.9</v>
      </c>
      <c r="K26" s="10">
        <f t="shared" si="3"/>
        <v>20.064</v>
      </c>
      <c r="L26" s="10">
        <f t="shared" si="4"/>
        <v>20.52</v>
      </c>
      <c r="M26" s="12">
        <f t="shared" si="5"/>
        <v>0.02272727273</v>
      </c>
      <c r="N26" s="16">
        <f t="shared" si="6"/>
        <v>0.456</v>
      </c>
      <c r="O26" s="2"/>
      <c r="P26" s="10" t="s">
        <v>29</v>
      </c>
      <c r="Q26" s="14">
        <f t="shared" si="7"/>
        <v>0</v>
      </c>
      <c r="R26" s="12" t="str">
        <f t="shared" si="8"/>
        <v>#ERROR!</v>
      </c>
      <c r="S26" s="10" t="str">
        <f t="shared" si="9"/>
        <v>...</v>
      </c>
      <c r="T26" s="10">
        <f t="shared" si="10"/>
        <v>0</v>
      </c>
      <c r="U26" s="12" t="str">
        <f t="shared" si="11"/>
        <v>...</v>
      </c>
      <c r="V26" s="10" t="str">
        <f t="shared" si="12"/>
        <v>...</v>
      </c>
      <c r="W26" s="2"/>
      <c r="X26" s="23" t="s">
        <v>56</v>
      </c>
      <c r="Y26" s="24" t="s">
        <v>57</v>
      </c>
      <c r="Z26" s="25" t="s">
        <v>58</v>
      </c>
      <c r="AA26" s="2"/>
      <c r="AB26" s="2"/>
      <c r="AC26" s="21" t="s">
        <v>54</v>
      </c>
      <c r="AD26" s="15"/>
      <c r="AE26" s="2"/>
    </row>
    <row r="27" ht="24.0" customHeight="1">
      <c r="A27" s="4" t="s">
        <v>20</v>
      </c>
      <c r="B27" s="4" t="s">
        <v>21</v>
      </c>
      <c r="C27" s="5">
        <v>45271.0</v>
      </c>
      <c r="D27" s="6" t="s">
        <v>22</v>
      </c>
      <c r="E27" s="7"/>
      <c r="F27" s="8">
        <f t="shared" si="1"/>
        <v>846</v>
      </c>
      <c r="G27" s="6">
        <v>0.0015</v>
      </c>
      <c r="H27" s="9">
        <v>42346.67</v>
      </c>
      <c r="I27" s="10" t="str">
        <f t="shared" si="2"/>
        <v>-</v>
      </c>
      <c r="J27" s="11" t="str">
        <f>IF(B27=0,"...",IF(D27="CERRADA","Valor Venta",I27*(1-VLOOKUP(A27,Config!$B$3:$C$22,2,FALSE))))</f>
        <v>Valor Venta</v>
      </c>
      <c r="K27" s="10">
        <f t="shared" si="3"/>
        <v>63.520005</v>
      </c>
      <c r="L27" s="10" t="str">
        <f t="shared" si="4"/>
        <v>#VALUE!</v>
      </c>
      <c r="M27" s="12" t="str">
        <f t="shared" si="5"/>
        <v>#VALUE!</v>
      </c>
      <c r="N27" s="13" t="str">
        <f t="shared" si="6"/>
        <v>#VALUE!</v>
      </c>
      <c r="O27" s="2"/>
      <c r="P27" s="10" t="s">
        <v>23</v>
      </c>
      <c r="Q27" s="14">
        <f t="shared" si="7"/>
        <v>0.08891975</v>
      </c>
      <c r="R27" s="12" t="str">
        <f t="shared" si="8"/>
        <v>#ERROR!</v>
      </c>
      <c r="S27" s="10">
        <f t="shared" si="9"/>
        <v>562.3</v>
      </c>
      <c r="T27" s="10">
        <f t="shared" si="10"/>
        <v>52.37659127</v>
      </c>
      <c r="U27" s="12">
        <f t="shared" si="11"/>
        <v>0.0475407206</v>
      </c>
      <c r="V27" s="10">
        <f t="shared" si="12"/>
        <v>2.377015846</v>
      </c>
      <c r="W27" s="2"/>
      <c r="X27" s="26"/>
      <c r="Y27" s="24" t="s">
        <v>59</v>
      </c>
      <c r="Z27" s="25">
        <v>14.0</v>
      </c>
      <c r="AA27" s="2"/>
      <c r="AB27" s="2"/>
      <c r="AC27" s="20" t="s">
        <v>60</v>
      </c>
      <c r="AD27" s="15">
        <f>IFERROR(__xludf.DUMMYFUNCTION("IFERROR(GOOGLEFINANCE(""CURRENCY:""&amp;AC27&amp;""USDT""),GECKOPRICE(AC27,""USD""))"),0.850209)</f>
        <v>0.850209</v>
      </c>
      <c r="AE27" s="2"/>
    </row>
    <row r="28" ht="24.0" customHeight="1">
      <c r="A28" s="4" t="s">
        <v>20</v>
      </c>
      <c r="B28" s="4" t="s">
        <v>21</v>
      </c>
      <c r="C28" s="5">
        <v>45267.0</v>
      </c>
      <c r="D28" s="6" t="s">
        <v>22</v>
      </c>
      <c r="E28" s="7"/>
      <c r="F28" s="8">
        <f t="shared" si="1"/>
        <v>850</v>
      </c>
      <c r="G28" s="6">
        <v>0.00138</v>
      </c>
      <c r="H28" s="9">
        <v>43289.86</v>
      </c>
      <c r="I28" s="10" t="str">
        <f t="shared" si="2"/>
        <v>-</v>
      </c>
      <c r="J28" s="11" t="str">
        <f>IF(B28=0,"...",IF(D28="CERRADA","Valor Venta",I28*(1-VLOOKUP(A28,Config!$B$3:$C$22,2,FALSE))))</f>
        <v>Valor Venta</v>
      </c>
      <c r="K28" s="10">
        <f t="shared" si="3"/>
        <v>59.7400068</v>
      </c>
      <c r="L28" s="10" t="str">
        <f t="shared" si="4"/>
        <v>#VALUE!</v>
      </c>
      <c r="M28" s="12" t="str">
        <f t="shared" si="5"/>
        <v>#VALUE!</v>
      </c>
      <c r="N28" s="13" t="str">
        <f t="shared" si="6"/>
        <v>#VALUE!</v>
      </c>
      <c r="O28" s="2"/>
      <c r="P28" s="10" t="s">
        <v>61</v>
      </c>
      <c r="Q28" s="14">
        <f t="shared" si="7"/>
        <v>8.6</v>
      </c>
      <c r="R28" s="12" t="str">
        <f t="shared" si="8"/>
        <v>#ERROR!</v>
      </c>
      <c r="S28" s="10">
        <f t="shared" si="9"/>
        <v>5.769</v>
      </c>
      <c r="T28" s="10">
        <f t="shared" si="10"/>
        <v>5.10484003</v>
      </c>
      <c r="U28" s="12">
        <f t="shared" si="11"/>
        <v>-0.8971076356</v>
      </c>
      <c r="V28" s="10">
        <f t="shared" si="12"/>
        <v>-44.50855997</v>
      </c>
      <c r="W28" s="2"/>
      <c r="X28" s="2"/>
      <c r="Y28" s="2"/>
      <c r="Z28" s="2"/>
      <c r="AA28" s="2"/>
      <c r="AB28" s="2"/>
      <c r="AC28" s="20" t="s">
        <v>61</v>
      </c>
      <c r="AD28" s="15">
        <f>IFERROR(__xludf.DUMMYFUNCTION("IFERROR(GOOGLEFINANCE(""CURRENCY:""&amp;AC28&amp;""USDT""),GECKOPRICE(AC28,""USD""))"),0.597927)</f>
        <v>0.597927</v>
      </c>
      <c r="AE28" s="2"/>
    </row>
    <row r="29" ht="24.0" customHeight="1">
      <c r="A29" s="4" t="s">
        <v>20</v>
      </c>
      <c r="B29" s="4" t="s">
        <v>21</v>
      </c>
      <c r="C29" s="5">
        <v>45267.0</v>
      </c>
      <c r="D29" s="6" t="s">
        <v>22</v>
      </c>
      <c r="E29" s="7"/>
      <c r="F29" s="8">
        <f t="shared" si="1"/>
        <v>850</v>
      </c>
      <c r="G29" s="6">
        <v>0.00138</v>
      </c>
      <c r="H29" s="9">
        <v>43350.0</v>
      </c>
      <c r="I29" s="10" t="str">
        <f t="shared" si="2"/>
        <v>-</v>
      </c>
      <c r="J29" s="11" t="str">
        <f>IF(B29=0,"...",IF(D29="CERRADA","Valor Venta",I29*(1-VLOOKUP(A29,Config!$B$3:$C$22,2,FALSE))))</f>
        <v>Valor Venta</v>
      </c>
      <c r="K29" s="10">
        <f t="shared" si="3"/>
        <v>59.823</v>
      </c>
      <c r="L29" s="10" t="str">
        <f t="shared" si="4"/>
        <v>#VALUE!</v>
      </c>
      <c r="M29" s="12" t="str">
        <f t="shared" si="5"/>
        <v>#VALUE!</v>
      </c>
      <c r="N29" s="13" t="str">
        <f t="shared" si="6"/>
        <v>#VALUE!</v>
      </c>
      <c r="O29" s="2"/>
      <c r="P29" s="10" t="s">
        <v>44</v>
      </c>
      <c r="Q29" s="14">
        <f t="shared" si="7"/>
        <v>0</v>
      </c>
      <c r="R29" s="12" t="str">
        <f t="shared" si="8"/>
        <v>#ERROR!</v>
      </c>
      <c r="S29" s="10" t="str">
        <f t="shared" si="9"/>
        <v>...</v>
      </c>
      <c r="T29" s="10">
        <f t="shared" si="10"/>
        <v>0</v>
      </c>
      <c r="U29" s="12" t="str">
        <f t="shared" si="11"/>
        <v>...</v>
      </c>
      <c r="V29" s="10" t="str">
        <f t="shared" si="12"/>
        <v>...</v>
      </c>
      <c r="W29" s="2"/>
      <c r="X29" s="2"/>
      <c r="Y29" s="2"/>
      <c r="Z29" s="2"/>
      <c r="AA29" s="2"/>
      <c r="AB29" s="2"/>
      <c r="AC29" s="20" t="s">
        <v>62</v>
      </c>
      <c r="AD29" s="15">
        <f>IFERROR(__xludf.DUMMYFUNCTION("IFERROR(GOOGLEFINANCE(""CURRENCY:""&amp;AC29&amp;""USDT""),GECKOPRICE(AC29,""USD""))"),1.3)</f>
        <v>1.3</v>
      </c>
      <c r="AE29" s="2"/>
    </row>
    <row r="30" ht="24.0" customHeight="1">
      <c r="A30" s="4" t="s">
        <v>20</v>
      </c>
      <c r="B30" s="4" t="s">
        <v>27</v>
      </c>
      <c r="C30" s="5">
        <v>45236.0</v>
      </c>
      <c r="D30" s="6" t="s">
        <v>22</v>
      </c>
      <c r="E30" s="17">
        <v>45246.0</v>
      </c>
      <c r="F30" s="8">
        <f t="shared" si="1"/>
        <v>10</v>
      </c>
      <c r="G30" s="6">
        <v>0.49</v>
      </c>
      <c r="H30" s="9">
        <v>40.08</v>
      </c>
      <c r="I30" s="10" t="str">
        <f t="shared" si="2"/>
        <v>-</v>
      </c>
      <c r="J30" s="11">
        <v>58.25</v>
      </c>
      <c r="K30" s="10">
        <f t="shared" si="3"/>
        <v>19.6392</v>
      </c>
      <c r="L30" s="10">
        <f t="shared" si="4"/>
        <v>28.5425</v>
      </c>
      <c r="M30" s="12">
        <f t="shared" si="5"/>
        <v>0.4533433134</v>
      </c>
      <c r="N30" s="16">
        <f t="shared" si="6"/>
        <v>8.9033</v>
      </c>
      <c r="O30" s="2"/>
      <c r="P30" s="10" t="s">
        <v>39</v>
      </c>
      <c r="Q30" s="14">
        <f t="shared" si="7"/>
        <v>0</v>
      </c>
      <c r="R30" s="12" t="str">
        <f t="shared" si="8"/>
        <v>#ERROR!</v>
      </c>
      <c r="S30" s="10" t="str">
        <f t="shared" si="9"/>
        <v>...</v>
      </c>
      <c r="T30" s="10">
        <f t="shared" si="10"/>
        <v>0</v>
      </c>
      <c r="U30" s="12" t="str">
        <f t="shared" si="11"/>
        <v>...</v>
      </c>
      <c r="V30" s="10" t="str">
        <f t="shared" si="12"/>
        <v>...</v>
      </c>
      <c r="W30" s="2"/>
      <c r="X30" s="2"/>
      <c r="Y30" s="2"/>
      <c r="Z30" s="2"/>
      <c r="AA30" s="2"/>
      <c r="AB30" s="2"/>
      <c r="AC30" s="15"/>
      <c r="AD30" s="15"/>
      <c r="AE30" s="2"/>
    </row>
    <row r="31" ht="24.0" customHeight="1">
      <c r="A31" s="4" t="s">
        <v>20</v>
      </c>
      <c r="B31" s="4" t="s">
        <v>27</v>
      </c>
      <c r="C31" s="5">
        <v>45204.0</v>
      </c>
      <c r="D31" s="6" t="s">
        <v>22</v>
      </c>
      <c r="E31" s="17">
        <v>45246.0</v>
      </c>
      <c r="F31" s="8">
        <f t="shared" si="1"/>
        <v>42</v>
      </c>
      <c r="G31" s="6">
        <v>0.88</v>
      </c>
      <c r="H31" s="9">
        <v>22.73</v>
      </c>
      <c r="I31" s="10" t="str">
        <f t="shared" si="2"/>
        <v>-</v>
      </c>
      <c r="J31" s="11">
        <v>58.25</v>
      </c>
      <c r="K31" s="10">
        <f t="shared" si="3"/>
        <v>20.0024</v>
      </c>
      <c r="L31" s="10">
        <f t="shared" si="4"/>
        <v>51.26</v>
      </c>
      <c r="M31" s="12">
        <f t="shared" si="5"/>
        <v>1.562692477</v>
      </c>
      <c r="N31" s="16">
        <f t="shared" si="6"/>
        <v>31.2576</v>
      </c>
      <c r="O31" s="2"/>
      <c r="P31" s="10" t="s">
        <v>63</v>
      </c>
      <c r="Q31" s="14">
        <f t="shared" si="7"/>
        <v>0</v>
      </c>
      <c r="R31" s="12" t="str">
        <f t="shared" si="8"/>
        <v>#ERROR!</v>
      </c>
      <c r="S31" s="10" t="str">
        <f t="shared" si="9"/>
        <v>...</v>
      </c>
      <c r="T31" s="10">
        <f t="shared" si="10"/>
        <v>0</v>
      </c>
      <c r="U31" s="12" t="str">
        <f t="shared" si="11"/>
        <v>...</v>
      </c>
      <c r="V31" s="10" t="str">
        <f t="shared" si="12"/>
        <v>...</v>
      </c>
      <c r="W31" s="2"/>
      <c r="X31" s="2"/>
      <c r="Y31" s="2"/>
      <c r="Z31" s="2"/>
      <c r="AA31" s="2"/>
      <c r="AB31" s="2"/>
      <c r="AC31" s="15"/>
      <c r="AD31" s="15"/>
      <c r="AE31" s="2"/>
    </row>
    <row r="32" ht="24.0" customHeight="1">
      <c r="A32" s="4" t="s">
        <v>20</v>
      </c>
      <c r="B32" s="4" t="s">
        <v>21</v>
      </c>
      <c r="C32" s="5">
        <v>45246.0</v>
      </c>
      <c r="D32" s="6" t="s">
        <v>22</v>
      </c>
      <c r="E32" s="17">
        <v>45253.0</v>
      </c>
      <c r="F32" s="8">
        <f t="shared" si="1"/>
        <v>7</v>
      </c>
      <c r="G32" s="6">
        <v>0.00195</v>
      </c>
      <c r="H32" s="9">
        <v>35815.38</v>
      </c>
      <c r="I32" s="10" t="str">
        <f t="shared" si="2"/>
        <v>-</v>
      </c>
      <c r="J32" s="11">
        <v>37400.0</v>
      </c>
      <c r="K32" s="10">
        <f t="shared" si="3"/>
        <v>69.839991</v>
      </c>
      <c r="L32" s="10">
        <f t="shared" si="4"/>
        <v>72.93</v>
      </c>
      <c r="M32" s="12">
        <f t="shared" si="5"/>
        <v>0.04424412082</v>
      </c>
      <c r="N32" s="16">
        <f t="shared" si="6"/>
        <v>3.090009</v>
      </c>
      <c r="O32" s="2"/>
      <c r="P32" s="10" t="s">
        <v>64</v>
      </c>
      <c r="Q32" s="14">
        <f t="shared" si="7"/>
        <v>0</v>
      </c>
      <c r="R32" s="12" t="str">
        <f t="shared" si="8"/>
        <v>#ERROR!</v>
      </c>
      <c r="S32" s="10" t="str">
        <f t="shared" si="9"/>
        <v>...</v>
      </c>
      <c r="T32" s="10">
        <f t="shared" si="10"/>
        <v>0</v>
      </c>
      <c r="U32" s="12" t="str">
        <f t="shared" si="11"/>
        <v>...</v>
      </c>
      <c r="V32" s="10" t="str">
        <f t="shared" si="12"/>
        <v>...</v>
      </c>
      <c r="W32" s="2"/>
      <c r="X32" s="2"/>
      <c r="Y32" s="2"/>
      <c r="Z32" s="2"/>
      <c r="AA32" s="2"/>
      <c r="AB32" s="2"/>
      <c r="AC32" s="15"/>
      <c r="AD32" s="15"/>
      <c r="AE32" s="2"/>
    </row>
    <row r="33" ht="24.0" customHeight="1">
      <c r="A33" s="4" t="s">
        <v>20</v>
      </c>
      <c r="B33" s="4" t="s">
        <v>21</v>
      </c>
      <c r="C33" s="5">
        <v>45251.0</v>
      </c>
      <c r="D33" s="6" t="s">
        <v>22</v>
      </c>
      <c r="E33" s="17">
        <v>45253.0</v>
      </c>
      <c r="F33" s="8">
        <f t="shared" si="1"/>
        <v>2</v>
      </c>
      <c r="G33" s="6">
        <v>4.7E-4</v>
      </c>
      <c r="H33" s="9">
        <v>36063.83</v>
      </c>
      <c r="I33" s="10" t="str">
        <f t="shared" si="2"/>
        <v>-</v>
      </c>
      <c r="J33" s="11">
        <v>37400.0</v>
      </c>
      <c r="K33" s="10">
        <f t="shared" si="3"/>
        <v>16.9500001</v>
      </c>
      <c r="L33" s="10">
        <f t="shared" si="4"/>
        <v>17.578</v>
      </c>
      <c r="M33" s="12">
        <f t="shared" si="5"/>
        <v>0.03705014137</v>
      </c>
      <c r="N33" s="16">
        <f t="shared" si="6"/>
        <v>0.6279999</v>
      </c>
      <c r="O33" s="2"/>
      <c r="P33" s="10" t="s">
        <v>62</v>
      </c>
      <c r="Q33" s="14">
        <f t="shared" si="7"/>
        <v>32</v>
      </c>
      <c r="R33" s="12" t="str">
        <f t="shared" si="8"/>
        <v>#ERROR!</v>
      </c>
      <c r="S33" s="10">
        <f t="shared" si="9"/>
        <v>3.2356</v>
      </c>
      <c r="T33" s="10">
        <f t="shared" si="10"/>
        <v>41.297984</v>
      </c>
      <c r="U33" s="12">
        <f t="shared" si="11"/>
        <v>-0.6011367289</v>
      </c>
      <c r="V33" s="10">
        <f t="shared" si="12"/>
        <v>-62.241216</v>
      </c>
      <c r="W33" s="2"/>
      <c r="X33" s="2"/>
      <c r="Y33" s="2"/>
      <c r="Z33" s="2"/>
      <c r="AA33" s="2"/>
      <c r="AB33" s="2"/>
      <c r="AC33" s="15"/>
      <c r="AD33" s="15"/>
      <c r="AE33" s="2"/>
    </row>
    <row r="34" ht="24.0" customHeight="1">
      <c r="A34" s="4" t="s">
        <v>20</v>
      </c>
      <c r="B34" s="4" t="s">
        <v>30</v>
      </c>
      <c r="C34" s="5">
        <v>45271.0</v>
      </c>
      <c r="D34" s="6" t="s">
        <v>22</v>
      </c>
      <c r="E34" s="7"/>
      <c r="F34" s="8">
        <f t="shared" si="1"/>
        <v>846</v>
      </c>
      <c r="G34" s="6">
        <v>23.2</v>
      </c>
      <c r="H34" s="9">
        <v>0.86</v>
      </c>
      <c r="I34" s="10" t="str">
        <f t="shared" si="2"/>
        <v>-</v>
      </c>
      <c r="J34" s="11">
        <v>0.9</v>
      </c>
      <c r="K34" s="10">
        <f t="shared" si="3"/>
        <v>19.952</v>
      </c>
      <c r="L34" s="10">
        <f t="shared" si="4"/>
        <v>20.88</v>
      </c>
      <c r="M34" s="12">
        <f t="shared" si="5"/>
        <v>0.04651162791</v>
      </c>
      <c r="N34" s="16">
        <f t="shared" si="6"/>
        <v>0.928</v>
      </c>
      <c r="O34" s="2"/>
      <c r="P34" s="10" t="s">
        <v>60</v>
      </c>
      <c r="Q34" s="14">
        <f t="shared" si="7"/>
        <v>27.6</v>
      </c>
      <c r="R34" s="12" t="str">
        <f t="shared" si="8"/>
        <v>#ERROR!</v>
      </c>
      <c r="S34" s="10">
        <f t="shared" si="9"/>
        <v>3.9621</v>
      </c>
      <c r="T34" s="10">
        <f t="shared" si="10"/>
        <v>23.29540692</v>
      </c>
      <c r="U34" s="12">
        <f t="shared" si="11"/>
        <v>-0.7869724432</v>
      </c>
      <c r="V34" s="10">
        <f t="shared" si="12"/>
        <v>-86.05855308</v>
      </c>
      <c r="W34" s="2"/>
      <c r="X34" s="2"/>
      <c r="Y34" s="2"/>
      <c r="Z34" s="2"/>
      <c r="AA34" s="2"/>
      <c r="AB34" s="2"/>
      <c r="AC34" s="15"/>
      <c r="AD34" s="15"/>
      <c r="AE34" s="2"/>
    </row>
    <row r="35" ht="24.0" customHeight="1">
      <c r="A35" s="4" t="s">
        <v>20</v>
      </c>
      <c r="B35" s="4" t="s">
        <v>31</v>
      </c>
      <c r="C35" s="5">
        <v>45271.0</v>
      </c>
      <c r="D35" s="6" t="s">
        <v>22</v>
      </c>
      <c r="E35" s="7"/>
      <c r="F35" s="8">
        <f t="shared" si="1"/>
        <v>846</v>
      </c>
      <c r="G35" s="6">
        <v>36.1</v>
      </c>
      <c r="H35" s="9">
        <v>0.55</v>
      </c>
      <c r="I35" s="10" t="str">
        <f t="shared" si="2"/>
        <v>-</v>
      </c>
      <c r="J35" s="11">
        <v>0.7614</v>
      </c>
      <c r="K35" s="10">
        <f t="shared" si="3"/>
        <v>19.855</v>
      </c>
      <c r="L35" s="10">
        <f t="shared" si="4"/>
        <v>27.48654</v>
      </c>
      <c r="M35" s="12">
        <f t="shared" si="5"/>
        <v>0.3843636364</v>
      </c>
      <c r="N35" s="16">
        <f t="shared" si="6"/>
        <v>7.63154</v>
      </c>
      <c r="O35" s="2"/>
      <c r="P35" s="10"/>
      <c r="Q35" s="14" t="str">
        <f t="shared" si="7"/>
        <v>...</v>
      </c>
      <c r="R35" s="12" t="str">
        <f t="shared" si="8"/>
        <v/>
      </c>
      <c r="S35" s="10" t="str">
        <f t="shared" si="9"/>
        <v>...</v>
      </c>
      <c r="T35" s="10" t="str">
        <f t="shared" si="10"/>
        <v>...</v>
      </c>
      <c r="U35" s="12" t="str">
        <f t="shared" si="11"/>
        <v>...</v>
      </c>
      <c r="V35" s="10" t="str">
        <f t="shared" si="12"/>
        <v>...</v>
      </c>
      <c r="W35" s="2"/>
      <c r="X35" s="2"/>
      <c r="Y35" s="2"/>
      <c r="Z35" s="2"/>
      <c r="AA35" s="2"/>
      <c r="AB35" s="2"/>
      <c r="AC35" s="15"/>
      <c r="AD35" s="15"/>
      <c r="AE35" s="2"/>
    </row>
    <row r="36" ht="24.0" customHeight="1">
      <c r="A36" s="4" t="s">
        <v>20</v>
      </c>
      <c r="B36" s="4" t="s">
        <v>21</v>
      </c>
      <c r="C36" s="5">
        <v>45277.0</v>
      </c>
      <c r="D36" s="6" t="s">
        <v>22</v>
      </c>
      <c r="E36" s="7"/>
      <c r="F36" s="8">
        <f t="shared" si="1"/>
        <v>840</v>
      </c>
      <c r="G36" s="6">
        <v>0.00122</v>
      </c>
      <c r="H36" s="9">
        <v>40983.61</v>
      </c>
      <c r="I36" s="10" t="str">
        <f t="shared" si="2"/>
        <v>-</v>
      </c>
      <c r="J36" s="11" t="str">
        <f>IF(B36=0,"...",IF(D36="CERRADA","Valor Venta",I36*(1-VLOOKUP(A36,Config!$B$3:$C$22,2,FALSE))))</f>
        <v>Valor Venta</v>
      </c>
      <c r="K36" s="10">
        <f t="shared" si="3"/>
        <v>50.0000042</v>
      </c>
      <c r="L36" s="10" t="str">
        <f t="shared" si="4"/>
        <v>#VALUE!</v>
      </c>
      <c r="M36" s="12" t="str">
        <f t="shared" si="5"/>
        <v>#VALUE!</v>
      </c>
      <c r="N36" s="13" t="str">
        <f t="shared" si="6"/>
        <v>#VALUE!</v>
      </c>
      <c r="O36" s="2"/>
      <c r="P36" s="11" t="s">
        <v>62</v>
      </c>
      <c r="Q36" s="14">
        <f t="shared" si="7"/>
        <v>32</v>
      </c>
      <c r="R36" s="12" t="str">
        <f t="shared" si="8"/>
        <v>#ERROR!</v>
      </c>
      <c r="S36" s="10">
        <f t="shared" si="9"/>
        <v>3.2356</v>
      </c>
      <c r="T36" s="10">
        <f t="shared" si="10"/>
        <v>41.297984</v>
      </c>
      <c r="U36" s="12">
        <f t="shared" si="11"/>
        <v>-0.6011367289</v>
      </c>
      <c r="V36" s="10">
        <f t="shared" si="12"/>
        <v>-62.241216</v>
      </c>
      <c r="W36" s="2"/>
      <c r="X36" s="2"/>
      <c r="Y36" s="2"/>
      <c r="Z36" s="2"/>
      <c r="AA36" s="2"/>
      <c r="AB36" s="2"/>
      <c r="AC36" s="20"/>
      <c r="AD36" s="15"/>
      <c r="AE36" s="2"/>
    </row>
    <row r="37" ht="24.0" customHeight="1">
      <c r="A37" s="4" t="s">
        <v>20</v>
      </c>
      <c r="B37" s="4" t="s">
        <v>27</v>
      </c>
      <c r="C37" s="5">
        <v>45278.0</v>
      </c>
      <c r="D37" s="6" t="s">
        <v>22</v>
      </c>
      <c r="E37" s="17">
        <v>45282.0</v>
      </c>
      <c r="F37" s="8">
        <f t="shared" si="1"/>
        <v>4</v>
      </c>
      <c r="G37" s="6">
        <v>1.46</v>
      </c>
      <c r="H37" s="9">
        <v>68.49</v>
      </c>
      <c r="I37" s="10" t="str">
        <f t="shared" si="2"/>
        <v>-</v>
      </c>
      <c r="J37" s="11">
        <v>97.0</v>
      </c>
      <c r="K37" s="10">
        <f t="shared" si="3"/>
        <v>99.9954</v>
      </c>
      <c r="L37" s="10">
        <f t="shared" si="4"/>
        <v>141.62</v>
      </c>
      <c r="M37" s="12">
        <f t="shared" si="5"/>
        <v>0.4162651482</v>
      </c>
      <c r="N37" s="16">
        <f t="shared" si="6"/>
        <v>41.6246</v>
      </c>
      <c r="O37" s="2"/>
      <c r="P37" s="10"/>
      <c r="Q37" s="14" t="str">
        <f t="shared" si="7"/>
        <v>...</v>
      </c>
      <c r="R37" s="12" t="str">
        <f t="shared" si="8"/>
        <v/>
      </c>
      <c r="S37" s="10" t="str">
        <f t="shared" si="9"/>
        <v>...</v>
      </c>
      <c r="T37" s="10" t="str">
        <f t="shared" si="10"/>
        <v>...</v>
      </c>
      <c r="U37" s="12" t="str">
        <f t="shared" si="11"/>
        <v>...</v>
      </c>
      <c r="V37" s="10" t="str">
        <f t="shared" si="12"/>
        <v>...</v>
      </c>
      <c r="W37" s="2"/>
      <c r="X37" s="2"/>
      <c r="Y37" s="2"/>
      <c r="Z37" s="2"/>
      <c r="AA37" s="2"/>
      <c r="AB37" s="2"/>
      <c r="AC37" s="15"/>
      <c r="AD37" s="15"/>
      <c r="AE37" s="2"/>
    </row>
    <row r="38" ht="24.0" customHeight="1">
      <c r="A38" s="4" t="s">
        <v>20</v>
      </c>
      <c r="B38" s="4" t="s">
        <v>21</v>
      </c>
      <c r="C38" s="5">
        <v>45277.0</v>
      </c>
      <c r="D38" s="6" t="s">
        <v>22</v>
      </c>
      <c r="E38" s="7"/>
      <c r="F38" s="8">
        <f t="shared" si="1"/>
        <v>840</v>
      </c>
      <c r="G38" s="6">
        <v>0.0012</v>
      </c>
      <c r="H38" s="9">
        <v>41666.67</v>
      </c>
      <c r="I38" s="10" t="str">
        <f t="shared" si="2"/>
        <v>-</v>
      </c>
      <c r="J38" s="11" t="str">
        <f>IF(B38=0,"...",IF(D38="CERRADA","Valor Venta",I38*(1-VLOOKUP(A38,Config!$B$3:$C$22,2,FALSE))))</f>
        <v>Valor Venta</v>
      </c>
      <c r="K38" s="10">
        <f t="shared" si="3"/>
        <v>50.000004</v>
      </c>
      <c r="L38" s="10" t="str">
        <f t="shared" si="4"/>
        <v>#VALUE!</v>
      </c>
      <c r="M38" s="12" t="str">
        <f t="shared" si="5"/>
        <v>#VALUE!</v>
      </c>
      <c r="N38" s="13" t="str">
        <f t="shared" si="6"/>
        <v>#VALUE!</v>
      </c>
      <c r="O38" s="2"/>
      <c r="P38" s="11" t="s">
        <v>27</v>
      </c>
      <c r="Q38" s="14">
        <f t="shared" si="7"/>
        <v>9.646</v>
      </c>
      <c r="R38" s="12" t="str">
        <f t="shared" si="8"/>
        <v>#ERROR!</v>
      </c>
      <c r="S38" s="10">
        <f t="shared" si="9"/>
        <v>154.1752467</v>
      </c>
      <c r="T38" s="10">
        <f t="shared" si="10"/>
        <v>764.2208226</v>
      </c>
      <c r="U38" s="12">
        <f t="shared" si="11"/>
        <v>-0.4861256305</v>
      </c>
      <c r="V38" s="10">
        <f t="shared" si="12"/>
        <v>-722.9536074</v>
      </c>
      <c r="W38" s="2"/>
      <c r="X38" s="2"/>
      <c r="Y38" s="2"/>
      <c r="Z38" s="2"/>
      <c r="AA38" s="2"/>
      <c r="AB38" s="2"/>
      <c r="AC38" s="15"/>
      <c r="AD38" s="15"/>
      <c r="AE38" s="2"/>
    </row>
    <row r="39" ht="24.0" customHeight="1">
      <c r="A39" s="4" t="s">
        <v>20</v>
      </c>
      <c r="B39" s="4" t="s">
        <v>30</v>
      </c>
      <c r="C39" s="5">
        <v>45279.0</v>
      </c>
      <c r="D39" s="6" t="s">
        <v>22</v>
      </c>
      <c r="E39" s="7"/>
      <c r="F39" s="8">
        <f t="shared" si="1"/>
        <v>838</v>
      </c>
      <c r="G39" s="6">
        <v>149.2</v>
      </c>
      <c r="H39" s="9">
        <v>0.79</v>
      </c>
      <c r="I39" s="10" t="str">
        <f t="shared" si="2"/>
        <v>-</v>
      </c>
      <c r="J39" s="11">
        <v>0.9</v>
      </c>
      <c r="K39" s="10">
        <f t="shared" si="3"/>
        <v>117.868</v>
      </c>
      <c r="L39" s="10">
        <f t="shared" si="4"/>
        <v>134.28</v>
      </c>
      <c r="M39" s="12">
        <f t="shared" si="5"/>
        <v>0.1392405063</v>
      </c>
      <c r="N39" s="16">
        <f t="shared" si="6"/>
        <v>16.412</v>
      </c>
      <c r="O39" s="2"/>
      <c r="P39" s="10"/>
      <c r="Q39" s="14" t="str">
        <f t="shared" si="7"/>
        <v>...</v>
      </c>
      <c r="R39" s="12" t="str">
        <f t="shared" si="8"/>
        <v/>
      </c>
      <c r="S39" s="10" t="str">
        <f t="shared" si="9"/>
        <v>...</v>
      </c>
      <c r="T39" s="10" t="str">
        <f t="shared" si="10"/>
        <v>...</v>
      </c>
      <c r="U39" s="12" t="str">
        <f t="shared" si="11"/>
        <v>...</v>
      </c>
      <c r="V39" s="10" t="str">
        <f t="shared" si="12"/>
        <v>...</v>
      </c>
      <c r="W39" s="2"/>
      <c r="X39" s="2"/>
      <c r="Y39" s="2"/>
      <c r="Z39" s="2"/>
      <c r="AA39" s="2"/>
      <c r="AB39" s="2"/>
      <c r="AC39" s="15"/>
      <c r="AD39" s="15"/>
      <c r="AE39" s="2"/>
    </row>
    <row r="40" ht="24.0" customHeight="1">
      <c r="A40" s="4" t="s">
        <v>20</v>
      </c>
      <c r="B40" s="4" t="s">
        <v>27</v>
      </c>
      <c r="C40" s="5">
        <v>45271.0</v>
      </c>
      <c r="D40" s="6" t="s">
        <v>22</v>
      </c>
      <c r="E40" s="17">
        <v>45282.0</v>
      </c>
      <c r="F40" s="8">
        <f t="shared" si="1"/>
        <v>11</v>
      </c>
      <c r="G40" s="6">
        <v>0.28</v>
      </c>
      <c r="H40" s="9">
        <v>69.39</v>
      </c>
      <c r="I40" s="10" t="str">
        <f t="shared" si="2"/>
        <v>-</v>
      </c>
      <c r="J40" s="11">
        <v>97.0</v>
      </c>
      <c r="K40" s="10">
        <f t="shared" si="3"/>
        <v>19.4292</v>
      </c>
      <c r="L40" s="10">
        <f t="shared" si="4"/>
        <v>27.16</v>
      </c>
      <c r="M40" s="12">
        <f t="shared" si="5"/>
        <v>0.3978959504</v>
      </c>
      <c r="N40" s="16">
        <f t="shared" si="6"/>
        <v>7.7308</v>
      </c>
      <c r="O40" s="2"/>
      <c r="P40" s="10"/>
      <c r="Q40" s="14" t="str">
        <f t="shared" si="7"/>
        <v>...</v>
      </c>
      <c r="R40" s="12" t="str">
        <f t="shared" si="8"/>
        <v/>
      </c>
      <c r="S40" s="10" t="str">
        <f t="shared" si="9"/>
        <v>...</v>
      </c>
      <c r="T40" s="10" t="str">
        <f t="shared" si="10"/>
        <v>...</v>
      </c>
      <c r="U40" s="12" t="str">
        <f t="shared" si="11"/>
        <v>...</v>
      </c>
      <c r="V40" s="10" t="str">
        <f t="shared" si="12"/>
        <v>...</v>
      </c>
      <c r="W40" s="2"/>
      <c r="X40" s="2"/>
      <c r="Y40" s="2"/>
      <c r="Z40" s="2"/>
      <c r="AA40" s="2"/>
      <c r="AB40" s="2"/>
      <c r="AC40" s="15"/>
      <c r="AD40" s="15"/>
      <c r="AE40" s="2"/>
    </row>
    <row r="41" ht="24.0" customHeight="1">
      <c r="A41" s="4" t="s">
        <v>20</v>
      </c>
      <c r="B41" s="4" t="s">
        <v>21</v>
      </c>
      <c r="C41" s="5">
        <v>45287.0</v>
      </c>
      <c r="D41" s="6" t="s">
        <v>22</v>
      </c>
      <c r="E41" s="7"/>
      <c r="F41" s="8">
        <f t="shared" si="1"/>
        <v>830</v>
      </c>
      <c r="G41" s="6">
        <v>0.00116</v>
      </c>
      <c r="H41" s="9">
        <v>42818.97</v>
      </c>
      <c r="I41" s="10" t="str">
        <f t="shared" si="2"/>
        <v>-</v>
      </c>
      <c r="J41" s="11" t="str">
        <f>IF(B41=0,"...",IF(D41="CERRADA","Valor Venta",I41*(1-VLOOKUP(A41,Config!$B$3:$C$22,2,FALSE))))</f>
        <v>Valor Venta</v>
      </c>
      <c r="K41" s="10">
        <f t="shared" si="3"/>
        <v>49.6700052</v>
      </c>
      <c r="L41" s="10" t="str">
        <f t="shared" si="4"/>
        <v>#VALUE!</v>
      </c>
      <c r="M41" s="12" t="str">
        <f t="shared" si="5"/>
        <v>#VALUE!</v>
      </c>
      <c r="N41" s="13" t="str">
        <f t="shared" si="6"/>
        <v>#VALUE!</v>
      </c>
      <c r="O41" s="2"/>
      <c r="P41" s="10"/>
      <c r="Q41" s="14" t="str">
        <f t="shared" si="7"/>
        <v>...</v>
      </c>
      <c r="R41" s="12" t="str">
        <f t="shared" si="8"/>
        <v/>
      </c>
      <c r="S41" s="10" t="str">
        <f t="shared" si="9"/>
        <v>...</v>
      </c>
      <c r="T41" s="10" t="str">
        <f t="shared" si="10"/>
        <v>...</v>
      </c>
      <c r="U41" s="12" t="str">
        <f t="shared" si="11"/>
        <v>...</v>
      </c>
      <c r="V41" s="10" t="str">
        <f t="shared" si="12"/>
        <v>...</v>
      </c>
      <c r="W41" s="2"/>
      <c r="X41" s="2"/>
      <c r="Y41" s="2"/>
      <c r="Z41" s="2"/>
      <c r="AA41" s="2"/>
      <c r="AB41" s="2"/>
      <c r="AC41" s="15"/>
      <c r="AD41" s="15"/>
      <c r="AE41" s="2"/>
    </row>
    <row r="42" ht="24.0" customHeight="1">
      <c r="A42" s="4" t="s">
        <v>20</v>
      </c>
      <c r="B42" s="4" t="s">
        <v>21</v>
      </c>
      <c r="C42" s="5">
        <v>45288.0</v>
      </c>
      <c r="D42" s="6" t="s">
        <v>22</v>
      </c>
      <c r="E42" s="7"/>
      <c r="F42" s="8">
        <f t="shared" si="1"/>
        <v>829</v>
      </c>
      <c r="G42" s="6">
        <v>0.00117</v>
      </c>
      <c r="H42" s="9">
        <v>42641.03</v>
      </c>
      <c r="I42" s="10" t="str">
        <f t="shared" si="2"/>
        <v>-</v>
      </c>
      <c r="J42" s="11" t="str">
        <f>IF(B42=0,"...",IF(D42="CERRADA","Valor Venta",I42*(1-VLOOKUP(A42,Config!$B$3:$C$22,2,FALSE))))</f>
        <v>Valor Venta</v>
      </c>
      <c r="K42" s="10">
        <f t="shared" si="3"/>
        <v>49.8900051</v>
      </c>
      <c r="L42" s="10" t="str">
        <f t="shared" si="4"/>
        <v>#VALUE!</v>
      </c>
      <c r="M42" s="12" t="str">
        <f t="shared" si="5"/>
        <v>#VALUE!</v>
      </c>
      <c r="N42" s="13" t="str">
        <f t="shared" si="6"/>
        <v>#VALUE!</v>
      </c>
      <c r="O42" s="2"/>
      <c r="P42" s="10"/>
      <c r="Q42" s="14" t="str">
        <f t="shared" si="7"/>
        <v>...</v>
      </c>
      <c r="R42" s="12" t="str">
        <f t="shared" si="8"/>
        <v/>
      </c>
      <c r="S42" s="10" t="str">
        <f t="shared" si="9"/>
        <v>...</v>
      </c>
      <c r="T42" s="10" t="str">
        <f t="shared" si="10"/>
        <v>...</v>
      </c>
      <c r="U42" s="12" t="str">
        <f t="shared" si="11"/>
        <v>...</v>
      </c>
      <c r="V42" s="10" t="str">
        <f t="shared" si="12"/>
        <v>...</v>
      </c>
      <c r="W42" s="2"/>
      <c r="X42" s="2"/>
      <c r="Y42" s="2"/>
      <c r="Z42" s="2"/>
      <c r="AA42" s="2"/>
      <c r="AB42" s="2"/>
      <c r="AC42" s="15"/>
      <c r="AD42" s="15"/>
      <c r="AE42" s="2"/>
    </row>
    <row r="43" ht="24.0" customHeight="1">
      <c r="A43" s="4" t="s">
        <v>20</v>
      </c>
      <c r="B43" s="4" t="s">
        <v>21</v>
      </c>
      <c r="C43" s="5">
        <v>45288.0</v>
      </c>
      <c r="D43" s="6" t="s">
        <v>22</v>
      </c>
      <c r="E43" s="7"/>
      <c r="F43" s="8">
        <f t="shared" si="1"/>
        <v>829</v>
      </c>
      <c r="G43" s="6">
        <v>0.00117</v>
      </c>
      <c r="H43" s="9">
        <v>42470.09</v>
      </c>
      <c r="I43" s="10" t="str">
        <f t="shared" si="2"/>
        <v>-</v>
      </c>
      <c r="J43" s="11" t="str">
        <f>IF(B43=0,"...",IF(D43="CERRADA","Valor Venta",I43*(1-VLOOKUP(A43,Config!$B$3:$C$22,2,FALSE))))</f>
        <v>Valor Venta</v>
      </c>
      <c r="K43" s="10">
        <f t="shared" si="3"/>
        <v>49.6900053</v>
      </c>
      <c r="L43" s="10" t="str">
        <f t="shared" si="4"/>
        <v>#VALUE!</v>
      </c>
      <c r="M43" s="12" t="str">
        <f t="shared" si="5"/>
        <v>#VALUE!</v>
      </c>
      <c r="N43" s="13" t="str">
        <f t="shared" si="6"/>
        <v>#VALUE!</v>
      </c>
      <c r="O43" s="2"/>
      <c r="P43" s="10"/>
      <c r="Q43" s="14" t="str">
        <f t="shared" si="7"/>
        <v>...</v>
      </c>
      <c r="R43" s="12" t="str">
        <f t="shared" si="8"/>
        <v/>
      </c>
      <c r="S43" s="10" t="str">
        <f t="shared" si="9"/>
        <v>...</v>
      </c>
      <c r="T43" s="10" t="str">
        <f t="shared" si="10"/>
        <v>...</v>
      </c>
      <c r="U43" s="12" t="str">
        <f t="shared" si="11"/>
        <v>...</v>
      </c>
      <c r="V43" s="10" t="str">
        <f t="shared" si="12"/>
        <v>...</v>
      </c>
      <c r="W43" s="2"/>
      <c r="X43" s="2"/>
      <c r="Y43" s="2"/>
      <c r="Z43" s="2"/>
      <c r="AA43" s="2"/>
      <c r="AB43" s="2"/>
      <c r="AC43" s="15"/>
      <c r="AD43" s="15"/>
      <c r="AE43" s="2"/>
    </row>
    <row r="44" ht="24.0" customHeight="1">
      <c r="A44" s="4" t="s">
        <v>20</v>
      </c>
      <c r="B44" s="4" t="s">
        <v>27</v>
      </c>
      <c r="C44" s="5">
        <v>45297.0</v>
      </c>
      <c r="D44" s="6" t="s">
        <v>22</v>
      </c>
      <c r="E44" s="7"/>
      <c r="F44" s="8">
        <f t="shared" si="1"/>
        <v>820</v>
      </c>
      <c r="G44" s="6">
        <v>1.06</v>
      </c>
      <c r="H44" s="9">
        <v>94.13</v>
      </c>
      <c r="I44" s="10" t="str">
        <f t="shared" si="2"/>
        <v>-</v>
      </c>
      <c r="J44" s="11">
        <v>109.8</v>
      </c>
      <c r="K44" s="10">
        <f t="shared" si="3"/>
        <v>99.7778</v>
      </c>
      <c r="L44" s="10">
        <f t="shared" si="4"/>
        <v>116.388</v>
      </c>
      <c r="M44" s="12">
        <f t="shared" si="5"/>
        <v>0.1664719006</v>
      </c>
      <c r="N44" s="16">
        <f t="shared" si="6"/>
        <v>16.6102</v>
      </c>
      <c r="O44" s="2"/>
      <c r="P44" s="10"/>
      <c r="Q44" s="14" t="str">
        <f t="shared" si="7"/>
        <v>...</v>
      </c>
      <c r="R44" s="12" t="str">
        <f t="shared" si="8"/>
        <v/>
      </c>
      <c r="S44" s="10" t="str">
        <f t="shared" si="9"/>
        <v>...</v>
      </c>
      <c r="T44" s="10" t="str">
        <f t="shared" si="10"/>
        <v>...</v>
      </c>
      <c r="U44" s="12" t="str">
        <f t="shared" si="11"/>
        <v>...</v>
      </c>
      <c r="V44" s="10" t="str">
        <f t="shared" si="12"/>
        <v>...</v>
      </c>
      <c r="W44" s="2"/>
      <c r="X44" s="2"/>
      <c r="Y44" s="2"/>
      <c r="Z44" s="2"/>
      <c r="AA44" s="2"/>
      <c r="AB44" s="2"/>
      <c r="AC44" s="15"/>
      <c r="AD44" s="15"/>
      <c r="AE44" s="2"/>
    </row>
    <row r="45" ht="24.0" customHeight="1">
      <c r="A45" s="4" t="s">
        <v>20</v>
      </c>
      <c r="B45" s="4" t="s">
        <v>21</v>
      </c>
      <c r="C45" s="5">
        <v>45303.0</v>
      </c>
      <c r="D45" s="6" t="s">
        <v>22</v>
      </c>
      <c r="E45" s="7"/>
      <c r="F45" s="8">
        <f t="shared" si="1"/>
        <v>814</v>
      </c>
      <c r="G45" s="6">
        <v>0.00117</v>
      </c>
      <c r="H45" s="9">
        <v>43589.74</v>
      </c>
      <c r="I45" s="10" t="str">
        <f t="shared" si="2"/>
        <v>-</v>
      </c>
      <c r="J45" s="11" t="str">
        <f>IF(B45=0,"...",IF(D45="CERRADA","Valor Venta",I45*(1-VLOOKUP(A45,Config!$B$3:$C$22,2,FALSE))))</f>
        <v>Valor Venta</v>
      </c>
      <c r="K45" s="10">
        <f t="shared" si="3"/>
        <v>50.9999958</v>
      </c>
      <c r="L45" s="10" t="str">
        <f t="shared" si="4"/>
        <v>#VALUE!</v>
      </c>
      <c r="M45" s="12" t="str">
        <f t="shared" si="5"/>
        <v>#VALUE!</v>
      </c>
      <c r="N45" s="13" t="str">
        <f t="shared" si="6"/>
        <v>#VALUE!</v>
      </c>
      <c r="O45" s="2"/>
      <c r="P45" s="10"/>
      <c r="Q45" s="14" t="str">
        <f t="shared" si="7"/>
        <v>...</v>
      </c>
      <c r="R45" s="12" t="str">
        <f t="shared" si="8"/>
        <v/>
      </c>
      <c r="S45" s="10" t="str">
        <f t="shared" si="9"/>
        <v>...</v>
      </c>
      <c r="T45" s="10" t="str">
        <f t="shared" si="10"/>
        <v>...</v>
      </c>
      <c r="U45" s="12" t="str">
        <f t="shared" si="11"/>
        <v>...</v>
      </c>
      <c r="V45" s="10" t="str">
        <f t="shared" si="12"/>
        <v>...</v>
      </c>
      <c r="W45" s="2"/>
      <c r="X45" s="2"/>
      <c r="Y45" s="2"/>
      <c r="Z45" s="2"/>
      <c r="AA45" s="2"/>
      <c r="AB45" s="2"/>
      <c r="AC45" s="15"/>
      <c r="AD45" s="15"/>
      <c r="AE45" s="2"/>
    </row>
    <row r="46" ht="24.0" customHeight="1">
      <c r="A46" s="4" t="s">
        <v>20</v>
      </c>
      <c r="B46" s="4" t="s">
        <v>21</v>
      </c>
      <c r="C46" s="5">
        <v>45303.0</v>
      </c>
      <c r="D46" s="6" t="s">
        <v>22</v>
      </c>
      <c r="E46" s="7"/>
      <c r="F46" s="8">
        <f t="shared" si="1"/>
        <v>814</v>
      </c>
      <c r="G46" s="6">
        <v>0.00232</v>
      </c>
      <c r="H46" s="9">
        <v>43534.48</v>
      </c>
      <c r="I46" s="10" t="str">
        <f t="shared" si="2"/>
        <v>-</v>
      </c>
      <c r="J46" s="11" t="str">
        <f>IF(B46=0,"...",IF(D46="CERRADA","Valor Venta",I46*(1-VLOOKUP(A46,Config!$B$3:$C$22,2,FALSE))))</f>
        <v>Valor Venta</v>
      </c>
      <c r="K46" s="10">
        <f t="shared" si="3"/>
        <v>100.9999936</v>
      </c>
      <c r="L46" s="10" t="str">
        <f t="shared" si="4"/>
        <v>#VALUE!</v>
      </c>
      <c r="M46" s="12" t="str">
        <f t="shared" si="5"/>
        <v>#VALUE!</v>
      </c>
      <c r="N46" s="13" t="str">
        <f t="shared" si="6"/>
        <v>#VALUE!</v>
      </c>
      <c r="O46" s="2"/>
      <c r="P46" s="10"/>
      <c r="Q46" s="14" t="str">
        <f t="shared" si="7"/>
        <v>...</v>
      </c>
      <c r="R46" s="12" t="str">
        <f t="shared" si="8"/>
        <v/>
      </c>
      <c r="S46" s="10" t="str">
        <f t="shared" si="9"/>
        <v>...</v>
      </c>
      <c r="T46" s="10" t="str">
        <f t="shared" si="10"/>
        <v>...</v>
      </c>
      <c r="U46" s="12" t="str">
        <f t="shared" si="11"/>
        <v>...</v>
      </c>
      <c r="V46" s="10" t="str">
        <f t="shared" si="12"/>
        <v>...</v>
      </c>
      <c r="W46" s="2"/>
      <c r="X46" s="2"/>
      <c r="Y46" s="2"/>
      <c r="Z46" s="2"/>
      <c r="AA46" s="2"/>
      <c r="AB46" s="2"/>
      <c r="AC46" s="15"/>
      <c r="AD46" s="15"/>
      <c r="AE46" s="2"/>
    </row>
    <row r="47" ht="24.0" customHeight="1">
      <c r="A47" s="4" t="s">
        <v>20</v>
      </c>
      <c r="B47" s="4" t="s">
        <v>32</v>
      </c>
      <c r="C47" s="5">
        <v>45305.0</v>
      </c>
      <c r="D47" s="6" t="s">
        <v>22</v>
      </c>
      <c r="E47" s="7"/>
      <c r="F47" s="8">
        <f t="shared" si="1"/>
        <v>812</v>
      </c>
      <c r="G47" s="6">
        <v>43.1</v>
      </c>
      <c r="H47" s="9">
        <v>1.16</v>
      </c>
      <c r="I47" s="10" t="str">
        <f t="shared" si="2"/>
        <v>-</v>
      </c>
      <c r="J47" s="11">
        <v>1.19</v>
      </c>
      <c r="K47" s="10">
        <f t="shared" si="3"/>
        <v>49.996</v>
      </c>
      <c r="L47" s="10">
        <f t="shared" si="4"/>
        <v>51.289</v>
      </c>
      <c r="M47" s="12">
        <f t="shared" si="5"/>
        <v>0.02586206897</v>
      </c>
      <c r="N47" s="16">
        <f t="shared" si="6"/>
        <v>1.293</v>
      </c>
      <c r="O47" s="2"/>
      <c r="P47" s="10"/>
      <c r="Q47" s="14" t="str">
        <f t="shared" si="7"/>
        <v>...</v>
      </c>
      <c r="R47" s="12" t="str">
        <f t="shared" si="8"/>
        <v/>
      </c>
      <c r="S47" s="10" t="str">
        <f t="shared" si="9"/>
        <v>...</v>
      </c>
      <c r="T47" s="10" t="str">
        <f t="shared" si="10"/>
        <v>...</v>
      </c>
      <c r="U47" s="12" t="str">
        <f t="shared" si="11"/>
        <v>...</v>
      </c>
      <c r="V47" s="10" t="str">
        <f t="shared" si="12"/>
        <v>...</v>
      </c>
      <c r="W47" s="2"/>
      <c r="X47" s="2"/>
      <c r="Y47" s="2"/>
      <c r="Z47" s="2"/>
      <c r="AA47" s="2"/>
      <c r="AB47" s="2"/>
      <c r="AC47" s="15"/>
      <c r="AD47" s="15"/>
      <c r="AE47" s="2"/>
    </row>
    <row r="48" ht="24.0" customHeight="1">
      <c r="A48" s="4" t="s">
        <v>20</v>
      </c>
      <c r="B48" s="4" t="s">
        <v>21</v>
      </c>
      <c r="C48" s="5">
        <v>45305.0</v>
      </c>
      <c r="D48" s="6" t="s">
        <v>22</v>
      </c>
      <c r="E48" s="7"/>
      <c r="F48" s="8">
        <f t="shared" si="1"/>
        <v>812</v>
      </c>
      <c r="G48" s="6">
        <v>9.3E-4</v>
      </c>
      <c r="H48" s="9">
        <v>42860.22</v>
      </c>
      <c r="I48" s="10" t="str">
        <f t="shared" si="2"/>
        <v>-</v>
      </c>
      <c r="J48" s="11">
        <v>42649.15</v>
      </c>
      <c r="K48" s="10">
        <f t="shared" si="3"/>
        <v>39.8600046</v>
      </c>
      <c r="L48" s="10">
        <f t="shared" si="4"/>
        <v>39.6637095</v>
      </c>
      <c r="M48" s="12">
        <f t="shared" si="5"/>
        <v>-0.004924613079</v>
      </c>
      <c r="N48" s="16">
        <f t="shared" si="6"/>
        <v>-0.1962951</v>
      </c>
      <c r="O48" s="2"/>
      <c r="P48" s="10"/>
      <c r="Q48" s="14" t="str">
        <f t="shared" si="7"/>
        <v>...</v>
      </c>
      <c r="R48" s="12" t="str">
        <f t="shared" si="8"/>
        <v/>
      </c>
      <c r="S48" s="10" t="str">
        <f t="shared" si="9"/>
        <v>...</v>
      </c>
      <c r="T48" s="10" t="str">
        <f t="shared" si="10"/>
        <v>...</v>
      </c>
      <c r="U48" s="12" t="str">
        <f t="shared" si="11"/>
        <v>...</v>
      </c>
      <c r="V48" s="10" t="str">
        <f t="shared" si="12"/>
        <v>...</v>
      </c>
      <c r="W48" s="2"/>
      <c r="X48" s="2"/>
      <c r="Y48" s="2"/>
      <c r="Z48" s="2"/>
      <c r="AA48" s="2"/>
      <c r="AB48" s="2"/>
      <c r="AC48" s="15"/>
      <c r="AD48" s="15"/>
      <c r="AE48" s="2"/>
    </row>
    <row r="49" ht="24.0" customHeight="1">
      <c r="A49" s="4" t="s">
        <v>20</v>
      </c>
      <c r="B49" s="4" t="s">
        <v>33</v>
      </c>
      <c r="C49" s="5">
        <v>45305.0</v>
      </c>
      <c r="D49" s="6" t="s">
        <v>22</v>
      </c>
      <c r="E49" s="7"/>
      <c r="F49" s="8">
        <f t="shared" si="1"/>
        <v>812</v>
      </c>
      <c r="G49" s="6">
        <v>110.0</v>
      </c>
      <c r="H49" s="9">
        <v>0.51</v>
      </c>
      <c r="I49" s="10" t="str">
        <f t="shared" si="2"/>
        <v>-</v>
      </c>
      <c r="J49" s="11">
        <v>0.51</v>
      </c>
      <c r="K49" s="10">
        <f t="shared" si="3"/>
        <v>56.1</v>
      </c>
      <c r="L49" s="10">
        <f t="shared" si="4"/>
        <v>56.1</v>
      </c>
      <c r="M49" s="12">
        <f t="shared" si="5"/>
        <v>0</v>
      </c>
      <c r="N49" s="16">
        <f t="shared" si="6"/>
        <v>0</v>
      </c>
      <c r="O49" s="2"/>
      <c r="P49" s="10"/>
      <c r="Q49" s="14" t="str">
        <f t="shared" si="7"/>
        <v>...</v>
      </c>
      <c r="R49" s="12" t="str">
        <f t="shared" si="8"/>
        <v/>
      </c>
      <c r="S49" s="10" t="str">
        <f t="shared" si="9"/>
        <v>...</v>
      </c>
      <c r="T49" s="10" t="str">
        <f t="shared" si="10"/>
        <v>...</v>
      </c>
      <c r="U49" s="12" t="str">
        <f t="shared" si="11"/>
        <v>...</v>
      </c>
      <c r="V49" s="10" t="str">
        <f t="shared" si="12"/>
        <v>...</v>
      </c>
      <c r="W49" s="2"/>
      <c r="X49" s="2"/>
      <c r="Y49" s="2"/>
      <c r="Z49" s="2"/>
      <c r="AA49" s="2"/>
      <c r="AB49" s="2"/>
      <c r="AC49" s="15"/>
      <c r="AD49" s="15"/>
      <c r="AE49" s="2"/>
    </row>
    <row r="50" ht="24.0" customHeight="1">
      <c r="A50" s="4" t="s">
        <v>20</v>
      </c>
      <c r="B50" s="4" t="s">
        <v>34</v>
      </c>
      <c r="C50" s="5">
        <v>45306.0</v>
      </c>
      <c r="D50" s="6" t="s">
        <v>22</v>
      </c>
      <c r="E50" s="7"/>
      <c r="F50" s="8">
        <f t="shared" si="1"/>
        <v>811</v>
      </c>
      <c r="G50" s="6">
        <v>94.9</v>
      </c>
      <c r="H50" s="9">
        <v>0.54</v>
      </c>
      <c r="I50" s="10" t="str">
        <f t="shared" si="2"/>
        <v>-</v>
      </c>
      <c r="J50" s="11">
        <v>0.55</v>
      </c>
      <c r="K50" s="10">
        <f t="shared" si="3"/>
        <v>51.246</v>
      </c>
      <c r="L50" s="10">
        <f t="shared" si="4"/>
        <v>52.195</v>
      </c>
      <c r="M50" s="12">
        <f t="shared" si="5"/>
        <v>0.01851851852</v>
      </c>
      <c r="N50" s="16">
        <f t="shared" si="6"/>
        <v>0.949</v>
      </c>
      <c r="O50" s="2"/>
      <c r="P50" s="10"/>
      <c r="Q50" s="14" t="str">
        <f t="shared" si="7"/>
        <v>...</v>
      </c>
      <c r="R50" s="12" t="str">
        <f t="shared" si="8"/>
        <v/>
      </c>
      <c r="S50" s="10" t="str">
        <f t="shared" si="9"/>
        <v>...</v>
      </c>
      <c r="T50" s="10" t="str">
        <f t="shared" si="10"/>
        <v>...</v>
      </c>
      <c r="U50" s="12" t="str">
        <f t="shared" si="11"/>
        <v>...</v>
      </c>
      <c r="V50" s="10" t="str">
        <f t="shared" si="12"/>
        <v>...</v>
      </c>
      <c r="W50" s="2"/>
      <c r="X50" s="2"/>
      <c r="Y50" s="2"/>
      <c r="Z50" s="2"/>
      <c r="AA50" s="2"/>
      <c r="AB50" s="2"/>
      <c r="AC50" s="15"/>
      <c r="AD50" s="15"/>
      <c r="AE50" s="2"/>
    </row>
    <row r="51" ht="24.0" customHeight="1">
      <c r="A51" s="4" t="s">
        <v>20</v>
      </c>
      <c r="B51" s="4" t="s">
        <v>21</v>
      </c>
      <c r="C51" s="5">
        <v>45309.0</v>
      </c>
      <c r="D51" s="6" t="s">
        <v>22</v>
      </c>
      <c r="E51" s="7"/>
      <c r="F51" s="8">
        <f t="shared" si="1"/>
        <v>808</v>
      </c>
      <c r="G51" s="6">
        <v>0.00121</v>
      </c>
      <c r="H51" s="9">
        <v>41132.23</v>
      </c>
      <c r="I51" s="10" t="str">
        <f t="shared" si="2"/>
        <v>-</v>
      </c>
      <c r="J51" s="11">
        <v>43500.0</v>
      </c>
      <c r="K51" s="10">
        <f t="shared" si="3"/>
        <v>49.7699983</v>
      </c>
      <c r="L51" s="10">
        <f t="shared" si="4"/>
        <v>52.635</v>
      </c>
      <c r="M51" s="12">
        <f t="shared" si="5"/>
        <v>0.05756483419</v>
      </c>
      <c r="N51" s="16">
        <f t="shared" si="6"/>
        <v>2.8650017</v>
      </c>
      <c r="O51" s="2"/>
      <c r="P51" s="10"/>
      <c r="Q51" s="14" t="str">
        <f t="shared" si="7"/>
        <v>...</v>
      </c>
      <c r="R51" s="12" t="str">
        <f t="shared" si="8"/>
        <v/>
      </c>
      <c r="S51" s="10" t="str">
        <f t="shared" si="9"/>
        <v>...</v>
      </c>
      <c r="T51" s="10" t="str">
        <f t="shared" si="10"/>
        <v>...</v>
      </c>
      <c r="U51" s="12" t="str">
        <f t="shared" si="11"/>
        <v>...</v>
      </c>
      <c r="V51" s="10" t="str">
        <f t="shared" si="12"/>
        <v>...</v>
      </c>
      <c r="W51" s="2"/>
      <c r="X51" s="2"/>
      <c r="Y51" s="2"/>
      <c r="Z51" s="2"/>
      <c r="AA51" s="2"/>
      <c r="AB51" s="2"/>
      <c r="AC51" s="15"/>
      <c r="AD51" s="15"/>
      <c r="AE51" s="2"/>
    </row>
    <row r="52" ht="24.0" customHeight="1">
      <c r="A52" s="4" t="s">
        <v>20</v>
      </c>
      <c r="B52" s="4" t="s">
        <v>36</v>
      </c>
      <c r="C52" s="5">
        <v>45309.0</v>
      </c>
      <c r="D52" s="6" t="s">
        <v>22</v>
      </c>
      <c r="E52" s="7"/>
      <c r="F52" s="8">
        <f t="shared" si="1"/>
        <v>808</v>
      </c>
      <c r="G52" s="6">
        <v>114.0</v>
      </c>
      <c r="H52" s="9">
        <v>0.44</v>
      </c>
      <c r="I52" s="10" t="str">
        <f t="shared" si="2"/>
        <v>-</v>
      </c>
      <c r="J52" s="11">
        <v>0.48</v>
      </c>
      <c r="K52" s="10">
        <f t="shared" si="3"/>
        <v>50.16</v>
      </c>
      <c r="L52" s="10">
        <f t="shared" si="4"/>
        <v>54.72</v>
      </c>
      <c r="M52" s="12">
        <f t="shared" si="5"/>
        <v>0.09090909091</v>
      </c>
      <c r="N52" s="16">
        <f t="shared" si="6"/>
        <v>4.56</v>
      </c>
      <c r="O52" s="2"/>
      <c r="P52" s="10"/>
      <c r="Q52" s="14" t="str">
        <f t="shared" si="7"/>
        <v>...</v>
      </c>
      <c r="R52" s="12" t="str">
        <f t="shared" si="8"/>
        <v/>
      </c>
      <c r="S52" s="10" t="str">
        <f t="shared" si="9"/>
        <v>...</v>
      </c>
      <c r="T52" s="10" t="str">
        <f t="shared" si="10"/>
        <v>...</v>
      </c>
      <c r="U52" s="12" t="str">
        <f t="shared" si="11"/>
        <v>...</v>
      </c>
      <c r="V52" s="10" t="str">
        <f t="shared" si="12"/>
        <v>...</v>
      </c>
      <c r="W52" s="2"/>
      <c r="X52" s="2"/>
      <c r="Y52" s="2"/>
      <c r="Z52" s="2"/>
      <c r="AA52" s="2"/>
      <c r="AB52" s="2"/>
      <c r="AC52" s="15"/>
      <c r="AD52" s="15"/>
      <c r="AE52" s="2"/>
    </row>
    <row r="53" ht="24.0" customHeight="1">
      <c r="A53" s="4" t="s">
        <v>20</v>
      </c>
      <c r="B53" s="4" t="s">
        <v>37</v>
      </c>
      <c r="C53" s="5">
        <v>45309.0</v>
      </c>
      <c r="D53" s="6" t="s">
        <v>22</v>
      </c>
      <c r="E53" s="7"/>
      <c r="F53" s="8">
        <f t="shared" si="1"/>
        <v>808</v>
      </c>
      <c r="G53" s="6">
        <v>114.3</v>
      </c>
      <c r="H53" s="9">
        <v>0.42</v>
      </c>
      <c r="I53" s="10" t="str">
        <f t="shared" si="2"/>
        <v>-</v>
      </c>
      <c r="J53" s="11">
        <v>0.41</v>
      </c>
      <c r="K53" s="10">
        <f t="shared" si="3"/>
        <v>48.006</v>
      </c>
      <c r="L53" s="10">
        <f t="shared" si="4"/>
        <v>46.863</v>
      </c>
      <c r="M53" s="12">
        <f t="shared" si="5"/>
        <v>-0.02380952381</v>
      </c>
      <c r="N53" s="16">
        <f t="shared" si="6"/>
        <v>-1.143</v>
      </c>
      <c r="O53" s="2"/>
      <c r="P53" s="10"/>
      <c r="Q53" s="14" t="str">
        <f t="shared" si="7"/>
        <v>...</v>
      </c>
      <c r="R53" s="12" t="str">
        <f t="shared" si="8"/>
        <v/>
      </c>
      <c r="S53" s="10" t="str">
        <f t="shared" si="9"/>
        <v>...</v>
      </c>
      <c r="T53" s="10" t="str">
        <f t="shared" si="10"/>
        <v>...</v>
      </c>
      <c r="U53" s="12" t="str">
        <f t="shared" si="11"/>
        <v>...</v>
      </c>
      <c r="V53" s="10" t="str">
        <f t="shared" si="12"/>
        <v>...</v>
      </c>
      <c r="W53" s="2"/>
      <c r="X53" s="2"/>
      <c r="Y53" s="2"/>
      <c r="Z53" s="2"/>
      <c r="AA53" s="2"/>
      <c r="AB53" s="2"/>
      <c r="AC53" s="15"/>
      <c r="AD53" s="15"/>
      <c r="AE53" s="2"/>
    </row>
    <row r="54" ht="24.0" customHeight="1">
      <c r="A54" s="4" t="s">
        <v>20</v>
      </c>
      <c r="B54" s="4" t="s">
        <v>27</v>
      </c>
      <c r="C54" s="5">
        <v>6692725.0</v>
      </c>
      <c r="D54" s="6" t="s">
        <v>22</v>
      </c>
      <c r="E54" s="7"/>
      <c r="F54" s="8">
        <f t="shared" si="1"/>
        <v>-6646608</v>
      </c>
      <c r="G54" s="6">
        <v>0.59</v>
      </c>
      <c r="H54" s="9">
        <v>92.46</v>
      </c>
      <c r="I54" s="10" t="str">
        <f t="shared" si="2"/>
        <v>-</v>
      </c>
      <c r="J54" s="11">
        <v>109.8</v>
      </c>
      <c r="K54" s="10">
        <f t="shared" si="3"/>
        <v>54.5514</v>
      </c>
      <c r="L54" s="10">
        <f t="shared" si="4"/>
        <v>64.782</v>
      </c>
      <c r="M54" s="12">
        <f t="shared" si="5"/>
        <v>0.1875405581</v>
      </c>
      <c r="N54" s="16">
        <f t="shared" si="6"/>
        <v>10.2306</v>
      </c>
      <c r="O54" s="2"/>
      <c r="P54" s="10"/>
      <c r="Q54" s="14" t="str">
        <f t="shared" si="7"/>
        <v>...</v>
      </c>
      <c r="R54" s="12" t="str">
        <f t="shared" si="8"/>
        <v/>
      </c>
      <c r="S54" s="10" t="str">
        <f t="shared" si="9"/>
        <v>...</v>
      </c>
      <c r="T54" s="10" t="str">
        <f t="shared" si="10"/>
        <v>...</v>
      </c>
      <c r="U54" s="12" t="str">
        <f t="shared" si="11"/>
        <v>...</v>
      </c>
      <c r="V54" s="10" t="str">
        <f t="shared" si="12"/>
        <v>...</v>
      </c>
      <c r="W54" s="2"/>
      <c r="X54" s="2"/>
      <c r="Y54" s="2"/>
      <c r="Z54" s="2"/>
      <c r="AA54" s="2"/>
      <c r="AB54" s="2"/>
      <c r="AC54" s="15"/>
      <c r="AD54" s="15"/>
      <c r="AE54" s="2"/>
    </row>
    <row r="55" ht="24.0" customHeight="1">
      <c r="A55" s="4" t="s">
        <v>20</v>
      </c>
      <c r="B55" s="4" t="s">
        <v>30</v>
      </c>
      <c r="C55" s="5">
        <v>45317.0</v>
      </c>
      <c r="D55" s="6" t="s">
        <v>22</v>
      </c>
      <c r="E55" s="7"/>
      <c r="F55" s="8">
        <f t="shared" si="1"/>
        <v>800</v>
      </c>
      <c r="G55" s="6">
        <v>66.3</v>
      </c>
      <c r="H55" s="9">
        <v>0.75</v>
      </c>
      <c r="I55" s="10" t="str">
        <f t="shared" si="2"/>
        <v>-</v>
      </c>
      <c r="J55" s="11">
        <v>0.9</v>
      </c>
      <c r="K55" s="10">
        <f t="shared" si="3"/>
        <v>49.725</v>
      </c>
      <c r="L55" s="10">
        <f t="shared" si="4"/>
        <v>59.67</v>
      </c>
      <c r="M55" s="12">
        <f t="shared" si="5"/>
        <v>0.2</v>
      </c>
      <c r="N55" s="16">
        <f t="shared" si="6"/>
        <v>9.945</v>
      </c>
      <c r="O55" s="2"/>
      <c r="P55" s="10"/>
      <c r="Q55" s="14" t="str">
        <f t="shared" si="7"/>
        <v>...</v>
      </c>
      <c r="R55" s="12" t="str">
        <f t="shared" si="8"/>
        <v/>
      </c>
      <c r="S55" s="10" t="str">
        <f t="shared" si="9"/>
        <v>...</v>
      </c>
      <c r="T55" s="10" t="str">
        <f t="shared" si="10"/>
        <v>...</v>
      </c>
      <c r="U55" s="12" t="str">
        <f t="shared" si="11"/>
        <v>...</v>
      </c>
      <c r="V55" s="10" t="str">
        <f t="shared" si="12"/>
        <v>...</v>
      </c>
      <c r="W55" s="2"/>
      <c r="X55" s="2"/>
      <c r="Y55" s="2"/>
      <c r="Z55" s="2"/>
      <c r="AA55" s="2"/>
      <c r="AB55" s="2"/>
      <c r="AC55" s="15"/>
      <c r="AD55" s="15"/>
      <c r="AE55" s="2"/>
    </row>
    <row r="56" ht="24.0" customHeight="1">
      <c r="A56" s="4" t="s">
        <v>20</v>
      </c>
      <c r="B56" s="4" t="s">
        <v>27</v>
      </c>
      <c r="C56" s="5">
        <v>6692730.0</v>
      </c>
      <c r="D56" s="6" t="s">
        <v>22</v>
      </c>
      <c r="E56" s="7"/>
      <c r="F56" s="8">
        <f t="shared" si="1"/>
        <v>-6646613</v>
      </c>
      <c r="G56" s="6">
        <v>0.56</v>
      </c>
      <c r="H56" s="9">
        <v>92.8</v>
      </c>
      <c r="I56" s="10" t="str">
        <f t="shared" si="2"/>
        <v>-</v>
      </c>
      <c r="J56" s="11">
        <v>109.8</v>
      </c>
      <c r="K56" s="10">
        <f t="shared" si="3"/>
        <v>51.968</v>
      </c>
      <c r="L56" s="10">
        <f t="shared" si="4"/>
        <v>61.488</v>
      </c>
      <c r="M56" s="12">
        <f t="shared" si="5"/>
        <v>0.1831896552</v>
      </c>
      <c r="N56" s="16">
        <f t="shared" si="6"/>
        <v>9.52</v>
      </c>
      <c r="O56" s="2"/>
      <c r="P56" s="10"/>
      <c r="Q56" s="14" t="str">
        <f t="shared" si="7"/>
        <v>...</v>
      </c>
      <c r="R56" s="12" t="str">
        <f t="shared" si="8"/>
        <v/>
      </c>
      <c r="S56" s="10" t="str">
        <f t="shared" si="9"/>
        <v>...</v>
      </c>
      <c r="T56" s="10" t="str">
        <f t="shared" si="10"/>
        <v>...</v>
      </c>
      <c r="U56" s="12" t="str">
        <f t="shared" si="11"/>
        <v>...</v>
      </c>
      <c r="V56" s="10" t="str">
        <f t="shared" si="12"/>
        <v>...</v>
      </c>
      <c r="W56" s="2"/>
      <c r="X56" s="2"/>
      <c r="Y56" s="2"/>
      <c r="Z56" s="2"/>
      <c r="AA56" s="2"/>
      <c r="AB56" s="2"/>
      <c r="AC56" s="15"/>
      <c r="AD56" s="15"/>
      <c r="AE56" s="2"/>
    </row>
    <row r="57" ht="24.0" customHeight="1">
      <c r="A57" s="4" t="s">
        <v>20</v>
      </c>
      <c r="B57" s="4" t="s">
        <v>27</v>
      </c>
      <c r="C57" s="5">
        <v>45320.0</v>
      </c>
      <c r="D57" s="6" t="s">
        <v>22</v>
      </c>
      <c r="E57" s="7"/>
      <c r="F57" s="8">
        <f t="shared" si="1"/>
        <v>797</v>
      </c>
      <c r="G57" s="6">
        <v>2.95</v>
      </c>
      <c r="H57" s="9">
        <v>91.91</v>
      </c>
      <c r="I57" s="10" t="str">
        <f t="shared" si="2"/>
        <v>-</v>
      </c>
      <c r="J57" s="11">
        <v>109.8</v>
      </c>
      <c r="K57" s="10">
        <f t="shared" si="3"/>
        <v>271.1345</v>
      </c>
      <c r="L57" s="10">
        <f t="shared" si="4"/>
        <v>323.91</v>
      </c>
      <c r="M57" s="12">
        <f t="shared" si="5"/>
        <v>0.1946469372</v>
      </c>
      <c r="N57" s="16">
        <f t="shared" si="6"/>
        <v>52.7755</v>
      </c>
      <c r="O57" s="2"/>
      <c r="P57" s="10"/>
      <c r="Q57" s="14" t="str">
        <f t="shared" si="7"/>
        <v>...</v>
      </c>
      <c r="R57" s="12" t="str">
        <f t="shared" si="8"/>
        <v/>
      </c>
      <c r="S57" s="10" t="str">
        <f t="shared" si="9"/>
        <v>...</v>
      </c>
      <c r="T57" s="10" t="str">
        <f t="shared" si="10"/>
        <v>...</v>
      </c>
      <c r="U57" s="12" t="str">
        <f t="shared" si="11"/>
        <v>...</v>
      </c>
      <c r="V57" s="10" t="str">
        <f t="shared" si="12"/>
        <v>...</v>
      </c>
      <c r="W57" s="2"/>
      <c r="X57" s="2"/>
      <c r="Y57" s="2"/>
      <c r="Z57" s="2"/>
      <c r="AA57" s="2"/>
      <c r="AB57" s="2"/>
      <c r="AC57" s="15"/>
      <c r="AD57" s="15"/>
      <c r="AE57" s="2"/>
    </row>
    <row r="58" ht="24.0" customHeight="1">
      <c r="A58" s="4" t="s">
        <v>20</v>
      </c>
      <c r="B58" s="4" t="s">
        <v>38</v>
      </c>
      <c r="C58" s="5">
        <v>45322.0</v>
      </c>
      <c r="D58" s="6" t="s">
        <v>22</v>
      </c>
      <c r="E58" s="7"/>
      <c r="F58" s="8">
        <f t="shared" si="1"/>
        <v>795</v>
      </c>
      <c r="G58" s="6">
        <v>17.3</v>
      </c>
      <c r="H58" s="9">
        <v>2.88</v>
      </c>
      <c r="I58" s="10" t="str">
        <f t="shared" si="2"/>
        <v>-</v>
      </c>
      <c r="J58" s="11">
        <v>2.93</v>
      </c>
      <c r="K58" s="10">
        <f t="shared" si="3"/>
        <v>49.824</v>
      </c>
      <c r="L58" s="10">
        <f t="shared" si="4"/>
        <v>50.689</v>
      </c>
      <c r="M58" s="12">
        <f t="shared" si="5"/>
        <v>0.01736111111</v>
      </c>
      <c r="N58" s="16">
        <f t="shared" si="6"/>
        <v>0.865</v>
      </c>
      <c r="O58" s="2"/>
      <c r="P58" s="10"/>
      <c r="Q58" s="14" t="str">
        <f t="shared" si="7"/>
        <v>...</v>
      </c>
      <c r="R58" s="12" t="str">
        <f t="shared" si="8"/>
        <v/>
      </c>
      <c r="S58" s="10" t="str">
        <f t="shared" si="9"/>
        <v>...</v>
      </c>
      <c r="T58" s="10" t="str">
        <f t="shared" si="10"/>
        <v>...</v>
      </c>
      <c r="U58" s="12" t="str">
        <f t="shared" si="11"/>
        <v>...</v>
      </c>
      <c r="V58" s="10" t="str">
        <f t="shared" si="12"/>
        <v>...</v>
      </c>
      <c r="W58" s="2"/>
      <c r="X58" s="2"/>
      <c r="Y58" s="2"/>
      <c r="Z58" s="2"/>
      <c r="AA58" s="2"/>
      <c r="AB58" s="2"/>
      <c r="AC58" s="15"/>
      <c r="AD58" s="15"/>
      <c r="AE58" s="2"/>
    </row>
    <row r="59" ht="24.0" customHeight="1">
      <c r="A59" s="4" t="s">
        <v>20</v>
      </c>
      <c r="B59" s="4" t="s">
        <v>40</v>
      </c>
      <c r="C59" s="5">
        <v>45322.0</v>
      </c>
      <c r="D59" s="6" t="s">
        <v>22</v>
      </c>
      <c r="E59" s="7"/>
      <c r="F59" s="8">
        <f t="shared" si="1"/>
        <v>795</v>
      </c>
      <c r="G59" s="6">
        <v>2268.0</v>
      </c>
      <c r="H59" s="9">
        <v>0.02</v>
      </c>
      <c r="I59" s="10" t="str">
        <f t="shared" si="2"/>
        <v>-</v>
      </c>
      <c r="J59" s="11">
        <v>0.0227</v>
      </c>
      <c r="K59" s="10">
        <f t="shared" si="3"/>
        <v>45.36</v>
      </c>
      <c r="L59" s="10">
        <f t="shared" si="4"/>
        <v>51.4836</v>
      </c>
      <c r="M59" s="12">
        <f t="shared" si="5"/>
        <v>0.135</v>
      </c>
      <c r="N59" s="16">
        <f t="shared" si="6"/>
        <v>6.1236</v>
      </c>
      <c r="O59" s="2"/>
      <c r="P59" s="10"/>
      <c r="Q59" s="14" t="str">
        <f t="shared" si="7"/>
        <v>...</v>
      </c>
      <c r="R59" s="12" t="str">
        <f t="shared" si="8"/>
        <v/>
      </c>
      <c r="S59" s="10" t="str">
        <f t="shared" si="9"/>
        <v>...</v>
      </c>
      <c r="T59" s="10" t="str">
        <f t="shared" si="10"/>
        <v>...</v>
      </c>
      <c r="U59" s="12" t="str">
        <f t="shared" si="11"/>
        <v>...</v>
      </c>
      <c r="V59" s="10" t="str">
        <f t="shared" si="12"/>
        <v>...</v>
      </c>
      <c r="W59" s="2"/>
      <c r="X59" s="2"/>
      <c r="Y59" s="2"/>
      <c r="Z59" s="2"/>
      <c r="AA59" s="2"/>
      <c r="AB59" s="2"/>
      <c r="AC59" s="15"/>
      <c r="AD59" s="15"/>
      <c r="AE59" s="2"/>
    </row>
    <row r="60" ht="24.0" customHeight="1">
      <c r="A60" s="4" t="s">
        <v>20</v>
      </c>
      <c r="B60" s="4" t="s">
        <v>42</v>
      </c>
      <c r="C60" s="5">
        <v>45322.0</v>
      </c>
      <c r="D60" s="6" t="s">
        <v>22</v>
      </c>
      <c r="E60" s="7"/>
      <c r="F60" s="8">
        <f t="shared" si="1"/>
        <v>795</v>
      </c>
      <c r="G60" s="6">
        <v>1.501</v>
      </c>
      <c r="H60" s="9">
        <v>38.75</v>
      </c>
      <c r="I60" s="10" t="str">
        <f t="shared" si="2"/>
        <v>-</v>
      </c>
      <c r="J60" s="11">
        <v>39.69</v>
      </c>
      <c r="K60" s="10">
        <f t="shared" si="3"/>
        <v>58.16375</v>
      </c>
      <c r="L60" s="10">
        <f t="shared" si="4"/>
        <v>59.57469</v>
      </c>
      <c r="M60" s="12">
        <f t="shared" si="5"/>
        <v>0.02425806452</v>
      </c>
      <c r="N60" s="16">
        <f t="shared" si="6"/>
        <v>1.41094</v>
      </c>
      <c r="O60" s="2"/>
      <c r="P60" s="10"/>
      <c r="Q60" s="14" t="str">
        <f t="shared" si="7"/>
        <v>...</v>
      </c>
      <c r="R60" s="12" t="str">
        <f t="shared" si="8"/>
        <v/>
      </c>
      <c r="S60" s="10" t="str">
        <f t="shared" si="9"/>
        <v>...</v>
      </c>
      <c r="T60" s="10" t="str">
        <f t="shared" si="10"/>
        <v>...</v>
      </c>
      <c r="U60" s="12" t="str">
        <f t="shared" si="11"/>
        <v>...</v>
      </c>
      <c r="V60" s="10" t="str">
        <f t="shared" si="12"/>
        <v>...</v>
      </c>
      <c r="W60" s="2"/>
      <c r="X60" s="2"/>
      <c r="Y60" s="2"/>
      <c r="Z60" s="2"/>
      <c r="AA60" s="2"/>
      <c r="AB60" s="2"/>
      <c r="AC60" s="15"/>
      <c r="AD60" s="15"/>
      <c r="AE60" s="2"/>
    </row>
    <row r="61" ht="24.0" customHeight="1">
      <c r="A61" s="4" t="s">
        <v>20</v>
      </c>
      <c r="B61" s="4" t="s">
        <v>43</v>
      </c>
      <c r="C61" s="5">
        <v>45337.0</v>
      </c>
      <c r="D61" s="6" t="s">
        <v>22</v>
      </c>
      <c r="E61" s="7"/>
      <c r="F61" s="8">
        <f t="shared" si="1"/>
        <v>780</v>
      </c>
      <c r="G61" s="6">
        <v>105.6</v>
      </c>
      <c r="H61" s="9">
        <v>0.9462</v>
      </c>
      <c r="I61" s="10" t="str">
        <f t="shared" si="2"/>
        <v>-</v>
      </c>
      <c r="J61" s="11">
        <v>0.8866</v>
      </c>
      <c r="K61" s="10">
        <f t="shared" si="3"/>
        <v>99.91872</v>
      </c>
      <c r="L61" s="10">
        <f t="shared" si="4"/>
        <v>93.62496</v>
      </c>
      <c r="M61" s="12">
        <f t="shared" si="5"/>
        <v>-0.06298879729</v>
      </c>
      <c r="N61" s="16">
        <f t="shared" si="6"/>
        <v>-6.29376</v>
      </c>
      <c r="O61" s="2"/>
      <c r="P61" s="10"/>
      <c r="Q61" s="14" t="str">
        <f t="shared" si="7"/>
        <v>...</v>
      </c>
      <c r="R61" s="12" t="str">
        <f t="shared" si="8"/>
        <v/>
      </c>
      <c r="S61" s="10" t="str">
        <f t="shared" si="9"/>
        <v>...</v>
      </c>
      <c r="T61" s="10" t="str">
        <f t="shared" si="10"/>
        <v>...</v>
      </c>
      <c r="U61" s="12" t="str">
        <f t="shared" si="11"/>
        <v>...</v>
      </c>
      <c r="V61" s="10" t="str">
        <f t="shared" si="12"/>
        <v>...</v>
      </c>
      <c r="W61" s="2"/>
      <c r="X61" s="2"/>
      <c r="Y61" s="2"/>
      <c r="Z61" s="2"/>
      <c r="AA61" s="2"/>
      <c r="AB61" s="2"/>
      <c r="AC61" s="15"/>
      <c r="AD61" s="15"/>
      <c r="AE61" s="2"/>
    </row>
    <row r="62" ht="24.0" customHeight="1">
      <c r="A62" s="4" t="s">
        <v>20</v>
      </c>
      <c r="B62" s="4" t="s">
        <v>45</v>
      </c>
      <c r="C62" s="5">
        <v>45337.0</v>
      </c>
      <c r="D62" s="6" t="s">
        <v>22</v>
      </c>
      <c r="E62" s="7"/>
      <c r="F62" s="8">
        <f t="shared" si="1"/>
        <v>780</v>
      </c>
      <c r="G62" s="6">
        <v>4.99</v>
      </c>
      <c r="H62" s="9">
        <v>20.004</v>
      </c>
      <c r="I62" s="10" t="str">
        <f t="shared" si="2"/>
        <v>-</v>
      </c>
      <c r="J62" s="11">
        <v>17.243</v>
      </c>
      <c r="K62" s="10">
        <f t="shared" si="3"/>
        <v>99.81996</v>
      </c>
      <c r="L62" s="10">
        <f t="shared" si="4"/>
        <v>86.04257</v>
      </c>
      <c r="M62" s="12">
        <f t="shared" si="5"/>
        <v>-0.1380223955</v>
      </c>
      <c r="N62" s="16">
        <f t="shared" si="6"/>
        <v>-13.77739</v>
      </c>
      <c r="O62" s="2"/>
      <c r="P62" s="10"/>
      <c r="Q62" s="14" t="str">
        <f t="shared" si="7"/>
        <v>...</v>
      </c>
      <c r="R62" s="12" t="str">
        <f t="shared" si="8"/>
        <v/>
      </c>
      <c r="S62" s="10" t="str">
        <f t="shared" si="9"/>
        <v>...</v>
      </c>
      <c r="T62" s="10" t="str">
        <f t="shared" si="10"/>
        <v>...</v>
      </c>
      <c r="U62" s="12" t="str">
        <f t="shared" si="11"/>
        <v>...</v>
      </c>
      <c r="V62" s="10" t="str">
        <f t="shared" si="12"/>
        <v>...</v>
      </c>
      <c r="W62" s="2"/>
      <c r="X62" s="2"/>
      <c r="Y62" s="2"/>
      <c r="Z62" s="2"/>
      <c r="AA62" s="2"/>
      <c r="AB62" s="2"/>
      <c r="AC62" s="15"/>
      <c r="AD62" s="15"/>
      <c r="AE62" s="2"/>
    </row>
    <row r="63" ht="24.0" customHeight="1">
      <c r="A63" s="4" t="s">
        <v>20</v>
      </c>
      <c r="B63" s="4" t="s">
        <v>43</v>
      </c>
      <c r="C63" s="5">
        <v>45341.0</v>
      </c>
      <c r="D63" s="6" t="s">
        <v>22</v>
      </c>
      <c r="E63" s="7"/>
      <c r="F63" s="8">
        <f t="shared" si="1"/>
        <v>776</v>
      </c>
      <c r="G63" s="6">
        <v>109.7</v>
      </c>
      <c r="H63" s="9">
        <v>0.9111</v>
      </c>
      <c r="I63" s="10" t="str">
        <f t="shared" si="2"/>
        <v>-</v>
      </c>
      <c r="J63" s="11">
        <v>0.8866</v>
      </c>
      <c r="K63" s="10">
        <f t="shared" si="3"/>
        <v>99.94767</v>
      </c>
      <c r="L63" s="10">
        <f t="shared" si="4"/>
        <v>97.26002</v>
      </c>
      <c r="M63" s="12">
        <f t="shared" si="5"/>
        <v>-0.02689057184</v>
      </c>
      <c r="N63" s="16">
        <f t="shared" si="6"/>
        <v>-2.68765</v>
      </c>
      <c r="O63" s="2"/>
      <c r="P63" s="10"/>
      <c r="Q63" s="14" t="str">
        <f t="shared" si="7"/>
        <v>...</v>
      </c>
      <c r="R63" s="12" t="str">
        <f t="shared" si="8"/>
        <v/>
      </c>
      <c r="S63" s="10" t="str">
        <f t="shared" si="9"/>
        <v>...</v>
      </c>
      <c r="T63" s="10" t="str">
        <f t="shared" si="10"/>
        <v>...</v>
      </c>
      <c r="U63" s="12" t="str">
        <f t="shared" si="11"/>
        <v>...</v>
      </c>
      <c r="V63" s="10" t="str">
        <f t="shared" si="12"/>
        <v>...</v>
      </c>
      <c r="W63" s="2"/>
      <c r="X63" s="2"/>
      <c r="Y63" s="2"/>
      <c r="Z63" s="2"/>
      <c r="AA63" s="2"/>
      <c r="AB63" s="2"/>
      <c r="AC63" s="15"/>
      <c r="AD63" s="15"/>
      <c r="AE63" s="2"/>
    </row>
    <row r="64" ht="24.0" customHeight="1">
      <c r="A64" s="4" t="s">
        <v>20</v>
      </c>
      <c r="B64" s="4" t="s">
        <v>26</v>
      </c>
      <c r="C64" s="5">
        <v>45341.0</v>
      </c>
      <c r="D64" s="6" t="s">
        <v>22</v>
      </c>
      <c r="E64" s="7"/>
      <c r="F64" s="8">
        <f t="shared" si="1"/>
        <v>776</v>
      </c>
      <c r="G64" s="6">
        <v>2.55</v>
      </c>
      <c r="H64" s="9">
        <v>39.21</v>
      </c>
      <c r="I64" s="10" t="str">
        <f t="shared" si="2"/>
        <v>-</v>
      </c>
      <c r="J64" s="11">
        <v>54.7</v>
      </c>
      <c r="K64" s="10">
        <f t="shared" si="3"/>
        <v>99.9855</v>
      </c>
      <c r="L64" s="10">
        <f t="shared" si="4"/>
        <v>139.485</v>
      </c>
      <c r="M64" s="12">
        <f t="shared" si="5"/>
        <v>0.3950522826</v>
      </c>
      <c r="N64" s="16">
        <f t="shared" si="6"/>
        <v>39.4995</v>
      </c>
      <c r="O64" s="2"/>
      <c r="P64" s="10"/>
      <c r="Q64" s="14" t="str">
        <f t="shared" si="7"/>
        <v>...</v>
      </c>
      <c r="R64" s="12" t="str">
        <f t="shared" si="8"/>
        <v/>
      </c>
      <c r="S64" s="10" t="str">
        <f t="shared" si="9"/>
        <v>...</v>
      </c>
      <c r="T64" s="10" t="str">
        <f t="shared" si="10"/>
        <v>...</v>
      </c>
      <c r="U64" s="12" t="str">
        <f t="shared" si="11"/>
        <v>...</v>
      </c>
      <c r="V64" s="10" t="str">
        <f t="shared" si="12"/>
        <v>...</v>
      </c>
      <c r="W64" s="2"/>
      <c r="X64" s="2"/>
      <c r="Y64" s="2"/>
      <c r="Z64" s="2"/>
      <c r="AA64" s="2"/>
      <c r="AB64" s="2"/>
      <c r="AC64" s="15"/>
      <c r="AD64" s="15"/>
      <c r="AE64" s="2"/>
    </row>
    <row r="65" ht="24.0" customHeight="1">
      <c r="A65" s="4" t="s">
        <v>20</v>
      </c>
      <c r="B65" s="4" t="s">
        <v>31</v>
      </c>
      <c r="C65" s="5">
        <v>45341.0</v>
      </c>
      <c r="D65" s="6" t="s">
        <v>22</v>
      </c>
      <c r="E65" s="7"/>
      <c r="F65" s="8">
        <f t="shared" si="1"/>
        <v>776</v>
      </c>
      <c r="G65" s="6">
        <v>237.5</v>
      </c>
      <c r="H65" s="9">
        <v>0.6314</v>
      </c>
      <c r="I65" s="10" t="str">
        <f t="shared" si="2"/>
        <v>-</v>
      </c>
      <c r="J65" s="11">
        <v>0.7614</v>
      </c>
      <c r="K65" s="10">
        <f t="shared" si="3"/>
        <v>149.9575</v>
      </c>
      <c r="L65" s="10">
        <f t="shared" si="4"/>
        <v>180.8325</v>
      </c>
      <c r="M65" s="12">
        <f t="shared" si="5"/>
        <v>0.2058916693</v>
      </c>
      <c r="N65" s="16">
        <f t="shared" si="6"/>
        <v>30.875</v>
      </c>
      <c r="O65" s="2"/>
      <c r="P65" s="10"/>
      <c r="Q65" s="14" t="str">
        <f t="shared" si="7"/>
        <v>...</v>
      </c>
      <c r="R65" s="12" t="str">
        <f t="shared" si="8"/>
        <v/>
      </c>
      <c r="S65" s="10" t="str">
        <f t="shared" si="9"/>
        <v>...</v>
      </c>
      <c r="T65" s="10" t="str">
        <f t="shared" si="10"/>
        <v>...</v>
      </c>
      <c r="U65" s="12" t="str">
        <f t="shared" si="11"/>
        <v>...</v>
      </c>
      <c r="V65" s="10" t="str">
        <f t="shared" si="12"/>
        <v>...</v>
      </c>
      <c r="W65" s="2"/>
      <c r="X65" s="2"/>
      <c r="Y65" s="2"/>
      <c r="Z65" s="2"/>
      <c r="AA65" s="2"/>
      <c r="AB65" s="2"/>
      <c r="AC65" s="15"/>
      <c r="AD65" s="15"/>
      <c r="AE65" s="2"/>
    </row>
    <row r="66" ht="24.0" customHeight="1">
      <c r="A66" s="4" t="s">
        <v>20</v>
      </c>
      <c r="B66" s="4" t="s">
        <v>25</v>
      </c>
      <c r="C66" s="5">
        <v>45341.0</v>
      </c>
      <c r="D66" s="6" t="s">
        <v>22</v>
      </c>
      <c r="E66" s="7"/>
      <c r="F66" s="8">
        <f t="shared" si="1"/>
        <v>776</v>
      </c>
      <c r="G66" s="6">
        <v>19.17</v>
      </c>
      <c r="H66" s="9">
        <v>7.823</v>
      </c>
      <c r="I66" s="10" t="str">
        <f t="shared" si="2"/>
        <v>-</v>
      </c>
      <c r="J66" s="11">
        <v>11.011</v>
      </c>
      <c r="K66" s="10">
        <f t="shared" si="3"/>
        <v>149.96691</v>
      </c>
      <c r="L66" s="10">
        <f t="shared" si="4"/>
        <v>211.08087</v>
      </c>
      <c r="M66" s="12">
        <f t="shared" si="5"/>
        <v>0.4075162981</v>
      </c>
      <c r="N66" s="16">
        <f t="shared" si="6"/>
        <v>61.11396</v>
      </c>
      <c r="O66" s="2"/>
      <c r="P66" s="10"/>
      <c r="Q66" s="14" t="str">
        <f t="shared" si="7"/>
        <v>...</v>
      </c>
      <c r="R66" s="12" t="str">
        <f t="shared" si="8"/>
        <v/>
      </c>
      <c r="S66" s="10" t="str">
        <f t="shared" si="9"/>
        <v>...</v>
      </c>
      <c r="T66" s="10" t="str">
        <f t="shared" si="10"/>
        <v>...</v>
      </c>
      <c r="U66" s="12" t="str">
        <f t="shared" si="11"/>
        <v>...</v>
      </c>
      <c r="V66" s="10" t="str">
        <f t="shared" si="12"/>
        <v>...</v>
      </c>
      <c r="W66" s="2"/>
      <c r="X66" s="2"/>
      <c r="Y66" s="2"/>
      <c r="Z66" s="2"/>
      <c r="AA66" s="2"/>
      <c r="AB66" s="2"/>
      <c r="AC66" s="15"/>
      <c r="AD66" s="15"/>
      <c r="AE66" s="2"/>
    </row>
    <row r="67" ht="24.0" customHeight="1">
      <c r="A67" s="4" t="s">
        <v>20</v>
      </c>
      <c r="B67" s="4" t="s">
        <v>27</v>
      </c>
      <c r="C67" s="5">
        <v>45342.0</v>
      </c>
      <c r="D67" s="6" t="s">
        <v>22</v>
      </c>
      <c r="E67" s="7"/>
      <c r="F67" s="8">
        <f t="shared" si="1"/>
        <v>775</v>
      </c>
      <c r="G67" s="6">
        <v>0.46</v>
      </c>
      <c r="H67" s="9">
        <v>107.16</v>
      </c>
      <c r="I67" s="10" t="str">
        <f t="shared" si="2"/>
        <v>-</v>
      </c>
      <c r="J67" s="11">
        <v>131.68</v>
      </c>
      <c r="K67" s="10">
        <f t="shared" si="3"/>
        <v>49.2936</v>
      </c>
      <c r="L67" s="10">
        <f t="shared" si="4"/>
        <v>60.5728</v>
      </c>
      <c r="M67" s="12">
        <f t="shared" si="5"/>
        <v>0.2288167227</v>
      </c>
      <c r="N67" s="16">
        <f t="shared" si="6"/>
        <v>11.2792</v>
      </c>
      <c r="O67" s="2"/>
      <c r="P67" s="10"/>
      <c r="Q67" s="14" t="str">
        <f t="shared" si="7"/>
        <v>...</v>
      </c>
      <c r="R67" s="12" t="str">
        <f t="shared" si="8"/>
        <v/>
      </c>
      <c r="S67" s="10" t="str">
        <f t="shared" si="9"/>
        <v>...</v>
      </c>
      <c r="T67" s="10" t="str">
        <f t="shared" si="10"/>
        <v>...</v>
      </c>
      <c r="U67" s="12" t="str">
        <f t="shared" si="11"/>
        <v>...</v>
      </c>
      <c r="V67" s="10" t="str">
        <f t="shared" si="12"/>
        <v>...</v>
      </c>
      <c r="W67" s="2"/>
      <c r="X67" s="2"/>
      <c r="Y67" s="2"/>
      <c r="Z67" s="2"/>
      <c r="AA67" s="2"/>
      <c r="AB67" s="2"/>
      <c r="AC67" s="15"/>
      <c r="AD67" s="15"/>
      <c r="AE67" s="2"/>
    </row>
    <row r="68" ht="24.0" customHeight="1">
      <c r="A68" s="4" t="s">
        <v>20</v>
      </c>
      <c r="B68" s="4" t="s">
        <v>27</v>
      </c>
      <c r="C68" s="5">
        <v>45343.0</v>
      </c>
      <c r="D68" s="6" t="s">
        <v>22</v>
      </c>
      <c r="E68" s="7"/>
      <c r="F68" s="8">
        <f t="shared" si="1"/>
        <v>774</v>
      </c>
      <c r="G68" s="6">
        <v>1.9</v>
      </c>
      <c r="H68" s="9">
        <v>102.55</v>
      </c>
      <c r="I68" s="10" t="str">
        <f t="shared" si="2"/>
        <v>-</v>
      </c>
      <c r="J68" s="11">
        <v>131.68</v>
      </c>
      <c r="K68" s="10">
        <f t="shared" si="3"/>
        <v>194.845</v>
      </c>
      <c r="L68" s="10">
        <f t="shared" si="4"/>
        <v>250.192</v>
      </c>
      <c r="M68" s="12">
        <f t="shared" si="5"/>
        <v>0.2840565578</v>
      </c>
      <c r="N68" s="16">
        <f t="shared" si="6"/>
        <v>55.347</v>
      </c>
      <c r="O68" s="2"/>
      <c r="P68" s="10"/>
      <c r="Q68" s="14" t="str">
        <f t="shared" si="7"/>
        <v>...</v>
      </c>
      <c r="R68" s="12" t="str">
        <f t="shared" si="8"/>
        <v/>
      </c>
      <c r="S68" s="10" t="str">
        <f t="shared" si="9"/>
        <v>...</v>
      </c>
      <c r="T68" s="10" t="str">
        <f t="shared" si="10"/>
        <v>...</v>
      </c>
      <c r="U68" s="12" t="str">
        <f t="shared" si="11"/>
        <v>...</v>
      </c>
      <c r="V68" s="10" t="str">
        <f t="shared" si="12"/>
        <v>...</v>
      </c>
      <c r="W68" s="2"/>
      <c r="X68" s="2"/>
      <c r="Y68" s="2"/>
      <c r="Z68" s="2"/>
      <c r="AA68" s="2"/>
      <c r="AB68" s="2"/>
      <c r="AC68" s="15"/>
      <c r="AD68" s="15"/>
      <c r="AE68" s="2"/>
    </row>
    <row r="69" ht="24.0" customHeight="1">
      <c r="A69" s="4" t="s">
        <v>20</v>
      </c>
      <c r="B69" s="4" t="s">
        <v>48</v>
      </c>
      <c r="C69" s="5">
        <v>45362.0</v>
      </c>
      <c r="D69" s="6" t="s">
        <v>22</v>
      </c>
      <c r="E69" s="7"/>
      <c r="F69" s="8">
        <f t="shared" si="1"/>
        <v>755</v>
      </c>
      <c r="G69" s="6">
        <v>2898559.0</v>
      </c>
      <c r="H69" s="27">
        <v>3.45E-5</v>
      </c>
      <c r="I69" s="28" t="str">
        <f t="shared" si="2"/>
        <v>-</v>
      </c>
      <c r="J69" s="29" t="str">
        <f>IF(B69=0,"...",IF(D69="CERRADA","Valor Venta",I69*(1-VLOOKUP(A69,Config!$B$3:$C$22,2,FALSE))))</f>
        <v>Valor Venta</v>
      </c>
      <c r="K69" s="10">
        <f t="shared" si="3"/>
        <v>100.0002855</v>
      </c>
      <c r="L69" s="10" t="str">
        <f t="shared" si="4"/>
        <v>#VALUE!</v>
      </c>
      <c r="M69" s="12" t="str">
        <f t="shared" si="5"/>
        <v>#VALUE!</v>
      </c>
      <c r="N69" s="13" t="str">
        <f t="shared" si="6"/>
        <v>#VALUE!</v>
      </c>
      <c r="O69" s="2"/>
      <c r="P69" s="10"/>
      <c r="Q69" s="14" t="str">
        <f t="shared" si="7"/>
        <v>...</v>
      </c>
      <c r="R69" s="12" t="str">
        <f t="shared" si="8"/>
        <v/>
      </c>
      <c r="S69" s="10" t="str">
        <f t="shared" si="9"/>
        <v>...</v>
      </c>
      <c r="T69" s="10" t="str">
        <f t="shared" si="10"/>
        <v>...</v>
      </c>
      <c r="U69" s="12" t="str">
        <f t="shared" si="11"/>
        <v>...</v>
      </c>
      <c r="V69" s="10" t="str">
        <f t="shared" si="12"/>
        <v>...</v>
      </c>
      <c r="W69" s="2"/>
      <c r="X69" s="2"/>
      <c r="Y69" s="2"/>
      <c r="Z69" s="2"/>
      <c r="AA69" s="2"/>
      <c r="AB69" s="2"/>
      <c r="AC69" s="15"/>
      <c r="AD69" s="15"/>
      <c r="AE69" s="2"/>
    </row>
    <row r="70" ht="24.0" customHeight="1">
      <c r="A70" s="4" t="s">
        <v>20</v>
      </c>
      <c r="B70" s="4" t="s">
        <v>41</v>
      </c>
      <c r="C70" s="5">
        <v>45362.0</v>
      </c>
      <c r="D70" s="6" t="s">
        <v>22</v>
      </c>
      <c r="E70" s="7"/>
      <c r="F70" s="8">
        <f t="shared" si="1"/>
        <v>755</v>
      </c>
      <c r="G70" s="6">
        <v>8.1</v>
      </c>
      <c r="H70" s="9">
        <v>12.342</v>
      </c>
      <c r="I70" s="10" t="str">
        <f t="shared" si="2"/>
        <v>-</v>
      </c>
      <c r="J70" s="11">
        <v>10.092</v>
      </c>
      <c r="K70" s="10">
        <f t="shared" si="3"/>
        <v>99.9702</v>
      </c>
      <c r="L70" s="10">
        <f t="shared" si="4"/>
        <v>81.7452</v>
      </c>
      <c r="M70" s="12">
        <f t="shared" si="5"/>
        <v>-0.1823043267</v>
      </c>
      <c r="N70" s="16">
        <f t="shared" si="6"/>
        <v>-18.225</v>
      </c>
      <c r="O70" s="2"/>
      <c r="P70" s="10"/>
      <c r="Q70" s="14" t="str">
        <f t="shared" si="7"/>
        <v>...</v>
      </c>
      <c r="R70" s="12" t="str">
        <f t="shared" si="8"/>
        <v/>
      </c>
      <c r="S70" s="10" t="str">
        <f t="shared" si="9"/>
        <v>...</v>
      </c>
      <c r="T70" s="10" t="str">
        <f t="shared" si="10"/>
        <v>...</v>
      </c>
      <c r="U70" s="12" t="str">
        <f t="shared" si="11"/>
        <v>...</v>
      </c>
      <c r="V70" s="10" t="str">
        <f t="shared" si="12"/>
        <v>...</v>
      </c>
      <c r="W70" s="2"/>
      <c r="X70" s="2"/>
      <c r="Y70" s="2"/>
      <c r="Z70" s="2"/>
      <c r="AA70" s="2"/>
      <c r="AB70" s="2"/>
      <c r="AC70" s="15"/>
      <c r="AD70" s="15"/>
      <c r="AE70" s="2"/>
    </row>
    <row r="71" ht="24.0" customHeight="1">
      <c r="A71" s="4" t="s">
        <v>20</v>
      </c>
      <c r="B71" s="4" t="s">
        <v>33</v>
      </c>
      <c r="C71" s="5">
        <v>45362.0</v>
      </c>
      <c r="D71" s="6" t="s">
        <v>22</v>
      </c>
      <c r="E71" s="7"/>
      <c r="F71" s="8">
        <f t="shared" si="1"/>
        <v>755</v>
      </c>
      <c r="G71" s="6">
        <v>128.0</v>
      </c>
      <c r="H71" s="9">
        <v>0.7795</v>
      </c>
      <c r="I71" s="10" t="str">
        <f t="shared" si="2"/>
        <v>-</v>
      </c>
      <c r="J71" s="11">
        <v>0.3532</v>
      </c>
      <c r="K71" s="10">
        <f t="shared" si="3"/>
        <v>99.776</v>
      </c>
      <c r="L71" s="10">
        <f t="shared" si="4"/>
        <v>45.2096</v>
      </c>
      <c r="M71" s="12">
        <f t="shared" si="5"/>
        <v>-0.5468890314</v>
      </c>
      <c r="N71" s="16">
        <f t="shared" si="6"/>
        <v>-54.5664</v>
      </c>
      <c r="O71" s="2"/>
      <c r="P71" s="10"/>
      <c r="Q71" s="14" t="str">
        <f t="shared" si="7"/>
        <v>...</v>
      </c>
      <c r="R71" s="12" t="str">
        <f t="shared" si="8"/>
        <v/>
      </c>
      <c r="S71" s="10" t="str">
        <f t="shared" si="9"/>
        <v>...</v>
      </c>
      <c r="T71" s="10" t="str">
        <f t="shared" si="10"/>
        <v>...</v>
      </c>
      <c r="U71" s="12" t="str">
        <f t="shared" si="11"/>
        <v>...</v>
      </c>
      <c r="V71" s="10" t="str">
        <f t="shared" si="12"/>
        <v>...</v>
      </c>
      <c r="W71" s="2"/>
      <c r="X71" s="2"/>
      <c r="Y71" s="2"/>
      <c r="Z71" s="2"/>
      <c r="AA71" s="2"/>
      <c r="AB71" s="2"/>
      <c r="AC71" s="15"/>
      <c r="AD71" s="15"/>
      <c r="AE71" s="2"/>
    </row>
    <row r="72" ht="24.0" customHeight="1">
      <c r="A72" s="4" t="s">
        <v>20</v>
      </c>
      <c r="B72" s="4" t="s">
        <v>51</v>
      </c>
      <c r="C72" s="5">
        <v>45362.0</v>
      </c>
      <c r="D72" s="6" t="s">
        <v>22</v>
      </c>
      <c r="E72" s="17">
        <v>45547.0</v>
      </c>
      <c r="F72" s="8">
        <f t="shared" si="1"/>
        <v>185</v>
      </c>
      <c r="G72" s="6">
        <v>0.733</v>
      </c>
      <c r="H72" s="9">
        <v>136.37</v>
      </c>
      <c r="I72" s="10" t="str">
        <f t="shared" si="2"/>
        <v>-</v>
      </c>
      <c r="J72" s="11">
        <v>145.38</v>
      </c>
      <c r="K72" s="10">
        <f t="shared" si="3"/>
        <v>99.95921</v>
      </c>
      <c r="L72" s="10">
        <f t="shared" si="4"/>
        <v>106.56354</v>
      </c>
      <c r="M72" s="12">
        <f t="shared" si="5"/>
        <v>0.06607025005</v>
      </c>
      <c r="N72" s="16">
        <f t="shared" si="6"/>
        <v>6.60433</v>
      </c>
      <c r="O72" s="2"/>
      <c r="P72" s="10"/>
      <c r="Q72" s="14" t="str">
        <f t="shared" si="7"/>
        <v>...</v>
      </c>
      <c r="R72" s="12" t="str">
        <f t="shared" si="8"/>
        <v/>
      </c>
      <c r="S72" s="10" t="str">
        <f t="shared" si="9"/>
        <v>...</v>
      </c>
      <c r="T72" s="10" t="str">
        <f t="shared" si="10"/>
        <v>...</v>
      </c>
      <c r="U72" s="12" t="str">
        <f t="shared" si="11"/>
        <v>...</v>
      </c>
      <c r="V72" s="10" t="str">
        <f t="shared" si="12"/>
        <v>...</v>
      </c>
      <c r="W72" s="2"/>
      <c r="X72" s="2"/>
      <c r="Y72" s="2"/>
      <c r="Z72" s="2"/>
      <c r="AA72" s="2"/>
      <c r="AB72" s="2"/>
      <c r="AC72" s="15"/>
      <c r="AD72" s="15"/>
      <c r="AE72" s="2"/>
    </row>
    <row r="73" ht="24.0" customHeight="1">
      <c r="A73" s="4" t="s">
        <v>20</v>
      </c>
      <c r="B73" s="4" t="s">
        <v>21</v>
      </c>
      <c r="C73" s="5">
        <v>45362.0</v>
      </c>
      <c r="D73" s="6" t="s">
        <v>22</v>
      </c>
      <c r="E73" s="7"/>
      <c r="F73" s="8">
        <f t="shared" si="1"/>
        <v>755</v>
      </c>
      <c r="G73" s="6">
        <v>0.0034</v>
      </c>
      <c r="H73" s="9">
        <v>72294.42</v>
      </c>
      <c r="I73" s="10" t="str">
        <f t="shared" si="2"/>
        <v>-</v>
      </c>
      <c r="J73" s="11" t="str">
        <f>IF(B73=0,"...",IF(D73="CERRADA","Valor Venta",I73*(1-VLOOKUP(A73,Config!$B$3:$C$22,2,FALSE))))</f>
        <v>Valor Venta</v>
      </c>
      <c r="K73" s="10">
        <f t="shared" si="3"/>
        <v>245.801028</v>
      </c>
      <c r="L73" s="10" t="str">
        <f t="shared" si="4"/>
        <v>#VALUE!</v>
      </c>
      <c r="M73" s="12" t="str">
        <f t="shared" si="5"/>
        <v>#VALUE!</v>
      </c>
      <c r="N73" s="13" t="str">
        <f t="shared" si="6"/>
        <v>#VALUE!</v>
      </c>
      <c r="O73" s="2"/>
      <c r="P73" s="10"/>
      <c r="Q73" s="14" t="str">
        <f t="shared" si="7"/>
        <v>...</v>
      </c>
      <c r="R73" s="12" t="str">
        <f t="shared" si="8"/>
        <v/>
      </c>
      <c r="S73" s="10" t="str">
        <f t="shared" si="9"/>
        <v>...</v>
      </c>
      <c r="T73" s="10" t="str">
        <f t="shared" si="10"/>
        <v>...</v>
      </c>
      <c r="U73" s="12" t="str">
        <f t="shared" si="11"/>
        <v>...</v>
      </c>
      <c r="V73" s="10" t="str">
        <f t="shared" si="12"/>
        <v>...</v>
      </c>
      <c r="W73" s="2"/>
      <c r="X73" s="2"/>
      <c r="Y73" s="2"/>
      <c r="Z73" s="2"/>
      <c r="AA73" s="2"/>
      <c r="AB73" s="2"/>
      <c r="AC73" s="15"/>
      <c r="AD73" s="15"/>
      <c r="AE73" s="2"/>
    </row>
    <row r="74" ht="24.0" customHeight="1">
      <c r="A74" s="4" t="s">
        <v>20</v>
      </c>
      <c r="B74" s="4" t="s">
        <v>52</v>
      </c>
      <c r="C74" s="5">
        <v>45364.0</v>
      </c>
      <c r="D74" s="6" t="s">
        <v>22</v>
      </c>
      <c r="E74" s="17">
        <v>45547.0</v>
      </c>
      <c r="F74" s="8">
        <f t="shared" si="1"/>
        <v>183</v>
      </c>
      <c r="G74" s="6">
        <v>758.0</v>
      </c>
      <c r="H74" s="9">
        <v>0.13191</v>
      </c>
      <c r="I74" s="10" t="str">
        <f t="shared" si="2"/>
        <v>-</v>
      </c>
      <c r="J74" s="11">
        <v>0.152</v>
      </c>
      <c r="K74" s="10">
        <f t="shared" si="3"/>
        <v>99.98778</v>
      </c>
      <c r="L74" s="10">
        <f t="shared" si="4"/>
        <v>115.216</v>
      </c>
      <c r="M74" s="12">
        <f t="shared" si="5"/>
        <v>0.1523008112</v>
      </c>
      <c r="N74" s="16">
        <f t="shared" si="6"/>
        <v>15.22822</v>
      </c>
      <c r="O74" s="2"/>
      <c r="P74" s="10"/>
      <c r="Q74" s="14" t="str">
        <f t="shared" si="7"/>
        <v>...</v>
      </c>
      <c r="R74" s="12" t="str">
        <f t="shared" si="8"/>
        <v/>
      </c>
      <c r="S74" s="10" t="str">
        <f t="shared" si="9"/>
        <v>...</v>
      </c>
      <c r="T74" s="10" t="str">
        <f t="shared" si="10"/>
        <v>...</v>
      </c>
      <c r="U74" s="12" t="str">
        <f t="shared" si="11"/>
        <v>...</v>
      </c>
      <c r="V74" s="10" t="str">
        <f t="shared" si="12"/>
        <v>...</v>
      </c>
      <c r="W74" s="2"/>
      <c r="X74" s="2"/>
      <c r="Y74" s="2"/>
      <c r="Z74" s="2"/>
      <c r="AA74" s="2"/>
      <c r="AB74" s="2"/>
      <c r="AC74" s="15"/>
      <c r="AD74" s="15"/>
      <c r="AE74" s="2"/>
    </row>
    <row r="75" ht="24.0" customHeight="1">
      <c r="A75" s="4" t="s">
        <v>20</v>
      </c>
      <c r="B75" s="4" t="s">
        <v>35</v>
      </c>
      <c r="C75" s="5">
        <v>45364.0</v>
      </c>
      <c r="D75" s="6" t="s">
        <v>22</v>
      </c>
      <c r="E75" s="7"/>
      <c r="F75" s="8">
        <f t="shared" si="1"/>
        <v>753</v>
      </c>
      <c r="G75" s="6">
        <v>7.05</v>
      </c>
      <c r="H75" s="9">
        <v>14.172</v>
      </c>
      <c r="I75" s="10" t="str">
        <f t="shared" si="2"/>
        <v>-</v>
      </c>
      <c r="J75" s="11" t="str">
        <f>IF(B75=0,"...",IF(D75="CERRADA","Valor Venta",I75*(1-VLOOKUP(A75,Config!$B$3:$C$22,2,FALSE))))</f>
        <v>Valor Venta</v>
      </c>
      <c r="K75" s="10">
        <f t="shared" si="3"/>
        <v>99.9126</v>
      </c>
      <c r="L75" s="10" t="str">
        <f t="shared" si="4"/>
        <v>#VALUE!</v>
      </c>
      <c r="M75" s="12" t="str">
        <f t="shared" si="5"/>
        <v>#VALUE!</v>
      </c>
      <c r="N75" s="13" t="str">
        <f t="shared" si="6"/>
        <v>#VALUE!</v>
      </c>
      <c r="O75" s="2"/>
      <c r="P75" s="10"/>
      <c r="Q75" s="14" t="str">
        <f t="shared" si="7"/>
        <v>...</v>
      </c>
      <c r="R75" s="12" t="str">
        <f t="shared" si="8"/>
        <v/>
      </c>
      <c r="S75" s="10" t="str">
        <f t="shared" si="9"/>
        <v>...</v>
      </c>
      <c r="T75" s="10" t="str">
        <f t="shared" si="10"/>
        <v>...</v>
      </c>
      <c r="U75" s="12" t="str">
        <f t="shared" si="11"/>
        <v>...</v>
      </c>
      <c r="V75" s="10" t="str">
        <f t="shared" si="12"/>
        <v>...</v>
      </c>
      <c r="W75" s="2"/>
      <c r="X75" s="2"/>
      <c r="Y75" s="2"/>
      <c r="Z75" s="2"/>
      <c r="AA75" s="2"/>
      <c r="AB75" s="2"/>
      <c r="AC75" s="15"/>
      <c r="AD75" s="15"/>
      <c r="AE75" s="2"/>
    </row>
    <row r="76" ht="24.0" customHeight="1">
      <c r="A76" s="4" t="s">
        <v>20</v>
      </c>
      <c r="B76" s="4" t="s">
        <v>21</v>
      </c>
      <c r="C76" s="5">
        <v>45365.0</v>
      </c>
      <c r="D76" s="6" t="s">
        <v>24</v>
      </c>
      <c r="E76" s="7"/>
      <c r="F76" s="8">
        <f t="shared" si="1"/>
        <v>752</v>
      </c>
      <c r="G76" s="6">
        <v>0.00137</v>
      </c>
      <c r="H76" s="9">
        <v>72733.39</v>
      </c>
      <c r="I76" s="10">
        <f t="shared" si="2"/>
        <v>66948.35</v>
      </c>
      <c r="J76" s="11">
        <f>IF(B76=0,"...",IF(D76="CERRADA","Valor Venta",I76*(1-VLOOKUP(A76,Config!$B$3:$C$22,2,FALSE))))</f>
        <v>66462.30498</v>
      </c>
      <c r="K76" s="10">
        <f t="shared" si="3"/>
        <v>99.6447443</v>
      </c>
      <c r="L76" s="10">
        <f t="shared" si="4"/>
        <v>91.05335782</v>
      </c>
      <c r="M76" s="12">
        <f t="shared" si="5"/>
        <v>-0.08622016684</v>
      </c>
      <c r="N76" s="16">
        <f t="shared" si="6"/>
        <v>-8.591386479</v>
      </c>
      <c r="O76" s="2"/>
      <c r="P76" s="10"/>
      <c r="Q76" s="14" t="str">
        <f t="shared" si="7"/>
        <v>...</v>
      </c>
      <c r="R76" s="12" t="str">
        <f t="shared" si="8"/>
        <v/>
      </c>
      <c r="S76" s="10" t="str">
        <f t="shared" si="9"/>
        <v>...</v>
      </c>
      <c r="T76" s="10" t="str">
        <f t="shared" si="10"/>
        <v>...</v>
      </c>
      <c r="U76" s="12" t="str">
        <f t="shared" si="11"/>
        <v>...</v>
      </c>
      <c r="V76" s="10" t="str">
        <f t="shared" si="12"/>
        <v>...</v>
      </c>
      <c r="W76" s="2"/>
      <c r="X76" s="2"/>
      <c r="Y76" s="2"/>
      <c r="Z76" s="2"/>
      <c r="AA76" s="2"/>
      <c r="AB76" s="2"/>
      <c r="AC76" s="15"/>
      <c r="AD76" s="15"/>
      <c r="AE76" s="2"/>
    </row>
    <row r="77" ht="24.0" customHeight="1">
      <c r="A77" s="4" t="s">
        <v>20</v>
      </c>
      <c r="B77" s="4" t="s">
        <v>21</v>
      </c>
      <c r="C77" s="5">
        <v>45365.0</v>
      </c>
      <c r="D77" s="6" t="s">
        <v>24</v>
      </c>
      <c r="E77" s="7"/>
      <c r="F77" s="8">
        <f t="shared" si="1"/>
        <v>752</v>
      </c>
      <c r="G77" s="6">
        <v>0.00139</v>
      </c>
      <c r="H77" s="9">
        <v>71761.1</v>
      </c>
      <c r="I77" s="10">
        <f t="shared" si="2"/>
        <v>66948.35</v>
      </c>
      <c r="J77" s="11">
        <f>IF(B77=0,"...",IF(D77="CERRADA","Valor Venta",I77*(1-VLOOKUP(A77,Config!$B$3:$C$22,2,FALSE))))</f>
        <v>66462.30498</v>
      </c>
      <c r="K77" s="10">
        <f t="shared" si="3"/>
        <v>99.747929</v>
      </c>
      <c r="L77" s="10">
        <f t="shared" si="4"/>
        <v>92.38260392</v>
      </c>
      <c r="M77" s="12">
        <f t="shared" si="5"/>
        <v>-0.07383937845</v>
      </c>
      <c r="N77" s="16">
        <f t="shared" si="6"/>
        <v>-7.365325079</v>
      </c>
      <c r="O77" s="2"/>
      <c r="P77" s="10"/>
      <c r="Q77" s="14" t="str">
        <f t="shared" si="7"/>
        <v>...</v>
      </c>
      <c r="R77" s="12" t="str">
        <f t="shared" si="8"/>
        <v/>
      </c>
      <c r="S77" s="10" t="str">
        <f t="shared" si="9"/>
        <v>...</v>
      </c>
      <c r="T77" s="10" t="str">
        <f t="shared" si="10"/>
        <v>...</v>
      </c>
      <c r="U77" s="12" t="str">
        <f t="shared" si="11"/>
        <v>...</v>
      </c>
      <c r="V77" s="10" t="str">
        <f t="shared" si="12"/>
        <v>...</v>
      </c>
      <c r="W77" s="2"/>
      <c r="X77" s="2"/>
      <c r="Y77" s="2"/>
      <c r="Z77" s="2"/>
      <c r="AA77" s="2"/>
      <c r="AB77" s="2"/>
      <c r="AC77" s="15"/>
      <c r="AD77" s="15"/>
      <c r="AE77" s="2"/>
    </row>
    <row r="78" ht="24.0" customHeight="1">
      <c r="A78" s="4" t="s">
        <v>20</v>
      </c>
      <c r="B78" s="4" t="s">
        <v>54</v>
      </c>
      <c r="C78" s="5">
        <v>45365.0</v>
      </c>
      <c r="D78" s="6" t="s">
        <v>22</v>
      </c>
      <c r="E78" s="7"/>
      <c r="F78" s="8">
        <f t="shared" si="1"/>
        <v>752</v>
      </c>
      <c r="G78" s="6">
        <v>552.0</v>
      </c>
      <c r="H78" s="9">
        <v>0.18106</v>
      </c>
      <c r="I78" s="10" t="str">
        <f t="shared" si="2"/>
        <v>-</v>
      </c>
      <c r="J78" s="11">
        <v>0.11956</v>
      </c>
      <c r="K78" s="10">
        <f t="shared" si="3"/>
        <v>99.94512</v>
      </c>
      <c r="L78" s="10">
        <f t="shared" si="4"/>
        <v>65.99712</v>
      </c>
      <c r="M78" s="12">
        <f t="shared" si="5"/>
        <v>-0.3396664089</v>
      </c>
      <c r="N78" s="16">
        <f t="shared" si="6"/>
        <v>-33.948</v>
      </c>
      <c r="O78" s="2"/>
      <c r="P78" s="10"/>
      <c r="Q78" s="14" t="str">
        <f t="shared" si="7"/>
        <v>...</v>
      </c>
      <c r="R78" s="12" t="str">
        <f t="shared" si="8"/>
        <v/>
      </c>
      <c r="S78" s="10" t="str">
        <f t="shared" si="9"/>
        <v>...</v>
      </c>
      <c r="T78" s="10" t="str">
        <f t="shared" si="10"/>
        <v>...</v>
      </c>
      <c r="U78" s="12" t="str">
        <f t="shared" si="11"/>
        <v>...</v>
      </c>
      <c r="V78" s="10" t="str">
        <f t="shared" si="12"/>
        <v>...</v>
      </c>
      <c r="W78" s="2"/>
      <c r="X78" s="2"/>
      <c r="Y78" s="2"/>
      <c r="Z78" s="2"/>
      <c r="AA78" s="2"/>
      <c r="AB78" s="2"/>
      <c r="AC78" s="15"/>
      <c r="AD78" s="15"/>
      <c r="AE78" s="2"/>
    </row>
    <row r="79" ht="24.0" customHeight="1">
      <c r="A79" s="4" t="s">
        <v>20</v>
      </c>
      <c r="B79" s="4" t="s">
        <v>21</v>
      </c>
      <c r="C79" s="5">
        <v>45365.0</v>
      </c>
      <c r="D79" s="6" t="s">
        <v>24</v>
      </c>
      <c r="E79" s="7"/>
      <c r="F79" s="8">
        <f t="shared" si="1"/>
        <v>752</v>
      </c>
      <c r="G79" s="6">
        <v>0.00141</v>
      </c>
      <c r="H79" s="9">
        <v>70651.22</v>
      </c>
      <c r="I79" s="10">
        <f t="shared" si="2"/>
        <v>66948.35</v>
      </c>
      <c r="J79" s="11">
        <f>IF(B79=0,"...",IF(D79="CERRADA","Valor Venta",I79*(1-VLOOKUP(A79,Config!$B$3:$C$22,2,FALSE))))</f>
        <v>66462.30498</v>
      </c>
      <c r="K79" s="10">
        <f t="shared" si="3"/>
        <v>99.6182202</v>
      </c>
      <c r="L79" s="10">
        <f t="shared" si="4"/>
        <v>93.71185002</v>
      </c>
      <c r="M79" s="12">
        <f t="shared" si="5"/>
        <v>-0.05929005927</v>
      </c>
      <c r="N79" s="16">
        <f t="shared" si="6"/>
        <v>-5.90637018</v>
      </c>
      <c r="O79" s="2"/>
      <c r="P79" s="10"/>
      <c r="Q79" s="14" t="str">
        <f t="shared" si="7"/>
        <v>...</v>
      </c>
      <c r="R79" s="12" t="str">
        <f t="shared" si="8"/>
        <v/>
      </c>
      <c r="S79" s="10" t="str">
        <f t="shared" si="9"/>
        <v>...</v>
      </c>
      <c r="T79" s="10" t="str">
        <f t="shared" si="10"/>
        <v>...</v>
      </c>
      <c r="U79" s="12" t="str">
        <f t="shared" si="11"/>
        <v>...</v>
      </c>
      <c r="V79" s="10" t="str">
        <f t="shared" si="12"/>
        <v>...</v>
      </c>
      <c r="W79" s="2"/>
      <c r="X79" s="2"/>
      <c r="Y79" s="2"/>
      <c r="Z79" s="2"/>
      <c r="AA79" s="2"/>
      <c r="AB79" s="2"/>
      <c r="AC79" s="15"/>
      <c r="AD79" s="15"/>
      <c r="AE79" s="2"/>
    </row>
    <row r="80" ht="24.0" customHeight="1">
      <c r="A80" s="4" t="s">
        <v>20</v>
      </c>
      <c r="B80" s="4" t="s">
        <v>21</v>
      </c>
      <c r="C80" s="5">
        <v>45366.0</v>
      </c>
      <c r="D80" s="6" t="s">
        <v>24</v>
      </c>
      <c r="E80" s="7"/>
      <c r="F80" s="8">
        <f t="shared" si="1"/>
        <v>751</v>
      </c>
      <c r="G80" s="6">
        <v>0.00221</v>
      </c>
      <c r="H80" s="9">
        <v>67870.02</v>
      </c>
      <c r="I80" s="10">
        <f t="shared" si="2"/>
        <v>66948.35</v>
      </c>
      <c r="J80" s="11">
        <f>IF(B80=0,"...",IF(D80="CERRADA","Valor Venta",I80*(1-VLOOKUP(A80,Config!$B$3:$C$22,2,FALSE))))</f>
        <v>66462.30498</v>
      </c>
      <c r="K80" s="10">
        <f t="shared" si="3"/>
        <v>149.9927442</v>
      </c>
      <c r="L80" s="10">
        <f t="shared" si="4"/>
        <v>146.881694</v>
      </c>
      <c r="M80" s="12">
        <f t="shared" si="5"/>
        <v>-0.02074133794</v>
      </c>
      <c r="N80" s="16">
        <f t="shared" si="6"/>
        <v>-3.111050196</v>
      </c>
      <c r="O80" s="2"/>
      <c r="P80" s="10"/>
      <c r="Q80" s="14" t="str">
        <f t="shared" si="7"/>
        <v>...</v>
      </c>
      <c r="R80" s="12" t="str">
        <f t="shared" si="8"/>
        <v/>
      </c>
      <c r="S80" s="10" t="str">
        <f t="shared" si="9"/>
        <v>...</v>
      </c>
      <c r="T80" s="10" t="str">
        <f t="shared" si="10"/>
        <v>...</v>
      </c>
      <c r="U80" s="12" t="str">
        <f t="shared" si="11"/>
        <v>...</v>
      </c>
      <c r="V80" s="10" t="str">
        <f t="shared" si="12"/>
        <v>...</v>
      </c>
      <c r="W80" s="2"/>
      <c r="X80" s="2"/>
      <c r="Y80" s="2"/>
      <c r="Z80" s="2"/>
      <c r="AA80" s="2"/>
      <c r="AB80" s="2"/>
      <c r="AC80" s="15"/>
      <c r="AD80" s="15"/>
      <c r="AE80" s="2"/>
    </row>
    <row r="81" ht="24.0" customHeight="1">
      <c r="A81" s="4" t="s">
        <v>20</v>
      </c>
      <c r="B81" s="4" t="s">
        <v>21</v>
      </c>
      <c r="C81" s="5">
        <v>45367.0</v>
      </c>
      <c r="D81" s="6" t="s">
        <v>24</v>
      </c>
      <c r="E81" s="7"/>
      <c r="F81" s="8">
        <f t="shared" si="1"/>
        <v>750</v>
      </c>
      <c r="G81" s="6">
        <v>0.00152</v>
      </c>
      <c r="H81" s="9">
        <v>65666.01</v>
      </c>
      <c r="I81" s="10">
        <f t="shared" si="2"/>
        <v>66948.35</v>
      </c>
      <c r="J81" s="11">
        <f>IF(B81=0,"...",IF(D81="CERRADA","Valor Venta",I81*(1-VLOOKUP(A81,Config!$B$3:$C$22,2,FALSE))))</f>
        <v>66462.30498</v>
      </c>
      <c r="K81" s="10">
        <f t="shared" si="3"/>
        <v>99.8123352</v>
      </c>
      <c r="L81" s="10">
        <f t="shared" si="4"/>
        <v>101.0227036</v>
      </c>
      <c r="M81" s="12">
        <f t="shared" si="5"/>
        <v>0.01212644074</v>
      </c>
      <c r="N81" s="16">
        <f t="shared" si="6"/>
        <v>1.210368368</v>
      </c>
      <c r="O81" s="2"/>
      <c r="P81" s="10"/>
      <c r="Q81" s="14" t="str">
        <f t="shared" si="7"/>
        <v>...</v>
      </c>
      <c r="R81" s="12" t="str">
        <f t="shared" si="8"/>
        <v/>
      </c>
      <c r="S81" s="10" t="str">
        <f t="shared" si="9"/>
        <v>...</v>
      </c>
      <c r="T81" s="10" t="str">
        <f t="shared" si="10"/>
        <v>...</v>
      </c>
      <c r="U81" s="12" t="str">
        <f t="shared" si="11"/>
        <v>...</v>
      </c>
      <c r="V81" s="10" t="str">
        <f t="shared" si="12"/>
        <v>...</v>
      </c>
      <c r="W81" s="2"/>
      <c r="X81" s="2"/>
      <c r="Y81" s="2"/>
      <c r="Z81" s="2"/>
      <c r="AA81" s="2"/>
      <c r="AB81" s="2"/>
      <c r="AC81" s="15"/>
      <c r="AD81" s="15"/>
      <c r="AE81" s="2"/>
    </row>
    <row r="82" ht="24.0" customHeight="1">
      <c r="A82" s="4" t="s">
        <v>20</v>
      </c>
      <c r="B82" s="4" t="s">
        <v>27</v>
      </c>
      <c r="C82" s="5">
        <v>45370.0</v>
      </c>
      <c r="D82" s="6" t="s">
        <v>24</v>
      </c>
      <c r="E82" s="7"/>
      <c r="F82" s="8">
        <f t="shared" si="1"/>
        <v>747</v>
      </c>
      <c r="G82" s="6">
        <v>0.54</v>
      </c>
      <c r="H82" s="9">
        <v>182.16</v>
      </c>
      <c r="I82" s="10">
        <f t="shared" si="2"/>
        <v>79.8061</v>
      </c>
      <c r="J82" s="11">
        <f>IF(B82=0,"...",IF(D82="CERRADA","Valor Venta",I82*(1-VLOOKUP(A82,Config!$B$3:$C$22,2,FALSE))))</f>
        <v>79.22670771</v>
      </c>
      <c r="K82" s="10">
        <f t="shared" si="3"/>
        <v>98.3664</v>
      </c>
      <c r="L82" s="10">
        <f t="shared" si="4"/>
        <v>42.78242217</v>
      </c>
      <c r="M82" s="12">
        <f t="shared" si="5"/>
        <v>-0.5650707745</v>
      </c>
      <c r="N82" s="16">
        <f t="shared" si="6"/>
        <v>-55.58397783</v>
      </c>
      <c r="O82" s="2"/>
      <c r="P82" s="10"/>
      <c r="Q82" s="14" t="str">
        <f t="shared" si="7"/>
        <v>...</v>
      </c>
      <c r="R82" s="12" t="str">
        <f t="shared" si="8"/>
        <v/>
      </c>
      <c r="S82" s="10" t="str">
        <f t="shared" si="9"/>
        <v>...</v>
      </c>
      <c r="T82" s="10" t="str">
        <f t="shared" si="10"/>
        <v>...</v>
      </c>
      <c r="U82" s="12" t="str">
        <f t="shared" si="11"/>
        <v>...</v>
      </c>
      <c r="V82" s="10" t="str">
        <f t="shared" si="12"/>
        <v>...</v>
      </c>
      <c r="W82" s="2"/>
      <c r="X82" s="2"/>
      <c r="Y82" s="2"/>
      <c r="Z82" s="2"/>
      <c r="AA82" s="2"/>
      <c r="AB82" s="2"/>
      <c r="AC82" s="15"/>
      <c r="AD82" s="15"/>
      <c r="AE82" s="2"/>
    </row>
    <row r="83" ht="24.0" customHeight="1">
      <c r="A83" s="4" t="s">
        <v>20</v>
      </c>
      <c r="B83" s="4" t="s">
        <v>27</v>
      </c>
      <c r="C83" s="5">
        <v>45370.0</v>
      </c>
      <c r="D83" s="6" t="s">
        <v>24</v>
      </c>
      <c r="E83" s="7"/>
      <c r="F83" s="8">
        <f t="shared" si="1"/>
        <v>747</v>
      </c>
      <c r="G83" s="6">
        <v>1.84</v>
      </c>
      <c r="H83" s="9">
        <v>175.2</v>
      </c>
      <c r="I83" s="10">
        <f t="shared" si="2"/>
        <v>79.8061</v>
      </c>
      <c r="J83" s="11">
        <f>IF(B83=0,"...",IF(D83="CERRADA","Valor Venta",I83*(1-VLOOKUP(A83,Config!$B$3:$C$22,2,FALSE))))</f>
        <v>79.22670771</v>
      </c>
      <c r="K83" s="10">
        <f t="shared" si="3"/>
        <v>322.368</v>
      </c>
      <c r="L83" s="10">
        <f t="shared" si="4"/>
        <v>145.7771422</v>
      </c>
      <c r="M83" s="12">
        <f t="shared" si="5"/>
        <v>-0.5477927642</v>
      </c>
      <c r="N83" s="16">
        <f t="shared" si="6"/>
        <v>-176.5908578</v>
      </c>
      <c r="O83" s="2"/>
      <c r="P83" s="10"/>
      <c r="Q83" s="14" t="str">
        <f t="shared" si="7"/>
        <v>...</v>
      </c>
      <c r="R83" s="12" t="str">
        <f t="shared" si="8"/>
        <v/>
      </c>
      <c r="S83" s="10" t="str">
        <f t="shared" si="9"/>
        <v>...</v>
      </c>
      <c r="T83" s="10" t="str">
        <f t="shared" si="10"/>
        <v>...</v>
      </c>
      <c r="U83" s="12" t="str">
        <f t="shared" si="11"/>
        <v>...</v>
      </c>
      <c r="V83" s="10" t="str">
        <f t="shared" si="12"/>
        <v>...</v>
      </c>
      <c r="W83" s="2"/>
      <c r="X83" s="2"/>
      <c r="Y83" s="2"/>
      <c r="Z83" s="2"/>
      <c r="AA83" s="2"/>
      <c r="AB83" s="2"/>
      <c r="AC83" s="15"/>
      <c r="AD83" s="15"/>
      <c r="AE83" s="2"/>
    </row>
    <row r="84" ht="24.0" customHeight="1">
      <c r="A84" s="4" t="s">
        <v>20</v>
      </c>
      <c r="B84" s="4" t="s">
        <v>35</v>
      </c>
      <c r="C84" s="5">
        <v>45370.0</v>
      </c>
      <c r="D84" s="6" t="s">
        <v>22</v>
      </c>
      <c r="E84" s="7"/>
      <c r="F84" s="8">
        <f t="shared" si="1"/>
        <v>747</v>
      </c>
      <c r="G84" s="6">
        <v>18.26</v>
      </c>
      <c r="H84" s="9">
        <v>10.952</v>
      </c>
      <c r="I84" s="10" t="str">
        <f t="shared" si="2"/>
        <v>-</v>
      </c>
      <c r="J84" s="11" t="str">
        <f>IF(B84=0,"...",IF(D84="CERRADA","Valor Venta",I84*(1-VLOOKUP(A84,Config!$B$3:$C$22,2,FALSE))))</f>
        <v>Valor Venta</v>
      </c>
      <c r="K84" s="10">
        <f t="shared" si="3"/>
        <v>199.98352</v>
      </c>
      <c r="L84" s="10" t="str">
        <f t="shared" si="4"/>
        <v>#VALUE!</v>
      </c>
      <c r="M84" s="12" t="str">
        <f t="shared" si="5"/>
        <v>#VALUE!</v>
      </c>
      <c r="N84" s="13" t="str">
        <f t="shared" si="6"/>
        <v>#VALUE!</v>
      </c>
      <c r="O84" s="2"/>
      <c r="P84" s="10"/>
      <c r="Q84" s="14" t="str">
        <f t="shared" si="7"/>
        <v>...</v>
      </c>
      <c r="R84" s="12" t="str">
        <f t="shared" si="8"/>
        <v/>
      </c>
      <c r="S84" s="10" t="str">
        <f t="shared" si="9"/>
        <v>...</v>
      </c>
      <c r="T84" s="10" t="str">
        <f t="shared" si="10"/>
        <v>...</v>
      </c>
      <c r="U84" s="12" t="str">
        <f t="shared" si="11"/>
        <v>...</v>
      </c>
      <c r="V84" s="10" t="str">
        <f t="shared" si="12"/>
        <v>...</v>
      </c>
      <c r="W84" s="2"/>
      <c r="X84" s="2"/>
      <c r="Y84" s="2"/>
      <c r="Z84" s="2"/>
      <c r="AA84" s="2"/>
      <c r="AB84" s="2"/>
      <c r="AC84" s="15"/>
      <c r="AD84" s="15"/>
      <c r="AE84" s="2"/>
    </row>
    <row r="85" ht="24.0" customHeight="1">
      <c r="A85" s="4" t="s">
        <v>20</v>
      </c>
      <c r="B85" s="4" t="s">
        <v>30</v>
      </c>
      <c r="C85" s="5">
        <v>45370.0</v>
      </c>
      <c r="D85" s="6" t="s">
        <v>22</v>
      </c>
      <c r="E85" s="7"/>
      <c r="F85" s="8">
        <f t="shared" si="1"/>
        <v>747</v>
      </c>
      <c r="G85" s="6">
        <v>209.9</v>
      </c>
      <c r="H85" s="9">
        <v>0.9525</v>
      </c>
      <c r="I85" s="10" t="str">
        <f t="shared" si="2"/>
        <v>-</v>
      </c>
      <c r="J85" s="11">
        <v>0.4442</v>
      </c>
      <c r="K85" s="10">
        <f t="shared" si="3"/>
        <v>199.92975</v>
      </c>
      <c r="L85" s="10">
        <f t="shared" si="4"/>
        <v>93.23758</v>
      </c>
      <c r="M85" s="12">
        <f t="shared" si="5"/>
        <v>-0.533648294</v>
      </c>
      <c r="N85" s="16">
        <f t="shared" si="6"/>
        <v>-106.69217</v>
      </c>
      <c r="O85" s="2"/>
      <c r="P85" s="10"/>
      <c r="Q85" s="14" t="str">
        <f t="shared" si="7"/>
        <v>...</v>
      </c>
      <c r="R85" s="12" t="str">
        <f t="shared" si="8"/>
        <v/>
      </c>
      <c r="S85" s="10" t="str">
        <f t="shared" si="9"/>
        <v>...</v>
      </c>
      <c r="T85" s="10" t="str">
        <f t="shared" si="10"/>
        <v>...</v>
      </c>
      <c r="U85" s="12" t="str">
        <f t="shared" si="11"/>
        <v>...</v>
      </c>
      <c r="V85" s="10" t="str">
        <f t="shared" si="12"/>
        <v>...</v>
      </c>
      <c r="W85" s="2"/>
      <c r="X85" s="2"/>
      <c r="Y85" s="2"/>
      <c r="Z85" s="2"/>
      <c r="AA85" s="2"/>
      <c r="AB85" s="2"/>
      <c r="AC85" s="15"/>
      <c r="AD85" s="15"/>
      <c r="AE85" s="2"/>
    </row>
    <row r="86" ht="24.0" customHeight="1">
      <c r="A86" s="4" t="s">
        <v>20</v>
      </c>
      <c r="B86" s="4" t="s">
        <v>55</v>
      </c>
      <c r="C86" s="5">
        <v>45378.0</v>
      </c>
      <c r="D86" s="6" t="s">
        <v>22</v>
      </c>
      <c r="E86" s="7"/>
      <c r="F86" s="8">
        <f t="shared" si="1"/>
        <v>739</v>
      </c>
      <c r="G86" s="6">
        <v>73.0</v>
      </c>
      <c r="H86" s="9">
        <v>3.071</v>
      </c>
      <c r="I86" s="10" t="str">
        <f t="shared" si="2"/>
        <v>-</v>
      </c>
      <c r="J86" s="11">
        <v>1.328</v>
      </c>
      <c r="K86" s="10">
        <f t="shared" si="3"/>
        <v>224.183</v>
      </c>
      <c r="L86" s="10">
        <f t="shared" si="4"/>
        <v>96.944</v>
      </c>
      <c r="M86" s="12">
        <f t="shared" si="5"/>
        <v>-0.5675675676</v>
      </c>
      <c r="N86" s="16">
        <f t="shared" si="6"/>
        <v>-127.239</v>
      </c>
      <c r="O86" s="2"/>
      <c r="P86" s="10"/>
      <c r="Q86" s="14" t="str">
        <f t="shared" si="7"/>
        <v>...</v>
      </c>
      <c r="R86" s="12" t="str">
        <f t="shared" si="8"/>
        <v/>
      </c>
      <c r="S86" s="10" t="str">
        <f t="shared" si="9"/>
        <v>...</v>
      </c>
      <c r="T86" s="10" t="str">
        <f t="shared" si="10"/>
        <v>...</v>
      </c>
      <c r="U86" s="12" t="str">
        <f t="shared" si="11"/>
        <v>...</v>
      </c>
      <c r="V86" s="10" t="str">
        <f t="shared" si="12"/>
        <v>...</v>
      </c>
      <c r="W86" s="2"/>
      <c r="X86" s="2"/>
      <c r="Y86" s="2"/>
      <c r="Z86" s="2"/>
      <c r="AA86" s="2"/>
      <c r="AB86" s="2"/>
      <c r="AC86" s="15"/>
      <c r="AD86" s="15"/>
      <c r="AE86" s="2"/>
    </row>
    <row r="87" ht="24.0" customHeight="1">
      <c r="A87" s="4" t="s">
        <v>20</v>
      </c>
      <c r="B87" s="4" t="s">
        <v>21</v>
      </c>
      <c r="C87" s="5">
        <v>45384.0</v>
      </c>
      <c r="D87" s="6" t="s">
        <v>24</v>
      </c>
      <c r="E87" s="7"/>
      <c r="F87" s="8">
        <f t="shared" si="1"/>
        <v>733</v>
      </c>
      <c r="G87" s="6">
        <v>0.00368</v>
      </c>
      <c r="H87" s="9">
        <v>67737.87</v>
      </c>
      <c r="I87" s="10">
        <f t="shared" si="2"/>
        <v>66948.35</v>
      </c>
      <c r="J87" s="11">
        <f>IF(B87=0,"...",IF(D87="CERRADA","Valor Venta",I87*(1-VLOOKUP(A87,Config!$B$3:$C$22,2,FALSE))))</f>
        <v>66462.30498</v>
      </c>
      <c r="K87" s="10">
        <f t="shared" si="3"/>
        <v>249.2753616</v>
      </c>
      <c r="L87" s="10">
        <f t="shared" si="4"/>
        <v>244.5812823</v>
      </c>
      <c r="M87" s="12">
        <f t="shared" si="5"/>
        <v>-0.01883089948</v>
      </c>
      <c r="N87" s="16">
        <f t="shared" si="6"/>
        <v>-4.694079277</v>
      </c>
      <c r="O87" s="2"/>
      <c r="P87" s="10"/>
      <c r="Q87" s="14" t="str">
        <f t="shared" si="7"/>
        <v>...</v>
      </c>
      <c r="R87" s="12" t="str">
        <f t="shared" si="8"/>
        <v/>
      </c>
      <c r="S87" s="10" t="str">
        <f t="shared" si="9"/>
        <v>...</v>
      </c>
      <c r="T87" s="10" t="str">
        <f t="shared" si="10"/>
        <v>...</v>
      </c>
      <c r="U87" s="12" t="str">
        <f t="shared" si="11"/>
        <v>...</v>
      </c>
      <c r="V87" s="10" t="str">
        <f t="shared" si="12"/>
        <v>...</v>
      </c>
      <c r="W87" s="2"/>
      <c r="X87" s="2"/>
      <c r="Y87" s="2"/>
      <c r="Z87" s="2"/>
      <c r="AA87" s="2"/>
      <c r="AB87" s="2"/>
      <c r="AC87" s="15"/>
      <c r="AD87" s="15"/>
      <c r="AE87" s="2"/>
    </row>
    <row r="88" ht="24.0" customHeight="1">
      <c r="A88" s="4" t="s">
        <v>20</v>
      </c>
      <c r="B88" s="4" t="s">
        <v>27</v>
      </c>
      <c r="C88" s="5">
        <v>45387.0</v>
      </c>
      <c r="D88" s="6" t="s">
        <v>24</v>
      </c>
      <c r="E88" s="7"/>
      <c r="F88" s="8">
        <f t="shared" si="1"/>
        <v>730</v>
      </c>
      <c r="G88" s="6">
        <v>1.42</v>
      </c>
      <c r="H88" s="9">
        <v>172.66</v>
      </c>
      <c r="I88" s="10">
        <f t="shared" si="2"/>
        <v>79.8061</v>
      </c>
      <c r="J88" s="11">
        <f>IF(B88=0,"...",IF(D88="CERRADA","Valor Venta",I88*(1-VLOOKUP(A88,Config!$B$3:$C$22,2,FALSE))))</f>
        <v>79.22670771</v>
      </c>
      <c r="K88" s="10">
        <f t="shared" si="3"/>
        <v>245.1772</v>
      </c>
      <c r="L88" s="10">
        <f t="shared" si="4"/>
        <v>112.501925</v>
      </c>
      <c r="M88" s="12">
        <f t="shared" si="5"/>
        <v>-0.5411403468</v>
      </c>
      <c r="N88" s="16">
        <f t="shared" si="6"/>
        <v>-132.675275</v>
      </c>
      <c r="O88" s="2"/>
      <c r="P88" s="10"/>
      <c r="Q88" s="14" t="str">
        <f t="shared" si="7"/>
        <v>...</v>
      </c>
      <c r="R88" s="12" t="str">
        <f t="shared" si="8"/>
        <v/>
      </c>
      <c r="S88" s="10" t="str">
        <f t="shared" si="9"/>
        <v>...</v>
      </c>
      <c r="T88" s="10" t="str">
        <f t="shared" si="10"/>
        <v>...</v>
      </c>
      <c r="U88" s="12" t="str">
        <f t="shared" si="11"/>
        <v>...</v>
      </c>
      <c r="V88" s="10" t="str">
        <f t="shared" si="12"/>
        <v>...</v>
      </c>
      <c r="W88" s="2"/>
      <c r="X88" s="2"/>
      <c r="Y88" s="2"/>
      <c r="Z88" s="2"/>
      <c r="AA88" s="2"/>
      <c r="AB88" s="2"/>
      <c r="AC88" s="15"/>
      <c r="AD88" s="15"/>
      <c r="AE88" s="2"/>
    </row>
    <row r="89" ht="24.0" customHeight="1">
      <c r="A89" s="4" t="s">
        <v>20</v>
      </c>
      <c r="B89" s="4" t="s">
        <v>21</v>
      </c>
      <c r="C89" s="5">
        <v>45410.0</v>
      </c>
      <c r="D89" s="6" t="s">
        <v>24</v>
      </c>
      <c r="E89" s="7"/>
      <c r="F89" s="8">
        <f t="shared" si="1"/>
        <v>707</v>
      </c>
      <c r="G89" s="6">
        <v>0.00159</v>
      </c>
      <c r="H89" s="9">
        <v>63299.84</v>
      </c>
      <c r="I89" s="10">
        <f t="shared" si="2"/>
        <v>66948.35</v>
      </c>
      <c r="J89" s="11">
        <f>IF(B89=0,"...",IF(D89="CERRADA","Valor Venta",I89*(1-VLOOKUP(A89,Config!$B$3:$C$22,2,FALSE))))</f>
        <v>66462.30498</v>
      </c>
      <c r="K89" s="10">
        <f t="shared" si="3"/>
        <v>100.6467456</v>
      </c>
      <c r="L89" s="10">
        <f t="shared" si="4"/>
        <v>105.6750649</v>
      </c>
      <c r="M89" s="12">
        <f t="shared" si="5"/>
        <v>0.04996007856</v>
      </c>
      <c r="N89" s="16">
        <f t="shared" si="6"/>
        <v>5.028319317</v>
      </c>
      <c r="O89" s="2"/>
      <c r="P89" s="10"/>
      <c r="Q89" s="14" t="str">
        <f t="shared" si="7"/>
        <v>...</v>
      </c>
      <c r="R89" s="12" t="str">
        <f t="shared" si="8"/>
        <v/>
      </c>
      <c r="S89" s="10" t="str">
        <f t="shared" si="9"/>
        <v>...</v>
      </c>
      <c r="T89" s="10" t="str">
        <f t="shared" si="10"/>
        <v>...</v>
      </c>
      <c r="U89" s="12" t="str">
        <f t="shared" si="11"/>
        <v>...</v>
      </c>
      <c r="V89" s="10" t="str">
        <f t="shared" si="12"/>
        <v>...</v>
      </c>
      <c r="W89" s="2"/>
      <c r="X89" s="2"/>
      <c r="Y89" s="2"/>
      <c r="Z89" s="2"/>
      <c r="AA89" s="2"/>
      <c r="AB89" s="2"/>
      <c r="AC89" s="15"/>
      <c r="AD89" s="15"/>
      <c r="AE89" s="2"/>
    </row>
    <row r="90" ht="24.0" customHeight="1">
      <c r="A90" s="4" t="s">
        <v>20</v>
      </c>
      <c r="B90" s="4" t="s">
        <v>27</v>
      </c>
      <c r="C90" s="5">
        <v>45410.0</v>
      </c>
      <c r="D90" s="6" t="s">
        <v>24</v>
      </c>
      <c r="E90" s="7"/>
      <c r="F90" s="8">
        <f t="shared" si="1"/>
        <v>707</v>
      </c>
      <c r="G90" s="6">
        <v>1.07</v>
      </c>
      <c r="H90" s="9">
        <v>140.18</v>
      </c>
      <c r="I90" s="10">
        <f t="shared" si="2"/>
        <v>79.8061</v>
      </c>
      <c r="J90" s="11">
        <f>IF(B90=0,"...",IF(D90="CERRADA","Valor Venta",I90*(1-VLOOKUP(A90,Config!$B$3:$C$22,2,FALSE))))</f>
        <v>79.22670771</v>
      </c>
      <c r="K90" s="10">
        <f t="shared" si="3"/>
        <v>149.9926</v>
      </c>
      <c r="L90" s="10">
        <f t="shared" si="4"/>
        <v>84.77257725</v>
      </c>
      <c r="M90" s="12">
        <f t="shared" si="5"/>
        <v>-0.4348216028</v>
      </c>
      <c r="N90" s="16">
        <f t="shared" si="6"/>
        <v>-65.22002275</v>
      </c>
      <c r="O90" s="2"/>
      <c r="P90" s="10"/>
      <c r="Q90" s="14" t="str">
        <f t="shared" si="7"/>
        <v>...</v>
      </c>
      <c r="R90" s="12" t="str">
        <f t="shared" si="8"/>
        <v/>
      </c>
      <c r="S90" s="10" t="str">
        <f t="shared" si="9"/>
        <v>...</v>
      </c>
      <c r="T90" s="10" t="str">
        <f t="shared" si="10"/>
        <v>...</v>
      </c>
      <c r="U90" s="12" t="str">
        <f t="shared" si="11"/>
        <v>...</v>
      </c>
      <c r="V90" s="10" t="str">
        <f t="shared" si="12"/>
        <v>...</v>
      </c>
      <c r="W90" s="2"/>
      <c r="X90" s="2"/>
      <c r="Y90" s="2"/>
      <c r="Z90" s="2"/>
      <c r="AA90" s="2"/>
      <c r="AB90" s="2"/>
      <c r="AC90" s="15"/>
      <c r="AD90" s="15"/>
      <c r="AE90" s="2"/>
    </row>
    <row r="91" ht="24.0" customHeight="1">
      <c r="A91" s="4" t="s">
        <v>20</v>
      </c>
      <c r="B91" s="4" t="s">
        <v>29</v>
      </c>
      <c r="C91" s="5">
        <v>45410.0</v>
      </c>
      <c r="D91" s="6" t="s">
        <v>22</v>
      </c>
      <c r="E91" s="7"/>
      <c r="F91" s="8">
        <f t="shared" si="1"/>
        <v>707</v>
      </c>
      <c r="G91" s="6">
        <v>0.0461</v>
      </c>
      <c r="H91" s="9">
        <v>3251.34</v>
      </c>
      <c r="I91" s="10" t="str">
        <f t="shared" si="2"/>
        <v>-</v>
      </c>
      <c r="J91" s="11">
        <v>2744.0</v>
      </c>
      <c r="K91" s="10">
        <f t="shared" si="3"/>
        <v>149.886774</v>
      </c>
      <c r="L91" s="10">
        <f t="shared" si="4"/>
        <v>126.4984</v>
      </c>
      <c r="M91" s="12">
        <f t="shared" si="5"/>
        <v>-0.1560402788</v>
      </c>
      <c r="N91" s="16">
        <f t="shared" si="6"/>
        <v>-23.388374</v>
      </c>
      <c r="O91" s="2"/>
      <c r="P91" s="10"/>
      <c r="Q91" s="14" t="str">
        <f t="shared" si="7"/>
        <v>...</v>
      </c>
      <c r="R91" s="12" t="str">
        <f t="shared" si="8"/>
        <v/>
      </c>
      <c r="S91" s="10" t="str">
        <f t="shared" si="9"/>
        <v>...</v>
      </c>
      <c r="T91" s="10" t="str">
        <f t="shared" si="10"/>
        <v>...</v>
      </c>
      <c r="U91" s="12" t="str">
        <f t="shared" si="11"/>
        <v>...</v>
      </c>
      <c r="V91" s="10" t="str">
        <f t="shared" si="12"/>
        <v>...</v>
      </c>
      <c r="W91" s="2"/>
      <c r="X91" s="2"/>
      <c r="Y91" s="2"/>
      <c r="Z91" s="2"/>
      <c r="AA91" s="2"/>
      <c r="AB91" s="2"/>
      <c r="AC91" s="15"/>
      <c r="AD91" s="15"/>
      <c r="AE91" s="2"/>
    </row>
    <row r="92" ht="24.0" customHeight="1">
      <c r="A92" s="4" t="s">
        <v>20</v>
      </c>
      <c r="B92" s="4" t="s">
        <v>27</v>
      </c>
      <c r="C92" s="5">
        <v>45412.0</v>
      </c>
      <c r="D92" s="6" t="s">
        <v>24</v>
      </c>
      <c r="E92" s="7"/>
      <c r="F92" s="8">
        <f t="shared" si="1"/>
        <v>705</v>
      </c>
      <c r="G92" s="6">
        <v>1.635</v>
      </c>
      <c r="H92" s="9">
        <v>124.57</v>
      </c>
      <c r="I92" s="10">
        <f t="shared" si="2"/>
        <v>79.8061</v>
      </c>
      <c r="J92" s="11">
        <f>IF(B92=0,"...",IF(D92="CERRADA","Valor Venta",I92*(1-VLOOKUP(A92,Config!$B$3:$C$22,2,FALSE))))</f>
        <v>79.22670771</v>
      </c>
      <c r="K92" s="10">
        <f t="shared" si="3"/>
        <v>203.67195</v>
      </c>
      <c r="L92" s="10">
        <f t="shared" si="4"/>
        <v>129.5356671</v>
      </c>
      <c r="M92" s="12">
        <f t="shared" si="5"/>
        <v>-0.3639984931</v>
      </c>
      <c r="N92" s="16">
        <f t="shared" si="6"/>
        <v>-74.13628289</v>
      </c>
      <c r="O92" s="2"/>
      <c r="P92" s="10"/>
      <c r="Q92" s="14" t="str">
        <f t="shared" si="7"/>
        <v>...</v>
      </c>
      <c r="R92" s="12" t="str">
        <f t="shared" si="8"/>
        <v/>
      </c>
      <c r="S92" s="10" t="str">
        <f t="shared" si="9"/>
        <v>...</v>
      </c>
      <c r="T92" s="10" t="str">
        <f t="shared" si="10"/>
        <v>...</v>
      </c>
      <c r="U92" s="12" t="str">
        <f t="shared" si="11"/>
        <v>...</v>
      </c>
      <c r="V92" s="10" t="str">
        <f t="shared" si="12"/>
        <v>...</v>
      </c>
      <c r="W92" s="2"/>
      <c r="X92" s="2"/>
      <c r="Y92" s="2"/>
      <c r="Z92" s="2"/>
      <c r="AA92" s="2"/>
      <c r="AB92" s="2"/>
      <c r="AC92" s="15"/>
      <c r="AD92" s="15"/>
      <c r="AE92" s="2"/>
    </row>
    <row r="93" ht="24.0" customHeight="1">
      <c r="A93" s="4" t="s">
        <v>20</v>
      </c>
      <c r="B93" s="4" t="s">
        <v>27</v>
      </c>
      <c r="C93" s="5">
        <v>45436.0</v>
      </c>
      <c r="D93" s="6" t="s">
        <v>24</v>
      </c>
      <c r="E93" s="7"/>
      <c r="F93" s="8">
        <f t="shared" si="1"/>
        <v>681</v>
      </c>
      <c r="G93" s="6">
        <v>0.998</v>
      </c>
      <c r="H93" s="9">
        <v>168.0</v>
      </c>
      <c r="I93" s="10">
        <f t="shared" si="2"/>
        <v>79.8061</v>
      </c>
      <c r="J93" s="11">
        <f>IF(B93=0,"...",IF(D93="CERRADA","Valor Venta",I93*(1-VLOOKUP(A93,Config!$B$3:$C$22,2,FALSE))))</f>
        <v>79.22670771</v>
      </c>
      <c r="K93" s="10">
        <f t="shared" si="3"/>
        <v>167.664</v>
      </c>
      <c r="L93" s="10">
        <f t="shared" si="4"/>
        <v>79.0682543</v>
      </c>
      <c r="M93" s="12">
        <f t="shared" si="5"/>
        <v>-0.5284124541</v>
      </c>
      <c r="N93" s="16">
        <f t="shared" si="6"/>
        <v>-88.5957457</v>
      </c>
      <c r="O93" s="2"/>
      <c r="P93" s="10"/>
      <c r="Q93" s="14" t="str">
        <f t="shared" si="7"/>
        <v>...</v>
      </c>
      <c r="R93" s="12" t="str">
        <f t="shared" si="8"/>
        <v/>
      </c>
      <c r="S93" s="10" t="str">
        <f t="shared" si="9"/>
        <v>...</v>
      </c>
      <c r="T93" s="10" t="str">
        <f t="shared" si="10"/>
        <v>...</v>
      </c>
      <c r="U93" s="12" t="str">
        <f t="shared" si="11"/>
        <v>...</v>
      </c>
      <c r="V93" s="10" t="str">
        <f t="shared" si="12"/>
        <v>...</v>
      </c>
      <c r="W93" s="2"/>
      <c r="X93" s="2"/>
      <c r="Y93" s="2"/>
      <c r="Z93" s="2"/>
      <c r="AA93" s="2"/>
      <c r="AB93" s="2"/>
      <c r="AC93" s="15"/>
      <c r="AD93" s="15"/>
      <c r="AE93" s="2"/>
    </row>
    <row r="94" ht="24.0" customHeight="1">
      <c r="A94" s="4" t="s">
        <v>20</v>
      </c>
      <c r="B94" s="4" t="s">
        <v>27</v>
      </c>
      <c r="C94" s="5">
        <v>45477.0</v>
      </c>
      <c r="D94" s="6" t="s">
        <v>22</v>
      </c>
      <c r="E94" s="7"/>
      <c r="F94" s="8">
        <f t="shared" si="1"/>
        <v>640</v>
      </c>
      <c r="G94" s="6">
        <v>3.889</v>
      </c>
      <c r="H94" s="9">
        <v>126.73</v>
      </c>
      <c r="I94" s="10" t="str">
        <f t="shared" si="2"/>
        <v>-</v>
      </c>
      <c r="J94" s="11">
        <v>156.0</v>
      </c>
      <c r="K94" s="10">
        <f t="shared" si="3"/>
        <v>492.85297</v>
      </c>
      <c r="L94" s="10">
        <f t="shared" si="4"/>
        <v>606.684</v>
      </c>
      <c r="M94" s="12">
        <f t="shared" si="5"/>
        <v>0.2309634656</v>
      </c>
      <c r="N94" s="16">
        <f t="shared" si="6"/>
        <v>113.83103</v>
      </c>
      <c r="O94" s="2"/>
      <c r="P94" s="10"/>
      <c r="Q94" s="14" t="str">
        <f t="shared" si="7"/>
        <v>...</v>
      </c>
      <c r="R94" s="12" t="str">
        <f t="shared" si="8"/>
        <v/>
      </c>
      <c r="S94" s="10" t="str">
        <f t="shared" si="9"/>
        <v>...</v>
      </c>
      <c r="T94" s="10" t="str">
        <f t="shared" si="10"/>
        <v>...</v>
      </c>
      <c r="U94" s="12" t="str">
        <f t="shared" si="11"/>
        <v>...</v>
      </c>
      <c r="V94" s="10" t="str">
        <f t="shared" si="12"/>
        <v>...</v>
      </c>
      <c r="W94" s="2"/>
      <c r="X94" s="2"/>
      <c r="Y94" s="2"/>
      <c r="Z94" s="2"/>
      <c r="AA94" s="2"/>
      <c r="AB94" s="2"/>
      <c r="AC94" s="15"/>
      <c r="AD94" s="15"/>
      <c r="AE94" s="2"/>
    </row>
    <row r="95" ht="24.0" customHeight="1">
      <c r="A95" s="4" t="s">
        <v>20</v>
      </c>
      <c r="B95" s="4" t="s">
        <v>27</v>
      </c>
      <c r="C95" s="5">
        <v>45510.0</v>
      </c>
      <c r="D95" s="6" t="s">
        <v>24</v>
      </c>
      <c r="E95" s="7"/>
      <c r="F95" s="8">
        <f t="shared" si="1"/>
        <v>607</v>
      </c>
      <c r="G95" s="6">
        <v>2.143</v>
      </c>
      <c r="H95" s="9">
        <v>139.96</v>
      </c>
      <c r="I95" s="10">
        <f t="shared" si="2"/>
        <v>79.8061</v>
      </c>
      <c r="J95" s="11">
        <f>IF(B95=0,"...",IF(D95="CERRADA","Valor Venta",I95*(1-VLOOKUP(A95,Config!$B$3:$C$22,2,FALSE))))</f>
        <v>79.22670771</v>
      </c>
      <c r="K95" s="10">
        <f t="shared" si="3"/>
        <v>299.93428</v>
      </c>
      <c r="L95" s="10">
        <f t="shared" si="4"/>
        <v>169.7828346</v>
      </c>
      <c r="M95" s="12">
        <f t="shared" si="5"/>
        <v>-0.4339332115</v>
      </c>
      <c r="N95" s="16">
        <f t="shared" si="6"/>
        <v>-130.1514454</v>
      </c>
      <c r="O95" s="2"/>
      <c r="P95" s="10"/>
      <c r="Q95" s="14" t="str">
        <f t="shared" si="7"/>
        <v>...</v>
      </c>
      <c r="R95" s="12" t="str">
        <f t="shared" si="8"/>
        <v/>
      </c>
      <c r="S95" s="10" t="str">
        <f t="shared" si="9"/>
        <v>...</v>
      </c>
      <c r="T95" s="10" t="str">
        <f t="shared" si="10"/>
        <v>...</v>
      </c>
      <c r="U95" s="12" t="str">
        <f t="shared" si="11"/>
        <v>...</v>
      </c>
      <c r="V95" s="10" t="str">
        <f t="shared" si="12"/>
        <v>...</v>
      </c>
      <c r="W95" s="2"/>
      <c r="X95" s="2"/>
      <c r="Y95" s="2"/>
      <c r="Z95" s="2"/>
      <c r="AA95" s="2"/>
      <c r="AB95" s="2"/>
      <c r="AC95" s="15"/>
      <c r="AD95" s="15"/>
      <c r="AE95" s="2"/>
    </row>
    <row r="96" ht="24.0" customHeight="1">
      <c r="A96" s="4" t="s">
        <v>20</v>
      </c>
      <c r="B96" s="4" t="s">
        <v>23</v>
      </c>
      <c r="C96" s="5">
        <v>45510.0</v>
      </c>
      <c r="D96" s="6" t="s">
        <v>22</v>
      </c>
      <c r="E96" s="7"/>
      <c r="F96" s="8">
        <f t="shared" si="1"/>
        <v>607</v>
      </c>
      <c r="G96" s="6">
        <v>0.301</v>
      </c>
      <c r="H96" s="9">
        <v>479.7</v>
      </c>
      <c r="I96" s="10" t="str">
        <f t="shared" si="2"/>
        <v>-</v>
      </c>
      <c r="J96" s="11">
        <v>539.7</v>
      </c>
      <c r="K96" s="10">
        <f t="shared" si="3"/>
        <v>144.3897</v>
      </c>
      <c r="L96" s="10">
        <f t="shared" si="4"/>
        <v>162.4497</v>
      </c>
      <c r="M96" s="12">
        <f t="shared" si="5"/>
        <v>0.1250781739</v>
      </c>
      <c r="N96" s="16">
        <f t="shared" si="6"/>
        <v>18.06</v>
      </c>
      <c r="O96" s="2"/>
      <c r="P96" s="10"/>
      <c r="Q96" s="14" t="str">
        <f t="shared" si="7"/>
        <v>...</v>
      </c>
      <c r="R96" s="12" t="str">
        <f t="shared" si="8"/>
        <v/>
      </c>
      <c r="S96" s="10" t="str">
        <f t="shared" si="9"/>
        <v>...</v>
      </c>
      <c r="T96" s="10" t="str">
        <f t="shared" si="10"/>
        <v>...</v>
      </c>
      <c r="U96" s="12" t="str">
        <f t="shared" si="11"/>
        <v>...</v>
      </c>
      <c r="V96" s="10" t="str">
        <f t="shared" si="12"/>
        <v>...</v>
      </c>
      <c r="W96" s="2"/>
      <c r="X96" s="2"/>
      <c r="Y96" s="2"/>
      <c r="Z96" s="2"/>
      <c r="AA96" s="2"/>
      <c r="AB96" s="2"/>
      <c r="AC96" s="15"/>
      <c r="AD96" s="15"/>
      <c r="AE96" s="2"/>
    </row>
    <row r="97" ht="24.0" customHeight="1">
      <c r="A97" s="4" t="s">
        <v>20</v>
      </c>
      <c r="B97" s="4" t="s">
        <v>21</v>
      </c>
      <c r="C97" s="5">
        <v>45547.0</v>
      </c>
      <c r="D97" s="6" t="s">
        <v>24</v>
      </c>
      <c r="E97" s="7"/>
      <c r="F97" s="8">
        <f t="shared" si="1"/>
        <v>570</v>
      </c>
      <c r="G97" s="6">
        <v>0.00382</v>
      </c>
      <c r="H97" s="9">
        <v>58054.25</v>
      </c>
      <c r="I97" s="10">
        <f t="shared" si="2"/>
        <v>66948.35</v>
      </c>
      <c r="J97" s="11">
        <f>IF(B97=0,"...",IF(D97="CERRADA","Valor Venta",I97*(1-VLOOKUP(A97,Config!$B$3:$C$22,2,FALSE))))</f>
        <v>66462.30498</v>
      </c>
      <c r="K97" s="10">
        <f t="shared" si="3"/>
        <v>221.767235</v>
      </c>
      <c r="L97" s="10">
        <f t="shared" si="4"/>
        <v>253.886005</v>
      </c>
      <c r="M97" s="12">
        <f t="shared" si="5"/>
        <v>0.1448309982</v>
      </c>
      <c r="N97" s="16">
        <f t="shared" si="6"/>
        <v>32.11877002</v>
      </c>
      <c r="O97" s="2"/>
      <c r="P97" s="10"/>
      <c r="Q97" s="14" t="str">
        <f t="shared" si="7"/>
        <v>...</v>
      </c>
      <c r="R97" s="12" t="str">
        <f t="shared" si="8"/>
        <v/>
      </c>
      <c r="S97" s="10" t="str">
        <f t="shared" si="9"/>
        <v>...</v>
      </c>
      <c r="T97" s="10" t="str">
        <f t="shared" si="10"/>
        <v>...</v>
      </c>
      <c r="U97" s="12" t="str">
        <f t="shared" si="11"/>
        <v>...</v>
      </c>
      <c r="V97" s="10" t="str">
        <f t="shared" si="12"/>
        <v>...</v>
      </c>
      <c r="W97" s="2"/>
      <c r="X97" s="2"/>
      <c r="Y97" s="2"/>
      <c r="Z97" s="2"/>
      <c r="AA97" s="2"/>
      <c r="AB97" s="2"/>
      <c r="AC97" s="15"/>
      <c r="AD97" s="15"/>
      <c r="AE97" s="2"/>
    </row>
    <row r="98" ht="24.0" customHeight="1">
      <c r="A98" s="4" t="s">
        <v>20</v>
      </c>
      <c r="B98" s="4" t="s">
        <v>29</v>
      </c>
      <c r="C98" s="5">
        <v>45569.0</v>
      </c>
      <c r="D98" s="6" t="s">
        <v>22</v>
      </c>
      <c r="E98" s="7"/>
      <c r="F98" s="8">
        <f t="shared" si="1"/>
        <v>548</v>
      </c>
      <c r="G98" s="6">
        <v>0.0604</v>
      </c>
      <c r="H98" s="9">
        <v>2439.64</v>
      </c>
      <c r="I98" s="10" t="str">
        <f t="shared" si="2"/>
        <v>-</v>
      </c>
      <c r="J98" s="11">
        <v>2744.0</v>
      </c>
      <c r="K98" s="10">
        <f t="shared" si="3"/>
        <v>147.354256</v>
      </c>
      <c r="L98" s="10">
        <f t="shared" si="4"/>
        <v>165.7376</v>
      </c>
      <c r="M98" s="12">
        <f t="shared" si="5"/>
        <v>0.1247561116</v>
      </c>
      <c r="N98" s="16">
        <f t="shared" si="6"/>
        <v>18.383344</v>
      </c>
      <c r="O98" s="2"/>
      <c r="P98" s="10"/>
      <c r="Q98" s="14" t="str">
        <f t="shared" si="7"/>
        <v>...</v>
      </c>
      <c r="R98" s="12" t="str">
        <f t="shared" si="8"/>
        <v/>
      </c>
      <c r="S98" s="10" t="str">
        <f t="shared" si="9"/>
        <v>...</v>
      </c>
      <c r="T98" s="10" t="str">
        <f t="shared" si="10"/>
        <v>...</v>
      </c>
      <c r="U98" s="12" t="str">
        <f t="shared" si="11"/>
        <v>...</v>
      </c>
      <c r="V98" s="10" t="str">
        <f t="shared" si="12"/>
        <v>...</v>
      </c>
      <c r="W98" s="2"/>
      <c r="X98" s="2"/>
      <c r="Y98" s="2"/>
      <c r="Z98" s="2"/>
      <c r="AA98" s="2"/>
      <c r="AB98" s="2"/>
      <c r="AC98" s="15"/>
      <c r="AD98" s="15"/>
      <c r="AE98" s="2"/>
    </row>
    <row r="99" ht="24.0" customHeight="1">
      <c r="A99" s="4" t="s">
        <v>20</v>
      </c>
      <c r="B99" s="4" t="s">
        <v>61</v>
      </c>
      <c r="C99" s="5">
        <v>45593.0</v>
      </c>
      <c r="D99" s="6" t="s">
        <v>22</v>
      </c>
      <c r="E99" s="7"/>
      <c r="F99" s="8">
        <f t="shared" si="1"/>
        <v>524</v>
      </c>
      <c r="G99" s="6">
        <v>29.5</v>
      </c>
      <c r="H99" s="9">
        <v>3.375</v>
      </c>
      <c r="I99" s="10" t="str">
        <f>IF(B99=0,"...",IF(D99="CERRADA","-",VLOOKUP(B99,$AC$2:$AD$40,2,FALSE)))</f>
        <v>-</v>
      </c>
      <c r="J99" s="11">
        <v>3.72</v>
      </c>
      <c r="K99" s="10">
        <f t="shared" si="3"/>
        <v>99.5625</v>
      </c>
      <c r="L99" s="10">
        <f t="shared" si="4"/>
        <v>109.74</v>
      </c>
      <c r="M99" s="12">
        <f t="shared" si="5"/>
        <v>0.1022222222</v>
      </c>
      <c r="N99" s="16">
        <f t="shared" si="6"/>
        <v>10.1775</v>
      </c>
      <c r="O99" s="2"/>
      <c r="P99" s="10"/>
      <c r="Q99" s="14" t="str">
        <f t="shared" si="7"/>
        <v>...</v>
      </c>
      <c r="R99" s="12" t="str">
        <f t="shared" si="8"/>
        <v/>
      </c>
      <c r="S99" s="10" t="str">
        <f t="shared" si="9"/>
        <v>...</v>
      </c>
      <c r="T99" s="10" t="str">
        <f t="shared" si="10"/>
        <v>...</v>
      </c>
      <c r="U99" s="12" t="str">
        <f t="shared" si="11"/>
        <v>...</v>
      </c>
      <c r="V99" s="10" t="str">
        <f t="shared" si="12"/>
        <v>...</v>
      </c>
      <c r="W99" s="2"/>
      <c r="X99" s="2"/>
      <c r="Y99" s="2"/>
      <c r="Z99" s="2"/>
      <c r="AA99" s="2"/>
      <c r="AB99" s="2"/>
      <c r="AC99" s="15"/>
      <c r="AD99" s="15"/>
      <c r="AE99" s="2"/>
    </row>
    <row r="100" ht="24.0" customHeight="1">
      <c r="A100" s="4" t="s">
        <v>20</v>
      </c>
      <c r="B100" s="4" t="s">
        <v>29</v>
      </c>
      <c r="C100" s="5">
        <v>45596.0</v>
      </c>
      <c r="D100" s="6" t="s">
        <v>22</v>
      </c>
      <c r="E100" s="7"/>
      <c r="F100" s="8">
        <f t="shared" si="1"/>
        <v>521</v>
      </c>
      <c r="G100" s="6">
        <v>0.0393</v>
      </c>
      <c r="H100" s="9">
        <v>2538.33</v>
      </c>
      <c r="I100" s="10" t="str">
        <f>IF(B100=0,"...",IF(D100="CERRADA","-",VLOOKUP(B100,$AC$2:$AD$27,2,FALSE)))</f>
        <v>-</v>
      </c>
      <c r="J100" s="11">
        <v>2744.0</v>
      </c>
      <c r="K100" s="10">
        <f t="shared" si="3"/>
        <v>99.756369</v>
      </c>
      <c r="L100" s="10">
        <f t="shared" si="4"/>
        <v>107.8392</v>
      </c>
      <c r="M100" s="12">
        <f t="shared" si="5"/>
        <v>0.08102571376</v>
      </c>
      <c r="N100" s="16">
        <f t="shared" si="6"/>
        <v>8.082831</v>
      </c>
      <c r="O100" s="2"/>
      <c r="P100" s="10"/>
      <c r="Q100" s="14" t="str">
        <f t="shared" si="7"/>
        <v>...</v>
      </c>
      <c r="R100" s="12" t="str">
        <f t="shared" si="8"/>
        <v/>
      </c>
      <c r="S100" s="10" t="str">
        <f t="shared" si="9"/>
        <v>...</v>
      </c>
      <c r="T100" s="10" t="str">
        <f t="shared" si="10"/>
        <v>...</v>
      </c>
      <c r="U100" s="12" t="str">
        <f t="shared" si="11"/>
        <v>...</v>
      </c>
      <c r="V100" s="10" t="str">
        <f t="shared" si="12"/>
        <v>...</v>
      </c>
      <c r="W100" s="2"/>
      <c r="X100" s="2"/>
      <c r="Y100" s="2"/>
      <c r="Z100" s="2"/>
      <c r="AA100" s="2"/>
      <c r="AB100" s="2"/>
      <c r="AC100" s="15"/>
      <c r="AD100" s="15"/>
      <c r="AE100" s="2"/>
    </row>
    <row r="101" ht="24.0" customHeight="1">
      <c r="A101" s="4" t="s">
        <v>20</v>
      </c>
      <c r="B101" s="4" t="s">
        <v>51</v>
      </c>
      <c r="C101" s="5">
        <v>45615.0</v>
      </c>
      <c r="D101" s="6" t="s">
        <v>22</v>
      </c>
      <c r="E101" s="7"/>
      <c r="F101" s="8">
        <f t="shared" si="1"/>
        <v>502</v>
      </c>
      <c r="G101" s="6">
        <v>0.597</v>
      </c>
      <c r="H101" s="9">
        <v>167.4553</v>
      </c>
      <c r="I101" s="10" t="str">
        <f t="shared" ref="I101:I102" si="13">IF(B101=0,"...",IF(D101="CERRADA","-",VLOOKUP(B101,$AC$2:$AD$40,2,FALSE)))</f>
        <v>-</v>
      </c>
      <c r="J101" s="11">
        <v>188.79</v>
      </c>
      <c r="K101" s="10">
        <f t="shared" si="3"/>
        <v>99.9708141</v>
      </c>
      <c r="L101" s="10">
        <f t="shared" si="4"/>
        <v>112.70763</v>
      </c>
      <c r="M101" s="12">
        <f t="shared" si="5"/>
        <v>0.1274053434</v>
      </c>
      <c r="N101" s="16">
        <f t="shared" si="6"/>
        <v>12.7368159</v>
      </c>
      <c r="O101" s="2"/>
      <c r="P101" s="10"/>
      <c r="Q101" s="14" t="str">
        <f t="shared" si="7"/>
        <v>...</v>
      </c>
      <c r="R101" s="12" t="str">
        <f t="shared" si="8"/>
        <v/>
      </c>
      <c r="S101" s="10" t="str">
        <f t="shared" si="9"/>
        <v>...</v>
      </c>
      <c r="T101" s="10" t="str">
        <f t="shared" si="10"/>
        <v>...</v>
      </c>
      <c r="U101" s="12" t="str">
        <f t="shared" si="11"/>
        <v>...</v>
      </c>
      <c r="V101" s="10" t="str">
        <f t="shared" si="12"/>
        <v>...</v>
      </c>
      <c r="W101" s="2"/>
      <c r="X101" s="2"/>
      <c r="Y101" s="2"/>
      <c r="Z101" s="2"/>
      <c r="AA101" s="2"/>
      <c r="AB101" s="2"/>
      <c r="AC101" s="15"/>
      <c r="AD101" s="15"/>
      <c r="AE101" s="2"/>
    </row>
    <row r="102" ht="24.0" customHeight="1">
      <c r="A102" s="4" t="s">
        <v>20</v>
      </c>
      <c r="B102" s="4" t="s">
        <v>61</v>
      </c>
      <c r="C102" s="5">
        <v>45615.0</v>
      </c>
      <c r="D102" s="6" t="s">
        <v>24</v>
      </c>
      <c r="E102" s="7"/>
      <c r="F102" s="8">
        <f t="shared" si="1"/>
        <v>502</v>
      </c>
      <c r="G102" s="6">
        <v>8.6</v>
      </c>
      <c r="H102" s="9">
        <v>5.769</v>
      </c>
      <c r="I102" s="10">
        <f t="shared" si="13"/>
        <v>0.597927</v>
      </c>
      <c r="J102" s="11">
        <f>IF(B102=0,"...",IF(D102="CERRADA","Valor Venta",I102*(1-VLOOKUP(A102,Config!$B$3:$C$22,2,FALSE))))</f>
        <v>0.59358605</v>
      </c>
      <c r="K102" s="10">
        <f t="shared" si="3"/>
        <v>49.6134</v>
      </c>
      <c r="L102" s="10">
        <f t="shared" si="4"/>
        <v>5.10484003</v>
      </c>
      <c r="M102" s="12">
        <f t="shared" si="5"/>
        <v>-0.8971076356</v>
      </c>
      <c r="N102" s="16">
        <f t="shared" si="6"/>
        <v>-44.50855997</v>
      </c>
      <c r="O102" s="2"/>
      <c r="P102" s="10"/>
      <c r="Q102" s="14" t="str">
        <f t="shared" si="7"/>
        <v>...</v>
      </c>
      <c r="R102" s="12" t="str">
        <f t="shared" si="8"/>
        <v/>
      </c>
      <c r="S102" s="10" t="str">
        <f t="shared" si="9"/>
        <v>...</v>
      </c>
      <c r="T102" s="10" t="str">
        <f t="shared" si="10"/>
        <v>...</v>
      </c>
      <c r="U102" s="12" t="str">
        <f t="shared" si="11"/>
        <v>...</v>
      </c>
      <c r="V102" s="10" t="str">
        <f t="shared" si="12"/>
        <v>...</v>
      </c>
      <c r="W102" s="2"/>
      <c r="X102" s="2"/>
      <c r="Y102" s="2"/>
      <c r="Z102" s="2"/>
      <c r="AA102" s="2"/>
      <c r="AB102" s="2"/>
      <c r="AC102" s="15"/>
      <c r="AD102" s="15"/>
      <c r="AE102" s="2"/>
    </row>
    <row r="103" ht="24.0" customHeight="1">
      <c r="A103" s="4" t="s">
        <v>20</v>
      </c>
      <c r="B103" s="4" t="s">
        <v>44</v>
      </c>
      <c r="C103" s="5">
        <v>45631.0</v>
      </c>
      <c r="D103" s="6" t="s">
        <v>22</v>
      </c>
      <c r="E103" s="7"/>
      <c r="F103" s="8">
        <f t="shared" si="1"/>
        <v>486</v>
      </c>
      <c r="G103" s="9">
        <v>2.323</v>
      </c>
      <c r="H103" s="9">
        <v>43.39</v>
      </c>
      <c r="I103" s="10" t="str">
        <f t="shared" ref="I103:I105" si="14">IF(B103=0,"...",IF(D103="CERRADA","-",VLOOKUP(B103,$AC$2:$AD$27,2,FALSE)))</f>
        <v>-</v>
      </c>
      <c r="J103" s="11">
        <v>43.34</v>
      </c>
      <c r="K103" s="10">
        <f t="shared" si="3"/>
        <v>100.79497</v>
      </c>
      <c r="L103" s="10">
        <f t="shared" si="4"/>
        <v>100.67882</v>
      </c>
      <c r="M103" s="12">
        <f t="shared" si="5"/>
        <v>-0.001152339249</v>
      </c>
      <c r="N103" s="16">
        <f t="shared" si="6"/>
        <v>-0.11615</v>
      </c>
      <c r="O103" s="2"/>
      <c r="P103" s="10"/>
      <c r="Q103" s="14" t="str">
        <f t="shared" si="7"/>
        <v>...</v>
      </c>
      <c r="R103" s="12" t="str">
        <f t="shared" si="8"/>
        <v/>
      </c>
      <c r="S103" s="10" t="str">
        <f t="shared" si="9"/>
        <v>...</v>
      </c>
      <c r="T103" s="10" t="str">
        <f t="shared" si="10"/>
        <v>...</v>
      </c>
      <c r="U103" s="12" t="str">
        <f t="shared" si="11"/>
        <v>...</v>
      </c>
      <c r="V103" s="10" t="str">
        <f t="shared" si="12"/>
        <v>...</v>
      </c>
      <c r="W103" s="2"/>
      <c r="X103" s="2"/>
      <c r="Y103" s="2"/>
      <c r="Z103" s="2"/>
      <c r="AA103" s="2"/>
      <c r="AB103" s="2"/>
      <c r="AC103" s="15"/>
      <c r="AD103" s="15"/>
      <c r="AE103" s="2"/>
    </row>
    <row r="104" ht="24.0" customHeight="1">
      <c r="A104" s="4" t="s">
        <v>20</v>
      </c>
      <c r="B104" s="4" t="s">
        <v>41</v>
      </c>
      <c r="C104" s="5">
        <v>45646.0</v>
      </c>
      <c r="D104" s="6" t="s">
        <v>22</v>
      </c>
      <c r="E104" s="7"/>
      <c r="F104" s="8">
        <f t="shared" si="1"/>
        <v>471</v>
      </c>
      <c r="G104" s="6">
        <v>6.88</v>
      </c>
      <c r="H104" s="6">
        <v>14.54</v>
      </c>
      <c r="I104" s="10" t="str">
        <f t="shared" si="14"/>
        <v>-</v>
      </c>
      <c r="J104" s="11">
        <v>14.52</v>
      </c>
      <c r="K104" s="10">
        <f t="shared" si="3"/>
        <v>100.0352</v>
      </c>
      <c r="L104" s="10">
        <f t="shared" si="4"/>
        <v>99.8976</v>
      </c>
      <c r="M104" s="12">
        <f t="shared" si="5"/>
        <v>-0.001375515818</v>
      </c>
      <c r="N104" s="16">
        <f t="shared" si="6"/>
        <v>-0.1376</v>
      </c>
      <c r="O104" s="2"/>
      <c r="P104" s="10"/>
      <c r="Q104" s="14" t="str">
        <f t="shared" si="7"/>
        <v>...</v>
      </c>
      <c r="R104" s="12" t="str">
        <f t="shared" si="8"/>
        <v/>
      </c>
      <c r="S104" s="10" t="str">
        <f t="shared" si="9"/>
        <v>...</v>
      </c>
      <c r="T104" s="10" t="str">
        <f t="shared" si="10"/>
        <v>...</v>
      </c>
      <c r="U104" s="12" t="str">
        <f t="shared" si="11"/>
        <v>...</v>
      </c>
      <c r="V104" s="10" t="str">
        <f t="shared" si="12"/>
        <v>...</v>
      </c>
      <c r="W104" s="2"/>
      <c r="X104" s="2"/>
      <c r="Y104" s="2"/>
      <c r="Z104" s="2"/>
      <c r="AA104" s="2"/>
      <c r="AB104" s="2"/>
      <c r="AC104" s="15"/>
      <c r="AD104" s="15"/>
      <c r="AE104" s="2"/>
    </row>
    <row r="105" ht="24.0" customHeight="1">
      <c r="A105" s="4" t="s">
        <v>20</v>
      </c>
      <c r="B105" s="4" t="s">
        <v>39</v>
      </c>
      <c r="C105" s="5">
        <v>45646.0</v>
      </c>
      <c r="D105" s="6" t="s">
        <v>22</v>
      </c>
      <c r="E105" s="7"/>
      <c r="F105" s="8">
        <f t="shared" si="1"/>
        <v>471</v>
      </c>
      <c r="G105" s="6">
        <v>0.02</v>
      </c>
      <c r="H105" s="6">
        <v>4130.5</v>
      </c>
      <c r="I105" s="10" t="str">
        <f t="shared" si="14"/>
        <v>-</v>
      </c>
      <c r="J105" s="11">
        <v>4126.3</v>
      </c>
      <c r="K105" s="10">
        <f t="shared" si="3"/>
        <v>82.61</v>
      </c>
      <c r="L105" s="10">
        <f t="shared" si="4"/>
        <v>82.526</v>
      </c>
      <c r="M105" s="12">
        <f t="shared" si="5"/>
        <v>-0.00101682605</v>
      </c>
      <c r="N105" s="16">
        <f t="shared" si="6"/>
        <v>-0.084</v>
      </c>
      <c r="O105" s="2"/>
      <c r="P105" s="10"/>
      <c r="Q105" s="14" t="str">
        <f t="shared" si="7"/>
        <v>...</v>
      </c>
      <c r="R105" s="12" t="str">
        <f t="shared" si="8"/>
        <v/>
      </c>
      <c r="S105" s="10" t="str">
        <f t="shared" si="9"/>
        <v>...</v>
      </c>
      <c r="T105" s="10" t="str">
        <f t="shared" si="10"/>
        <v>...</v>
      </c>
      <c r="U105" s="12" t="str">
        <f t="shared" si="11"/>
        <v>...</v>
      </c>
      <c r="V105" s="10" t="str">
        <f t="shared" si="12"/>
        <v>...</v>
      </c>
      <c r="W105" s="2"/>
      <c r="X105" s="2"/>
      <c r="Y105" s="2"/>
      <c r="Z105" s="2"/>
      <c r="AA105" s="2"/>
      <c r="AB105" s="2"/>
      <c r="AC105" s="15"/>
      <c r="AD105" s="15"/>
      <c r="AE105" s="2"/>
    </row>
    <row r="106" ht="24.0" customHeight="1">
      <c r="A106" s="4" t="s">
        <v>65</v>
      </c>
      <c r="B106" s="4" t="s">
        <v>63</v>
      </c>
      <c r="C106" s="5">
        <v>45676.0</v>
      </c>
      <c r="D106" s="6" t="s">
        <v>22</v>
      </c>
      <c r="E106" s="7"/>
      <c r="F106" s="8">
        <f t="shared" si="1"/>
        <v>441</v>
      </c>
      <c r="G106" s="6">
        <v>0.67</v>
      </c>
      <c r="H106" s="9">
        <v>74.55</v>
      </c>
      <c r="I106" s="11">
        <v>51.8</v>
      </c>
      <c r="J106" s="11" t="str">
        <f>IF(B106=0,"...",IF(D106="CERRADA","Valor Venta",I106*(1-VLOOKUP(A106,Config!$B$3:$C$22,2,FALSE))))</f>
        <v>Valor Venta</v>
      </c>
      <c r="K106" s="10">
        <f t="shared" si="3"/>
        <v>49.9485</v>
      </c>
      <c r="L106" s="10" t="str">
        <f t="shared" si="4"/>
        <v>#VALUE!</v>
      </c>
      <c r="M106" s="12" t="str">
        <f t="shared" si="5"/>
        <v>#VALUE!</v>
      </c>
      <c r="N106" s="13" t="str">
        <f t="shared" si="6"/>
        <v>#VALUE!</v>
      </c>
      <c r="O106" s="2"/>
      <c r="P106" s="10"/>
      <c r="Q106" s="14" t="str">
        <f t="shared" si="7"/>
        <v>...</v>
      </c>
      <c r="R106" s="12" t="str">
        <f t="shared" si="8"/>
        <v/>
      </c>
      <c r="S106" s="10" t="str">
        <f t="shared" si="9"/>
        <v>...</v>
      </c>
      <c r="T106" s="10" t="str">
        <f t="shared" si="10"/>
        <v>...</v>
      </c>
      <c r="U106" s="12" t="str">
        <f t="shared" si="11"/>
        <v>...</v>
      </c>
      <c r="V106" s="10" t="str">
        <f t="shared" si="12"/>
        <v>...</v>
      </c>
      <c r="W106" s="2"/>
      <c r="X106" s="2"/>
      <c r="Y106" s="2"/>
      <c r="Z106" s="2"/>
      <c r="AA106" s="2"/>
      <c r="AB106" s="2"/>
      <c r="AC106" s="15"/>
      <c r="AD106" s="15"/>
      <c r="AE106" s="2"/>
    </row>
    <row r="107" ht="24.0" customHeight="1">
      <c r="A107" s="4" t="s">
        <v>66</v>
      </c>
      <c r="B107" s="4" t="s">
        <v>64</v>
      </c>
      <c r="C107" s="5">
        <v>45662.0</v>
      </c>
      <c r="D107" s="6" t="s">
        <v>22</v>
      </c>
      <c r="E107" s="7"/>
      <c r="F107" s="8">
        <f t="shared" si="1"/>
        <v>455</v>
      </c>
      <c r="G107" s="6">
        <v>75.10482</v>
      </c>
      <c r="H107" s="9">
        <v>1.3352</v>
      </c>
      <c r="I107" s="10" t="str">
        <f>IF(B107=0,"...",IF(D107="CERRADA","-",VLOOKUP(B107,$AC$2:$AD$27,2,FALSE)))</f>
        <v>-</v>
      </c>
      <c r="J107" s="11" t="str">
        <f>IF(B107=0,"...",IF(D107="CERRADA","Valor Venta",I107*(1-VLOOKUP(A107,Config!$B$3:$C$22,2,FALSE))))</f>
        <v>Valor Venta</v>
      </c>
      <c r="K107" s="10">
        <f t="shared" si="3"/>
        <v>100.2799557</v>
      </c>
      <c r="L107" s="10" t="str">
        <f t="shared" si="4"/>
        <v>#VALUE!</v>
      </c>
      <c r="M107" s="12" t="str">
        <f t="shared" si="5"/>
        <v>#VALUE!</v>
      </c>
      <c r="N107" s="13" t="str">
        <f t="shared" si="6"/>
        <v>#VALUE!</v>
      </c>
      <c r="O107" s="2"/>
      <c r="P107" s="10"/>
      <c r="Q107" s="14" t="str">
        <f t="shared" si="7"/>
        <v>...</v>
      </c>
      <c r="R107" s="12" t="str">
        <f t="shared" si="8"/>
        <v/>
      </c>
      <c r="S107" s="10" t="str">
        <f t="shared" si="9"/>
        <v>...</v>
      </c>
      <c r="T107" s="10" t="str">
        <f t="shared" si="10"/>
        <v>...</v>
      </c>
      <c r="U107" s="12" t="str">
        <f t="shared" si="11"/>
        <v>...</v>
      </c>
      <c r="V107" s="10" t="str">
        <f t="shared" si="12"/>
        <v>...</v>
      </c>
      <c r="W107" s="2"/>
      <c r="X107" s="2"/>
      <c r="Y107" s="2"/>
      <c r="Z107" s="2"/>
      <c r="AA107" s="2"/>
      <c r="AB107" s="2"/>
      <c r="AC107" s="15"/>
      <c r="AD107" s="15"/>
      <c r="AE107" s="2"/>
    </row>
    <row r="108" ht="24.0" customHeight="1">
      <c r="A108" s="4" t="s">
        <v>20</v>
      </c>
      <c r="B108" s="4" t="s">
        <v>62</v>
      </c>
      <c r="C108" s="5">
        <v>45775.0</v>
      </c>
      <c r="D108" s="6" t="s">
        <v>22</v>
      </c>
      <c r="E108" s="7"/>
      <c r="F108" s="8">
        <f t="shared" si="1"/>
        <v>342</v>
      </c>
      <c r="G108" s="6">
        <v>43.9</v>
      </c>
      <c r="H108" s="9">
        <v>2.2816</v>
      </c>
      <c r="I108" s="10" t="str">
        <f t="shared" ref="I108:I115" si="15">IF(B108=0,"...",IF(D108="CERRADA","-",VLOOKUP(B108,$AC$2:$AD$40,2,FALSE)))</f>
        <v>-</v>
      </c>
      <c r="J108" s="11" t="str">
        <f>IF(B108=0,"...",IF(D108="CERRADA","Valor Venta",I108*(1-VLOOKUP(A108,Config!$B$3:$C$22,2,FALSE))))</f>
        <v>Valor Venta</v>
      </c>
      <c r="K108" s="10">
        <f t="shared" si="3"/>
        <v>100.16224</v>
      </c>
      <c r="L108" s="10" t="str">
        <f t="shared" si="4"/>
        <v>#VALUE!</v>
      </c>
      <c r="M108" s="12" t="str">
        <f t="shared" si="5"/>
        <v>#VALUE!</v>
      </c>
      <c r="N108" s="13" t="str">
        <f t="shared" si="6"/>
        <v>#VALUE!</v>
      </c>
      <c r="O108" s="2"/>
      <c r="P108" s="10"/>
      <c r="Q108" s="14" t="str">
        <f t="shared" si="7"/>
        <v>...</v>
      </c>
      <c r="R108" s="12" t="str">
        <f t="shared" si="8"/>
        <v/>
      </c>
      <c r="S108" s="10" t="str">
        <f t="shared" si="9"/>
        <v>...</v>
      </c>
      <c r="T108" s="10" t="str">
        <f t="shared" si="10"/>
        <v>...</v>
      </c>
      <c r="U108" s="12" t="str">
        <f t="shared" si="11"/>
        <v>...</v>
      </c>
      <c r="V108" s="10" t="str">
        <f t="shared" si="12"/>
        <v>...</v>
      </c>
      <c r="W108" s="2"/>
      <c r="X108" s="2"/>
      <c r="Y108" s="2"/>
      <c r="Z108" s="2"/>
      <c r="AA108" s="2"/>
      <c r="AB108" s="2"/>
      <c r="AC108" s="15"/>
      <c r="AD108" s="15"/>
      <c r="AE108" s="2"/>
    </row>
    <row r="109" ht="24.0" customHeight="1">
      <c r="A109" s="4" t="s">
        <v>20</v>
      </c>
      <c r="B109" s="4" t="s">
        <v>60</v>
      </c>
      <c r="C109" s="5">
        <v>45791.0</v>
      </c>
      <c r="D109" s="6" t="s">
        <v>24</v>
      </c>
      <c r="E109" s="7"/>
      <c r="F109" s="8">
        <f t="shared" si="1"/>
        <v>326</v>
      </c>
      <c r="G109" s="6">
        <v>27.6</v>
      </c>
      <c r="H109" s="9">
        <v>3.9621</v>
      </c>
      <c r="I109" s="10">
        <f t="shared" si="15"/>
        <v>0.850209</v>
      </c>
      <c r="J109" s="11">
        <f>IF(B109=0,"...",IF(D109="CERRADA","Valor Venta",I109*(1-VLOOKUP(A109,Config!$B$3:$C$22,2,FALSE))))</f>
        <v>0.8440364827</v>
      </c>
      <c r="K109" s="10">
        <f t="shared" si="3"/>
        <v>109.35396</v>
      </c>
      <c r="L109" s="10">
        <f t="shared" si="4"/>
        <v>23.29540692</v>
      </c>
      <c r="M109" s="12">
        <f t="shared" si="5"/>
        <v>-0.7869724432</v>
      </c>
      <c r="N109" s="16">
        <f t="shared" si="6"/>
        <v>-86.05855308</v>
      </c>
      <c r="O109" s="2"/>
      <c r="P109" s="10"/>
      <c r="Q109" s="14" t="str">
        <f t="shared" si="7"/>
        <v>...</v>
      </c>
      <c r="R109" s="12" t="str">
        <f t="shared" si="8"/>
        <v/>
      </c>
      <c r="S109" s="10" t="str">
        <f t="shared" si="9"/>
        <v>...</v>
      </c>
      <c r="T109" s="10" t="str">
        <f t="shared" si="10"/>
        <v>...</v>
      </c>
      <c r="U109" s="12" t="str">
        <f t="shared" si="11"/>
        <v>...</v>
      </c>
      <c r="V109" s="10" t="str">
        <f t="shared" si="12"/>
        <v>...</v>
      </c>
      <c r="W109" s="2"/>
      <c r="X109" s="2"/>
      <c r="Y109" s="2"/>
      <c r="Z109" s="2"/>
      <c r="AA109" s="2"/>
      <c r="AB109" s="2"/>
      <c r="AC109" s="15"/>
      <c r="AD109" s="15"/>
      <c r="AE109" s="2"/>
    </row>
    <row r="110" ht="24.0" customHeight="1">
      <c r="A110" s="4" t="s">
        <v>20</v>
      </c>
      <c r="B110" s="4" t="s">
        <v>51</v>
      </c>
      <c r="C110" s="5">
        <v>45859.0</v>
      </c>
      <c r="D110" s="6" t="s">
        <v>24</v>
      </c>
      <c r="E110" s="7"/>
      <c r="F110" s="8">
        <f t="shared" si="1"/>
        <v>258</v>
      </c>
      <c r="G110" s="6">
        <v>0.305</v>
      </c>
      <c r="H110" s="9">
        <v>331.2</v>
      </c>
      <c r="I110" s="10" t="str">
        <f t="shared" si="15"/>
        <v>#ERROR!</v>
      </c>
      <c r="J110" s="11" t="str">
        <f>IF(B110=0,"...",IF(D110="CERRADA","Valor Venta",I110*(1-VLOOKUP(A110,Config!$B$3:$C$22,2,FALSE))))</f>
        <v>#ERROR!</v>
      </c>
      <c r="K110" s="10">
        <f t="shared" si="3"/>
        <v>101.016</v>
      </c>
      <c r="L110" s="10" t="str">
        <f t="shared" si="4"/>
        <v>#ERROR!</v>
      </c>
      <c r="M110" s="12" t="str">
        <f t="shared" si="5"/>
        <v>#ERROR!</v>
      </c>
      <c r="N110" s="13" t="str">
        <f t="shared" si="6"/>
        <v>#ERROR!</v>
      </c>
      <c r="O110" s="2"/>
      <c r="P110" s="10"/>
      <c r="Q110" s="14" t="str">
        <f t="shared" si="7"/>
        <v>...</v>
      </c>
      <c r="R110" s="12" t="str">
        <f t="shared" si="8"/>
        <v/>
      </c>
      <c r="S110" s="10" t="str">
        <f t="shared" si="9"/>
        <v>...</v>
      </c>
      <c r="T110" s="10" t="str">
        <f t="shared" si="10"/>
        <v>...</v>
      </c>
      <c r="U110" s="12" t="str">
        <f t="shared" si="11"/>
        <v>...</v>
      </c>
      <c r="V110" s="10" t="str">
        <f t="shared" si="12"/>
        <v>...</v>
      </c>
      <c r="W110" s="2"/>
      <c r="X110" s="2"/>
      <c r="Y110" s="2"/>
      <c r="Z110" s="2"/>
      <c r="AA110" s="2"/>
      <c r="AB110" s="2"/>
      <c r="AC110" s="15"/>
      <c r="AD110" s="15"/>
      <c r="AE110" s="2"/>
    </row>
    <row r="111" ht="24.0" customHeight="1">
      <c r="A111" s="4" t="s">
        <v>20</v>
      </c>
      <c r="B111" s="4" t="s">
        <v>35</v>
      </c>
      <c r="C111" s="5">
        <v>45859.0</v>
      </c>
      <c r="D111" s="6" t="s">
        <v>24</v>
      </c>
      <c r="E111" s="7"/>
      <c r="F111" s="8">
        <f t="shared" si="1"/>
        <v>258</v>
      </c>
      <c r="G111" s="6">
        <v>8.52</v>
      </c>
      <c r="H111" s="9">
        <v>10.547</v>
      </c>
      <c r="I111" s="10" t="str">
        <f t="shared" si="15"/>
        <v/>
      </c>
      <c r="J111" s="11">
        <f>IF(B111=0,"...",IF(D111="CERRADA","Valor Venta",I111*(1-VLOOKUP(A111,Config!$B$3:$C$22,2,FALSE))))</f>
        <v>0</v>
      </c>
      <c r="K111" s="10">
        <f t="shared" si="3"/>
        <v>89.86044</v>
      </c>
      <c r="L111" s="10">
        <f t="shared" si="4"/>
        <v>0</v>
      </c>
      <c r="M111" s="12">
        <f t="shared" si="5"/>
        <v>-1</v>
      </c>
      <c r="N111" s="16">
        <f t="shared" si="6"/>
        <v>-89.86044</v>
      </c>
      <c r="O111" s="2"/>
      <c r="P111" s="10"/>
      <c r="Q111" s="14" t="str">
        <f t="shared" si="7"/>
        <v>...</v>
      </c>
      <c r="R111" s="12" t="str">
        <f t="shared" si="8"/>
        <v/>
      </c>
      <c r="S111" s="10" t="str">
        <f t="shared" si="9"/>
        <v>...</v>
      </c>
      <c r="T111" s="10" t="str">
        <f t="shared" si="10"/>
        <v>...</v>
      </c>
      <c r="U111" s="12" t="str">
        <f t="shared" si="11"/>
        <v>...</v>
      </c>
      <c r="V111" s="10" t="str">
        <f t="shared" si="12"/>
        <v>...</v>
      </c>
      <c r="W111" s="2"/>
      <c r="X111" s="2"/>
      <c r="Y111" s="2"/>
      <c r="Z111" s="2"/>
      <c r="AA111" s="2"/>
      <c r="AB111" s="2"/>
      <c r="AC111" s="15"/>
      <c r="AD111" s="15"/>
      <c r="AE111" s="2"/>
    </row>
    <row r="112" ht="24.0" customHeight="1">
      <c r="A112" s="4" t="s">
        <v>20</v>
      </c>
      <c r="B112" s="4" t="s">
        <v>23</v>
      </c>
      <c r="C112" s="5">
        <v>45859.0</v>
      </c>
      <c r="D112" s="6" t="s">
        <v>22</v>
      </c>
      <c r="E112" s="17">
        <v>45937.0</v>
      </c>
      <c r="F112" s="8">
        <f t="shared" si="1"/>
        <v>78</v>
      </c>
      <c r="G112" s="6">
        <v>0.166</v>
      </c>
      <c r="H112" s="9">
        <v>769.03</v>
      </c>
      <c r="I112" s="10" t="str">
        <f t="shared" si="15"/>
        <v>-</v>
      </c>
      <c r="J112" s="11">
        <v>1290.0</v>
      </c>
      <c r="K112" s="10">
        <f t="shared" si="3"/>
        <v>127.65898</v>
      </c>
      <c r="L112" s="10">
        <f t="shared" si="4"/>
        <v>214.14</v>
      </c>
      <c r="M112" s="12">
        <f t="shared" si="5"/>
        <v>0.6774378113</v>
      </c>
      <c r="N112" s="16">
        <f t="shared" si="6"/>
        <v>86.48102</v>
      </c>
      <c r="O112" s="2"/>
      <c r="P112" s="10"/>
      <c r="Q112" s="14" t="str">
        <f t="shared" si="7"/>
        <v>...</v>
      </c>
      <c r="R112" s="12" t="str">
        <f t="shared" si="8"/>
        <v/>
      </c>
      <c r="S112" s="10" t="str">
        <f t="shared" si="9"/>
        <v>...</v>
      </c>
      <c r="T112" s="10" t="str">
        <f t="shared" si="10"/>
        <v>...</v>
      </c>
      <c r="U112" s="12" t="str">
        <f t="shared" si="11"/>
        <v>...</v>
      </c>
      <c r="V112" s="10" t="str">
        <f t="shared" si="12"/>
        <v>...</v>
      </c>
      <c r="W112" s="2"/>
      <c r="X112" s="2"/>
      <c r="Y112" s="2"/>
      <c r="Z112" s="2"/>
      <c r="AA112" s="2"/>
      <c r="AB112" s="2"/>
      <c r="AC112" s="15"/>
      <c r="AD112" s="15"/>
      <c r="AE112" s="2"/>
    </row>
    <row r="113" ht="24.0" customHeight="1">
      <c r="A113" s="4" t="s">
        <v>20</v>
      </c>
      <c r="B113" s="4" t="s">
        <v>52</v>
      </c>
      <c r="C113" s="5">
        <v>45859.0</v>
      </c>
      <c r="D113" s="6" t="s">
        <v>24</v>
      </c>
      <c r="E113" s="7"/>
      <c r="F113" s="8">
        <f t="shared" si="1"/>
        <v>258</v>
      </c>
      <c r="G113" s="6">
        <v>316.1</v>
      </c>
      <c r="H113" s="9">
        <v>0.3163</v>
      </c>
      <c r="I113" s="10">
        <f t="shared" si="15"/>
        <v>0.317713</v>
      </c>
      <c r="J113" s="11">
        <f>IF(B113=0,"...",IF(D113="CERRADA","Valor Venta",I113*(1-VLOOKUP(A113,Config!$B$3:$C$22,2,FALSE))))</f>
        <v>0.3154064036</v>
      </c>
      <c r="K113" s="10">
        <f t="shared" si="3"/>
        <v>99.98243</v>
      </c>
      <c r="L113" s="10">
        <f t="shared" si="4"/>
        <v>99.69996418</v>
      </c>
      <c r="M113" s="12">
        <f t="shared" si="5"/>
        <v>-0.002825154537</v>
      </c>
      <c r="N113" s="16">
        <f t="shared" si="6"/>
        <v>-0.2824658157</v>
      </c>
      <c r="O113" s="2"/>
      <c r="P113" s="10"/>
      <c r="Q113" s="14" t="str">
        <f t="shared" si="7"/>
        <v>...</v>
      </c>
      <c r="R113" s="12" t="str">
        <f t="shared" si="8"/>
        <v/>
      </c>
      <c r="S113" s="10" t="str">
        <f t="shared" si="9"/>
        <v>...</v>
      </c>
      <c r="T113" s="10" t="str">
        <f t="shared" si="10"/>
        <v>...</v>
      </c>
      <c r="U113" s="12" t="str">
        <f t="shared" si="11"/>
        <v>...</v>
      </c>
      <c r="V113" s="10" t="str">
        <f t="shared" si="12"/>
        <v>...</v>
      </c>
      <c r="W113" s="2"/>
      <c r="X113" s="2"/>
      <c r="Y113" s="2"/>
      <c r="Z113" s="2"/>
      <c r="AA113" s="2"/>
      <c r="AB113" s="2"/>
      <c r="AC113" s="15"/>
      <c r="AD113" s="15"/>
      <c r="AE113" s="2"/>
    </row>
    <row r="114" ht="24.0" customHeight="1">
      <c r="A114" s="4" t="s">
        <v>20</v>
      </c>
      <c r="B114" s="4" t="s">
        <v>25</v>
      </c>
      <c r="C114" s="5">
        <v>45866.0</v>
      </c>
      <c r="D114" s="6" t="s">
        <v>24</v>
      </c>
      <c r="E114" s="7"/>
      <c r="F114" s="8">
        <f t="shared" si="1"/>
        <v>251</v>
      </c>
      <c r="G114" s="6">
        <v>24.63</v>
      </c>
      <c r="H114" s="9">
        <v>4.208</v>
      </c>
      <c r="I114" s="10">
        <f t="shared" si="15"/>
        <v>1.2272</v>
      </c>
      <c r="J114" s="11">
        <f>IF(B114=0,"...",IF(D114="CERRADA","Valor Venta",I114*(1-VLOOKUP(A114,Config!$B$3:$C$22,2,FALSE))))</f>
        <v>1.218290528</v>
      </c>
      <c r="K114" s="10">
        <f t="shared" si="3"/>
        <v>103.64304</v>
      </c>
      <c r="L114" s="10">
        <f t="shared" si="4"/>
        <v>30.0064957</v>
      </c>
      <c r="M114" s="12">
        <f t="shared" si="5"/>
        <v>-0.710482289</v>
      </c>
      <c r="N114" s="16">
        <f t="shared" si="6"/>
        <v>-73.6365443</v>
      </c>
      <c r="O114" s="2"/>
      <c r="P114" s="10"/>
      <c r="Q114" s="14" t="str">
        <f t="shared" si="7"/>
        <v>...</v>
      </c>
      <c r="R114" s="12" t="str">
        <f t="shared" si="8"/>
        <v/>
      </c>
      <c r="S114" s="10" t="str">
        <f t="shared" si="9"/>
        <v>...</v>
      </c>
      <c r="T114" s="10" t="str">
        <f t="shared" si="10"/>
        <v>...</v>
      </c>
      <c r="U114" s="12" t="str">
        <f t="shared" si="11"/>
        <v>...</v>
      </c>
      <c r="V114" s="10" t="str">
        <f t="shared" si="12"/>
        <v>...</v>
      </c>
      <c r="W114" s="2"/>
      <c r="X114" s="2"/>
      <c r="Y114" s="2"/>
      <c r="Z114" s="2"/>
      <c r="AA114" s="2"/>
      <c r="AB114" s="2"/>
      <c r="AC114" s="15"/>
      <c r="AD114" s="15"/>
      <c r="AE114" s="2"/>
    </row>
    <row r="115" ht="24.0" customHeight="1">
      <c r="A115" s="4" t="s">
        <v>20</v>
      </c>
      <c r="B115" s="4" t="s">
        <v>62</v>
      </c>
      <c r="C115" s="5">
        <v>45866.0</v>
      </c>
      <c r="D115" s="6" t="s">
        <v>24</v>
      </c>
      <c r="E115" s="7"/>
      <c r="F115" s="8">
        <f t="shared" si="1"/>
        <v>251</v>
      </c>
      <c r="G115" s="6">
        <v>32.0</v>
      </c>
      <c r="H115" s="9">
        <v>3.2356</v>
      </c>
      <c r="I115" s="10">
        <f t="shared" si="15"/>
        <v>1.3</v>
      </c>
      <c r="J115" s="11">
        <f>IF(B115=0,"...",IF(D115="CERRADA","Valor Venta",I115*(1-VLOOKUP(A115,Config!$B$3:$C$22,2,FALSE))))</f>
        <v>1.290562</v>
      </c>
      <c r="K115" s="10">
        <f t="shared" si="3"/>
        <v>103.5392</v>
      </c>
      <c r="L115" s="10">
        <f t="shared" si="4"/>
        <v>41.297984</v>
      </c>
      <c r="M115" s="12">
        <f t="shared" si="5"/>
        <v>-0.6011367289</v>
      </c>
      <c r="N115" s="16">
        <f t="shared" si="6"/>
        <v>-62.241216</v>
      </c>
      <c r="O115" s="2"/>
      <c r="P115" s="10"/>
      <c r="Q115" s="14" t="str">
        <f t="shared" si="7"/>
        <v>...</v>
      </c>
      <c r="R115" s="12" t="str">
        <f t="shared" si="8"/>
        <v/>
      </c>
      <c r="S115" s="10" t="str">
        <f t="shared" si="9"/>
        <v>...</v>
      </c>
      <c r="T115" s="10" t="str">
        <f t="shared" si="10"/>
        <v>...</v>
      </c>
      <c r="U115" s="12" t="str">
        <f t="shared" si="11"/>
        <v>...</v>
      </c>
      <c r="V115" s="10" t="str">
        <f t="shared" si="12"/>
        <v>...</v>
      </c>
      <c r="W115" s="2"/>
      <c r="X115" s="2"/>
      <c r="Y115" s="2"/>
      <c r="Z115" s="2"/>
      <c r="AA115" s="2"/>
      <c r="AB115" s="2"/>
      <c r="AC115" s="15"/>
      <c r="AD115" s="15"/>
      <c r="AE115" s="2"/>
    </row>
    <row r="116" ht="24.0" customHeight="1">
      <c r="A116" s="4"/>
      <c r="B116" s="30"/>
      <c r="C116" s="5"/>
      <c r="D116" s="31"/>
      <c r="E116" s="7"/>
      <c r="F116" s="8" t="str">
        <f t="shared" si="1"/>
        <v>...</v>
      </c>
      <c r="G116" s="31"/>
      <c r="H116" s="32"/>
      <c r="I116" s="10" t="str">
        <f t="shared" ref="I116:I123" si="16">IF(B116=0,"...",IF(D116="CERRADA","-",VLOOKUP(B116,$AC$2:$AD$27,2,FALSE)))</f>
        <v>...</v>
      </c>
      <c r="J116" s="11" t="str">
        <f>IF(B116=0,"...",IF(D116="CERRADA","Valor Venta",I116*(1-VLOOKUP(A116,Config!$B$3:$C$22,2,FALSE))))</f>
        <v>...</v>
      </c>
      <c r="K116" s="10" t="str">
        <f t="shared" si="3"/>
        <v>...</v>
      </c>
      <c r="L116" s="10" t="str">
        <f t="shared" si="4"/>
        <v>...</v>
      </c>
      <c r="M116" s="12" t="str">
        <f t="shared" si="5"/>
        <v>...</v>
      </c>
      <c r="N116" s="13" t="str">
        <f t="shared" si="6"/>
        <v>...</v>
      </c>
      <c r="O116" s="2"/>
      <c r="P116" s="10"/>
      <c r="Q116" s="14" t="str">
        <f t="shared" si="7"/>
        <v>...</v>
      </c>
      <c r="R116" s="12" t="str">
        <f t="shared" si="8"/>
        <v/>
      </c>
      <c r="S116" s="10" t="str">
        <f t="shared" si="9"/>
        <v>...</v>
      </c>
      <c r="T116" s="10" t="str">
        <f t="shared" si="10"/>
        <v>...</v>
      </c>
      <c r="U116" s="12" t="str">
        <f t="shared" si="11"/>
        <v>...</v>
      </c>
      <c r="V116" s="10" t="str">
        <f t="shared" si="12"/>
        <v>...</v>
      </c>
      <c r="W116" s="2"/>
      <c r="X116" s="2"/>
      <c r="Y116" s="2"/>
      <c r="Z116" s="2"/>
      <c r="AA116" s="2"/>
      <c r="AB116" s="2"/>
      <c r="AC116" s="15"/>
      <c r="AD116" s="15"/>
      <c r="AE116" s="2"/>
    </row>
    <row r="117" ht="24.0" customHeight="1">
      <c r="A117" s="4"/>
      <c r="B117" s="30"/>
      <c r="C117" s="5"/>
      <c r="D117" s="31"/>
      <c r="E117" s="7"/>
      <c r="F117" s="8" t="str">
        <f t="shared" si="1"/>
        <v>...</v>
      </c>
      <c r="G117" s="31"/>
      <c r="H117" s="32"/>
      <c r="I117" s="10" t="str">
        <f t="shared" si="16"/>
        <v>...</v>
      </c>
      <c r="J117" s="11" t="str">
        <f>IF(B117=0,"...",IF(D117="CERRADA","Valor Venta",I117*(1-VLOOKUP(A117,Config!$B$3:$C$22,2,FALSE))))</f>
        <v>...</v>
      </c>
      <c r="K117" s="10" t="str">
        <f t="shared" si="3"/>
        <v>...</v>
      </c>
      <c r="L117" s="10" t="str">
        <f t="shared" si="4"/>
        <v>...</v>
      </c>
      <c r="M117" s="12" t="str">
        <f t="shared" si="5"/>
        <v>...</v>
      </c>
      <c r="N117" s="13" t="str">
        <f t="shared" si="6"/>
        <v>...</v>
      </c>
      <c r="O117" s="2"/>
      <c r="P117" s="10"/>
      <c r="Q117" s="14" t="str">
        <f t="shared" si="7"/>
        <v>...</v>
      </c>
      <c r="R117" s="12" t="str">
        <f t="shared" si="8"/>
        <v/>
      </c>
      <c r="S117" s="10" t="str">
        <f t="shared" si="9"/>
        <v>...</v>
      </c>
      <c r="T117" s="10" t="str">
        <f t="shared" si="10"/>
        <v>...</v>
      </c>
      <c r="U117" s="12" t="str">
        <f t="shared" si="11"/>
        <v>...</v>
      </c>
      <c r="V117" s="10" t="str">
        <f t="shared" si="12"/>
        <v>...</v>
      </c>
      <c r="W117" s="2"/>
      <c r="X117" s="2"/>
      <c r="Y117" s="2"/>
      <c r="Z117" s="2"/>
      <c r="AA117" s="2"/>
      <c r="AB117" s="2"/>
      <c r="AC117" s="15"/>
      <c r="AD117" s="15"/>
      <c r="AE117" s="2"/>
    </row>
    <row r="118" ht="24.0" customHeight="1">
      <c r="A118" s="4"/>
      <c r="B118" s="30"/>
      <c r="C118" s="5"/>
      <c r="D118" s="31"/>
      <c r="E118" s="7"/>
      <c r="F118" s="8" t="str">
        <f t="shared" si="1"/>
        <v>...</v>
      </c>
      <c r="G118" s="31"/>
      <c r="H118" s="32"/>
      <c r="I118" s="10" t="str">
        <f t="shared" si="16"/>
        <v>...</v>
      </c>
      <c r="J118" s="11" t="str">
        <f>IF(B118=0,"...",IF(D118="CERRADA","Valor Venta",I118*(1-VLOOKUP(A118,Config!$B$3:$C$22,2,FALSE))))</f>
        <v>...</v>
      </c>
      <c r="K118" s="10" t="str">
        <f t="shared" si="3"/>
        <v>...</v>
      </c>
      <c r="L118" s="10" t="str">
        <f t="shared" si="4"/>
        <v>...</v>
      </c>
      <c r="M118" s="12" t="str">
        <f t="shared" si="5"/>
        <v>...</v>
      </c>
      <c r="N118" s="13" t="str">
        <f t="shared" si="6"/>
        <v>...</v>
      </c>
      <c r="O118" s="2"/>
      <c r="P118" s="10"/>
      <c r="Q118" s="14" t="str">
        <f t="shared" si="7"/>
        <v>...</v>
      </c>
      <c r="R118" s="12" t="str">
        <f t="shared" si="8"/>
        <v/>
      </c>
      <c r="S118" s="10" t="str">
        <f t="shared" si="9"/>
        <v>...</v>
      </c>
      <c r="T118" s="10" t="str">
        <f t="shared" si="10"/>
        <v>...</v>
      </c>
      <c r="U118" s="12" t="str">
        <f t="shared" si="11"/>
        <v>...</v>
      </c>
      <c r="V118" s="10" t="str">
        <f t="shared" si="12"/>
        <v>...</v>
      </c>
      <c r="W118" s="2"/>
      <c r="X118" s="2"/>
      <c r="Y118" s="2"/>
      <c r="Z118" s="2"/>
      <c r="AA118" s="2"/>
      <c r="AB118" s="2"/>
      <c r="AC118" s="15"/>
      <c r="AD118" s="15"/>
      <c r="AE118" s="2"/>
    </row>
    <row r="119" ht="24.0" customHeight="1">
      <c r="A119" s="4"/>
      <c r="B119" s="30"/>
      <c r="C119" s="5"/>
      <c r="D119" s="31"/>
      <c r="E119" s="7"/>
      <c r="F119" s="8" t="str">
        <f t="shared" si="1"/>
        <v>...</v>
      </c>
      <c r="G119" s="31"/>
      <c r="H119" s="32"/>
      <c r="I119" s="10" t="str">
        <f t="shared" si="16"/>
        <v>...</v>
      </c>
      <c r="J119" s="11" t="str">
        <f>IF(B119=0,"...",IF(D119="CERRADA","Valor Venta",I119*(1-VLOOKUP(A119,Config!$B$3:$C$22,2,FALSE))))</f>
        <v>...</v>
      </c>
      <c r="K119" s="10" t="str">
        <f t="shared" si="3"/>
        <v>...</v>
      </c>
      <c r="L119" s="10" t="str">
        <f t="shared" si="4"/>
        <v>...</v>
      </c>
      <c r="M119" s="12" t="str">
        <f t="shared" si="5"/>
        <v>...</v>
      </c>
      <c r="N119" s="13" t="str">
        <f t="shared" si="6"/>
        <v>...</v>
      </c>
      <c r="O119" s="2"/>
      <c r="P119" s="10"/>
      <c r="Q119" s="14" t="str">
        <f t="shared" si="7"/>
        <v>...</v>
      </c>
      <c r="R119" s="12" t="str">
        <f t="shared" si="8"/>
        <v/>
      </c>
      <c r="S119" s="10" t="str">
        <f t="shared" si="9"/>
        <v>...</v>
      </c>
      <c r="T119" s="10" t="str">
        <f t="shared" si="10"/>
        <v>...</v>
      </c>
      <c r="U119" s="12" t="str">
        <f t="shared" si="11"/>
        <v>...</v>
      </c>
      <c r="V119" s="10" t="str">
        <f t="shared" si="12"/>
        <v>...</v>
      </c>
      <c r="W119" s="2"/>
      <c r="X119" s="2"/>
      <c r="Y119" s="2"/>
      <c r="Z119" s="2"/>
      <c r="AA119" s="2"/>
      <c r="AB119" s="2"/>
      <c r="AC119" s="15"/>
      <c r="AD119" s="15"/>
      <c r="AE119" s="2"/>
    </row>
    <row r="120" ht="24.0" customHeight="1">
      <c r="A120" s="4"/>
      <c r="B120" s="30"/>
      <c r="C120" s="5"/>
      <c r="D120" s="31"/>
      <c r="E120" s="7"/>
      <c r="F120" s="8" t="str">
        <f t="shared" si="1"/>
        <v>...</v>
      </c>
      <c r="G120" s="31"/>
      <c r="H120" s="32"/>
      <c r="I120" s="10" t="str">
        <f t="shared" si="16"/>
        <v>...</v>
      </c>
      <c r="J120" s="11" t="str">
        <f>IF(B120=0,"...",IF(D120="CERRADA","Valor Venta",I120*(1-VLOOKUP(A120,Config!$B$3:$C$22,2,FALSE))))</f>
        <v>...</v>
      </c>
      <c r="K120" s="10" t="str">
        <f t="shared" si="3"/>
        <v>...</v>
      </c>
      <c r="L120" s="10" t="str">
        <f t="shared" si="4"/>
        <v>...</v>
      </c>
      <c r="M120" s="12" t="str">
        <f t="shared" si="5"/>
        <v>...</v>
      </c>
      <c r="N120" s="13" t="str">
        <f t="shared" si="6"/>
        <v>...</v>
      </c>
      <c r="O120" s="2"/>
      <c r="P120" s="10"/>
      <c r="Q120" s="14" t="str">
        <f t="shared" si="7"/>
        <v>...</v>
      </c>
      <c r="R120" s="12" t="str">
        <f t="shared" si="8"/>
        <v/>
      </c>
      <c r="S120" s="10" t="str">
        <f t="shared" si="9"/>
        <v>...</v>
      </c>
      <c r="T120" s="10" t="str">
        <f t="shared" si="10"/>
        <v>...</v>
      </c>
      <c r="U120" s="12" t="str">
        <f t="shared" si="11"/>
        <v>...</v>
      </c>
      <c r="V120" s="10" t="str">
        <f t="shared" si="12"/>
        <v>...</v>
      </c>
      <c r="W120" s="2"/>
      <c r="X120" s="2"/>
      <c r="Y120" s="2"/>
      <c r="Z120" s="2"/>
      <c r="AA120" s="2"/>
      <c r="AB120" s="2"/>
      <c r="AC120" s="15"/>
      <c r="AD120" s="15"/>
      <c r="AE120" s="2"/>
    </row>
    <row r="121" ht="24.0" customHeight="1">
      <c r="A121" s="4"/>
      <c r="B121" s="30"/>
      <c r="C121" s="5"/>
      <c r="D121" s="31"/>
      <c r="E121" s="7"/>
      <c r="F121" s="8" t="str">
        <f t="shared" si="1"/>
        <v>...</v>
      </c>
      <c r="G121" s="31"/>
      <c r="H121" s="32"/>
      <c r="I121" s="10" t="str">
        <f t="shared" si="16"/>
        <v>...</v>
      </c>
      <c r="J121" s="11" t="str">
        <f>IF(B121=0,"...",IF(D121="CERRADA","Valor Venta",I121*(1-VLOOKUP(A121,Config!$B$3:$C$22,2,FALSE))))</f>
        <v>...</v>
      </c>
      <c r="K121" s="10" t="str">
        <f t="shared" si="3"/>
        <v>...</v>
      </c>
      <c r="L121" s="10" t="str">
        <f t="shared" si="4"/>
        <v>...</v>
      </c>
      <c r="M121" s="12" t="str">
        <f t="shared" si="5"/>
        <v>...</v>
      </c>
      <c r="N121" s="13" t="str">
        <f t="shared" si="6"/>
        <v>...</v>
      </c>
      <c r="O121" s="2"/>
      <c r="P121" s="10"/>
      <c r="Q121" s="14" t="str">
        <f t="shared" si="7"/>
        <v>...</v>
      </c>
      <c r="R121" s="12" t="str">
        <f t="shared" si="8"/>
        <v/>
      </c>
      <c r="S121" s="10" t="str">
        <f t="shared" si="9"/>
        <v>...</v>
      </c>
      <c r="T121" s="10" t="str">
        <f t="shared" si="10"/>
        <v>...</v>
      </c>
      <c r="U121" s="12" t="str">
        <f t="shared" si="11"/>
        <v>...</v>
      </c>
      <c r="V121" s="10" t="str">
        <f t="shared" si="12"/>
        <v>...</v>
      </c>
      <c r="W121" s="2"/>
      <c r="X121" s="2"/>
      <c r="Y121" s="2"/>
      <c r="Z121" s="2"/>
      <c r="AA121" s="2"/>
      <c r="AB121" s="2"/>
      <c r="AC121" s="15"/>
      <c r="AD121" s="15"/>
      <c r="AE121" s="2"/>
    </row>
    <row r="122" ht="24.0" customHeight="1">
      <c r="A122" s="4"/>
      <c r="B122" s="30"/>
      <c r="C122" s="5"/>
      <c r="D122" s="31"/>
      <c r="E122" s="7"/>
      <c r="F122" s="8" t="str">
        <f t="shared" si="1"/>
        <v>...</v>
      </c>
      <c r="G122" s="31"/>
      <c r="H122" s="32"/>
      <c r="I122" s="10" t="str">
        <f t="shared" si="16"/>
        <v>...</v>
      </c>
      <c r="J122" s="11" t="str">
        <f>IF(B122=0,"...",IF(D122="CERRADA","Valor Venta",I122*(1-VLOOKUP(A122,Config!$B$3:$C$22,2,FALSE))))</f>
        <v>...</v>
      </c>
      <c r="K122" s="10" t="str">
        <f t="shared" si="3"/>
        <v>...</v>
      </c>
      <c r="L122" s="10" t="str">
        <f t="shared" si="4"/>
        <v>...</v>
      </c>
      <c r="M122" s="12" t="str">
        <f t="shared" si="5"/>
        <v>...</v>
      </c>
      <c r="N122" s="13" t="str">
        <f t="shared" si="6"/>
        <v>...</v>
      </c>
      <c r="O122" s="2"/>
      <c r="P122" s="10"/>
      <c r="Q122" s="14" t="str">
        <f t="shared" si="7"/>
        <v>...</v>
      </c>
      <c r="R122" s="12" t="str">
        <f t="shared" si="8"/>
        <v/>
      </c>
      <c r="S122" s="10" t="str">
        <f t="shared" si="9"/>
        <v>...</v>
      </c>
      <c r="T122" s="10" t="str">
        <f t="shared" si="10"/>
        <v>...</v>
      </c>
      <c r="U122" s="12" t="str">
        <f t="shared" si="11"/>
        <v>...</v>
      </c>
      <c r="V122" s="10" t="str">
        <f t="shared" si="12"/>
        <v>...</v>
      </c>
      <c r="W122" s="2"/>
      <c r="X122" s="2"/>
      <c r="Y122" s="2"/>
      <c r="Z122" s="2"/>
      <c r="AA122" s="2"/>
      <c r="AB122" s="2"/>
      <c r="AC122" s="15"/>
      <c r="AD122" s="15"/>
      <c r="AE122" s="2"/>
    </row>
    <row r="123" ht="24.0" customHeight="1">
      <c r="A123" s="4"/>
      <c r="B123" s="30"/>
      <c r="C123" s="5"/>
      <c r="D123" s="31"/>
      <c r="E123" s="7"/>
      <c r="F123" s="8" t="str">
        <f t="shared" si="1"/>
        <v>...</v>
      </c>
      <c r="G123" s="31"/>
      <c r="H123" s="32"/>
      <c r="I123" s="10" t="str">
        <f t="shared" si="16"/>
        <v>...</v>
      </c>
      <c r="J123" s="11" t="str">
        <f>IF(B123=0,"...",IF(D123="CERRADA","Valor Venta",I123*(1-VLOOKUP(A123,Config!$B$3:$C$22,2,FALSE))))</f>
        <v>...</v>
      </c>
      <c r="K123" s="10" t="str">
        <f t="shared" si="3"/>
        <v>...</v>
      </c>
      <c r="L123" s="10" t="str">
        <f t="shared" si="4"/>
        <v>...</v>
      </c>
      <c r="M123" s="12" t="str">
        <f t="shared" si="5"/>
        <v>...</v>
      </c>
      <c r="N123" s="13" t="str">
        <f t="shared" si="6"/>
        <v>...</v>
      </c>
      <c r="O123" s="2"/>
      <c r="P123" s="10"/>
      <c r="Q123" s="14" t="str">
        <f t="shared" si="7"/>
        <v>...</v>
      </c>
      <c r="R123" s="12" t="str">
        <f t="shared" si="8"/>
        <v/>
      </c>
      <c r="S123" s="10" t="str">
        <f t="shared" si="9"/>
        <v>...</v>
      </c>
      <c r="T123" s="10" t="str">
        <f t="shared" si="10"/>
        <v>...</v>
      </c>
      <c r="U123" s="12" t="str">
        <f t="shared" si="11"/>
        <v>...</v>
      </c>
      <c r="V123" s="10" t="str">
        <f t="shared" si="12"/>
        <v>...</v>
      </c>
      <c r="W123" s="2"/>
      <c r="X123" s="2"/>
      <c r="Y123" s="2"/>
      <c r="Z123" s="2"/>
      <c r="AA123" s="2"/>
      <c r="AB123" s="2"/>
      <c r="AC123" s="15"/>
      <c r="AD123" s="15"/>
      <c r="AE123" s="2"/>
    </row>
    <row r="124" ht="24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33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</sheetData>
  <autoFilter ref="$A$1:$N$123"/>
  <mergeCells count="13">
    <mergeCell ref="X20:X21"/>
    <mergeCell ref="X22:X23"/>
    <mergeCell ref="Y22:Y23"/>
    <mergeCell ref="Z22:Z23"/>
    <mergeCell ref="AA22:AA23"/>
    <mergeCell ref="X26:X27"/>
    <mergeCell ref="X18:X19"/>
    <mergeCell ref="Y18:Y19"/>
    <mergeCell ref="Z18:Z19"/>
    <mergeCell ref="AA18:AA19"/>
    <mergeCell ref="Y20:Y21"/>
    <mergeCell ref="Z20:Z21"/>
    <mergeCell ref="AA20:AA21"/>
  </mergeCells>
  <conditionalFormatting sqref="M2:M123">
    <cfRule type="cellIs" dxfId="0" priority="1" operator="greaterThanOrEqual">
      <formula>"10%"</formula>
    </cfRule>
  </conditionalFormatting>
  <conditionalFormatting sqref="M2:M123">
    <cfRule type="cellIs" dxfId="1" priority="2" operator="between">
      <formula>"1%"</formula>
      <formula>"10%"</formula>
    </cfRule>
  </conditionalFormatting>
  <conditionalFormatting sqref="M2:M123">
    <cfRule type="cellIs" dxfId="2" priority="3" operator="lessThanOrEqual">
      <formula>"-10%"</formula>
    </cfRule>
  </conditionalFormatting>
  <conditionalFormatting sqref="M2:M123">
    <cfRule type="cellIs" dxfId="3" priority="4" operator="between">
      <formula>"-1%"</formula>
      <formula>"-10%"</formula>
    </cfRule>
  </conditionalFormatting>
  <conditionalFormatting sqref="M2:M123">
    <cfRule type="cellIs" dxfId="4" priority="5" operator="between">
      <formula>"-1%"</formula>
      <formula>"1%"</formula>
    </cfRule>
  </conditionalFormatting>
  <conditionalFormatting sqref="I2:I123">
    <cfRule type="expression" dxfId="5" priority="6">
      <formula>I2&gt;H2</formula>
    </cfRule>
  </conditionalFormatting>
  <conditionalFormatting sqref="I2:I123">
    <cfRule type="expression" dxfId="6" priority="7">
      <formula>I2&lt;H2</formula>
    </cfRule>
  </conditionalFormatting>
  <conditionalFormatting sqref="D2:D123">
    <cfRule type="containsText" dxfId="7" priority="8" operator="containsText" text="ABIERTA">
      <formula>NOT(ISERROR(SEARCH(("ABIERTA"),(D2))))</formula>
    </cfRule>
  </conditionalFormatting>
  <conditionalFormatting sqref="D2:D123">
    <cfRule type="containsText" dxfId="8" priority="9" operator="containsText" text="CERRADA">
      <formula>NOT(ISERROR(SEARCH(("CERRADA"),(D2))))</formula>
    </cfRule>
  </conditionalFormatting>
  <conditionalFormatting sqref="Y20:Y23 AA20:AA23">
    <cfRule type="cellIs" dxfId="9" priority="10" operator="greaterThanOrEqual">
      <formula>0</formula>
    </cfRule>
  </conditionalFormatting>
  <conditionalFormatting sqref="Y20:Y23 AA20:AA23">
    <cfRule type="cellIs" dxfId="10" priority="11" operator="lessThan">
      <formula>0</formula>
    </cfRule>
  </conditionalFormatting>
  <dataValidations>
    <dataValidation type="list" allowBlank="1" sqref="A2:A123">
      <formula1>Config!$B$3:$B$22</formula1>
    </dataValidation>
    <dataValidation type="list" allowBlank="1" sqref="D2:D123">
      <formula1>"ABIERTA,CERRADA"</formula1>
    </dataValidation>
    <dataValidation type="list" allowBlank="1" sqref="Z27">
      <formula1>"7,14,28,365"</formula1>
    </dataValidation>
    <dataValidation type="list" allowBlank="1" sqref="Z26">
      <formula1>"line,column"</formula1>
    </dataValidation>
    <dataValidation type="custom" allowBlank="1" showDropDown="1" sqref="C2:C123 E2:E123">
      <formula1>OR(NOT(ISERROR(DATEVALUE(C2))), AND(ISNUMBER(C2), LEFT(CELL("format", C2))="D"))</formula1>
    </dataValidation>
  </dataValidation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3" width="15.13"/>
  </cols>
  <sheetData>
    <row r="1">
      <c r="A1" s="34" t="s">
        <v>67</v>
      </c>
      <c r="B1" s="34"/>
      <c r="C1" s="34" t="s">
        <v>68</v>
      </c>
    </row>
    <row r="2">
      <c r="A2" s="35">
        <v>45740.0</v>
      </c>
      <c r="B2" s="34"/>
      <c r="C2" s="34">
        <v>31.0</v>
      </c>
    </row>
    <row r="3">
      <c r="A3" s="35">
        <v>45742.0</v>
      </c>
      <c r="B3" s="34"/>
      <c r="C3" s="34">
        <v>22.0</v>
      </c>
    </row>
    <row r="4">
      <c r="A4" s="35">
        <v>45744.0</v>
      </c>
      <c r="B4" s="34"/>
      <c r="C4" s="34">
        <v>80.0</v>
      </c>
    </row>
    <row r="5">
      <c r="A5" s="35">
        <v>45745.0</v>
      </c>
      <c r="B5" s="34"/>
      <c r="C5" s="34">
        <v>20.0</v>
      </c>
    </row>
    <row r="6">
      <c r="A6" s="35">
        <v>45746.0</v>
      </c>
      <c r="B6" s="34"/>
      <c r="C6" s="34">
        <v>20.0</v>
      </c>
    </row>
    <row r="7">
      <c r="A7" s="35">
        <v>45747.0</v>
      </c>
      <c r="B7" s="34"/>
      <c r="C7" s="34">
        <v>15.0</v>
      </c>
    </row>
    <row r="8">
      <c r="A8" s="34" t="s">
        <v>4</v>
      </c>
      <c r="B8" s="34"/>
      <c r="C8" s="34">
        <v>324.9</v>
      </c>
      <c r="D8" s="36">
        <f>SUM(C2:C7)</f>
        <v>188</v>
      </c>
      <c r="E8" s="36">
        <f>C8-D8</f>
        <v>136.9</v>
      </c>
    </row>
    <row r="10">
      <c r="A10" s="35">
        <v>45749.0</v>
      </c>
      <c r="B10" s="34"/>
      <c r="C10" s="34">
        <v>60.0</v>
      </c>
    </row>
    <row r="11">
      <c r="A11" s="35">
        <v>45750.0</v>
      </c>
      <c r="B11" s="34"/>
      <c r="C11" s="34">
        <v>30.0</v>
      </c>
    </row>
    <row r="12">
      <c r="A12" s="35">
        <v>45750.0</v>
      </c>
      <c r="B12" s="34"/>
      <c r="C12" s="34">
        <v>50.0</v>
      </c>
    </row>
    <row r="13">
      <c r="A13" s="35">
        <v>45751.0</v>
      </c>
      <c r="B13" s="34"/>
      <c r="C13" s="34">
        <v>30.0</v>
      </c>
    </row>
    <row r="14">
      <c r="A14" s="35">
        <v>45752.0</v>
      </c>
      <c r="B14" s="34"/>
      <c r="C14" s="34">
        <v>20.0</v>
      </c>
    </row>
    <row r="15">
      <c r="A15" s="35">
        <v>45753.0</v>
      </c>
      <c r="B15" s="34"/>
      <c r="C15" s="34">
        <v>30.0</v>
      </c>
    </row>
    <row r="16">
      <c r="A16" s="35">
        <v>45753.0</v>
      </c>
      <c r="B16" s="34"/>
      <c r="C16" s="34">
        <v>60.0</v>
      </c>
    </row>
    <row r="17">
      <c r="A17" s="35">
        <v>45754.0</v>
      </c>
      <c r="B17" s="34"/>
      <c r="C17" s="34">
        <v>45.0</v>
      </c>
    </row>
    <row r="18">
      <c r="A18" s="35">
        <v>45755.0</v>
      </c>
      <c r="B18" s="34"/>
      <c r="C18" s="34">
        <v>20.0</v>
      </c>
    </row>
    <row r="19">
      <c r="A19" s="35">
        <v>45755.0</v>
      </c>
      <c r="B19" s="34"/>
      <c r="C19" s="34">
        <v>40.0</v>
      </c>
    </row>
    <row r="20">
      <c r="A20" s="35">
        <v>45756.0</v>
      </c>
      <c r="B20" s="34"/>
      <c r="C20" s="34">
        <v>20.0</v>
      </c>
    </row>
    <row r="21">
      <c r="A21" s="34" t="s">
        <v>4</v>
      </c>
      <c r="B21" s="34"/>
      <c r="C21" s="34">
        <v>491.0</v>
      </c>
      <c r="D21" s="36">
        <f>SUM(C10:C20)</f>
        <v>405</v>
      </c>
      <c r="E21" s="36">
        <f>C21-D21</f>
        <v>86</v>
      </c>
    </row>
    <row r="23">
      <c r="A23" s="35">
        <v>45757.0</v>
      </c>
      <c r="B23" s="34"/>
      <c r="C23" s="34">
        <v>40.0</v>
      </c>
    </row>
    <row r="24">
      <c r="A24" s="35">
        <v>45758.0</v>
      </c>
      <c r="B24" s="34"/>
      <c r="C24" s="34">
        <v>20.0</v>
      </c>
    </row>
    <row r="25">
      <c r="A25" s="34" t="s">
        <v>4</v>
      </c>
      <c r="B25" s="34"/>
      <c r="C25" s="34">
        <v>64.8</v>
      </c>
    </row>
    <row r="27">
      <c r="A27" s="35">
        <v>45759.0</v>
      </c>
      <c r="B27" s="34"/>
      <c r="C27" s="34">
        <v>40.0</v>
      </c>
    </row>
    <row r="28">
      <c r="A28" s="34" t="s">
        <v>69</v>
      </c>
      <c r="B28" s="34"/>
      <c r="C28" s="34" t="s">
        <v>70</v>
      </c>
    </row>
    <row r="30">
      <c r="A30" s="35" t="s">
        <v>71</v>
      </c>
      <c r="B30" s="34"/>
      <c r="C30" s="34">
        <v>30.0</v>
      </c>
    </row>
    <row r="31">
      <c r="A31" s="35">
        <v>45761.0</v>
      </c>
      <c r="B31" s="34"/>
      <c r="C31" s="34">
        <v>20.0</v>
      </c>
    </row>
    <row r="32">
      <c r="A32" s="35">
        <v>45762.0</v>
      </c>
      <c r="B32" s="34"/>
      <c r="C32" s="34">
        <v>20.0</v>
      </c>
    </row>
    <row r="33">
      <c r="A33" s="35">
        <v>45762.0</v>
      </c>
      <c r="B33" s="34"/>
      <c r="C33" s="34">
        <v>40.0</v>
      </c>
    </row>
    <row r="34">
      <c r="A34" s="35">
        <v>45763.0</v>
      </c>
      <c r="B34" s="34"/>
      <c r="C34" s="34">
        <v>40.0</v>
      </c>
    </row>
    <row r="35">
      <c r="A35" s="35">
        <v>45764.0</v>
      </c>
      <c r="B35" s="34"/>
      <c r="C35" s="34">
        <v>30.0</v>
      </c>
    </row>
    <row r="36">
      <c r="A36" s="35">
        <v>45765.0</v>
      </c>
      <c r="B36" s="34"/>
      <c r="C36" s="34">
        <v>20.0</v>
      </c>
    </row>
    <row r="37">
      <c r="A37" s="35">
        <v>45766.0</v>
      </c>
      <c r="B37" s="34"/>
      <c r="C37" s="34">
        <v>20.0</v>
      </c>
    </row>
    <row r="38">
      <c r="A38" s="35">
        <v>45766.0</v>
      </c>
      <c r="B38" s="34"/>
      <c r="C38" s="34">
        <v>20.0</v>
      </c>
    </row>
    <row r="39">
      <c r="A39" s="35">
        <v>45767.0</v>
      </c>
      <c r="B39" s="34"/>
      <c r="C39" s="34">
        <v>40.0</v>
      </c>
    </row>
    <row r="40">
      <c r="A40" s="34" t="s">
        <v>4</v>
      </c>
      <c r="B40" s="34"/>
      <c r="C40" s="34">
        <v>325.0</v>
      </c>
      <c r="D40" s="36">
        <f>SUM(C30:C39)</f>
        <v>280</v>
      </c>
      <c r="E40" s="36">
        <f>C40-D40</f>
        <v>45</v>
      </c>
    </row>
    <row r="42">
      <c r="A42" s="35">
        <v>45768.0</v>
      </c>
      <c r="B42" s="34"/>
      <c r="C42" s="34">
        <v>30.0</v>
      </c>
    </row>
    <row r="43">
      <c r="A43" s="35">
        <v>45769.0</v>
      </c>
      <c r="B43" s="34"/>
      <c r="C43" s="34">
        <v>30.0</v>
      </c>
    </row>
    <row r="44">
      <c r="A44" s="35">
        <v>45770.0</v>
      </c>
      <c r="B44" s="34"/>
      <c r="C44" s="34">
        <v>30.0</v>
      </c>
    </row>
    <row r="45">
      <c r="A45" s="35">
        <v>45771.0</v>
      </c>
      <c r="B45" s="34"/>
      <c r="C45" s="34">
        <v>20.0</v>
      </c>
    </row>
    <row r="46">
      <c r="A46" s="35">
        <v>45772.0</v>
      </c>
      <c r="B46" s="34"/>
      <c r="C46" s="34">
        <v>20.0</v>
      </c>
    </row>
    <row r="47">
      <c r="A47" s="35">
        <v>45773.0</v>
      </c>
      <c r="B47" s="34"/>
      <c r="C47" s="34">
        <v>20.0</v>
      </c>
    </row>
    <row r="48">
      <c r="A48" s="34" t="s">
        <v>4</v>
      </c>
      <c r="B48" s="34"/>
      <c r="C48" s="34">
        <v>167.0</v>
      </c>
      <c r="D48" s="36">
        <f>SUM(C42:C47)</f>
        <v>150</v>
      </c>
      <c r="E48" s="36">
        <f>C48-D48</f>
        <v>17</v>
      </c>
    </row>
    <row r="50">
      <c r="A50" s="35">
        <v>45776.0</v>
      </c>
      <c r="B50" s="34"/>
      <c r="C50" s="34">
        <v>30.0</v>
      </c>
    </row>
    <row r="51">
      <c r="A51" s="35">
        <v>45777.0</v>
      </c>
      <c r="B51" s="34"/>
      <c r="C51" s="34">
        <v>30.0</v>
      </c>
    </row>
    <row r="52">
      <c r="A52" s="34" t="s">
        <v>72</v>
      </c>
      <c r="B52" s="34"/>
      <c r="C52" s="34">
        <v>67.0</v>
      </c>
    </row>
    <row r="54">
      <c r="A54" s="35">
        <v>45780.0</v>
      </c>
      <c r="B54" s="34"/>
      <c r="C54" s="34">
        <v>30.0</v>
      </c>
    </row>
    <row r="55">
      <c r="A55" s="35">
        <v>45781.0</v>
      </c>
      <c r="B55" s="34"/>
      <c r="C55" s="34">
        <v>20.0</v>
      </c>
    </row>
    <row r="56">
      <c r="A56" s="35">
        <v>45781.0</v>
      </c>
      <c r="B56" s="34"/>
      <c r="C56" s="34">
        <v>30.0</v>
      </c>
    </row>
    <row r="57">
      <c r="A57" s="35">
        <v>45782.0</v>
      </c>
      <c r="B57" s="34"/>
      <c r="C57" s="34">
        <v>30.0</v>
      </c>
    </row>
    <row r="58">
      <c r="A58" s="35">
        <v>45783.0</v>
      </c>
      <c r="B58" s="34"/>
      <c r="C58" s="34">
        <v>20.0</v>
      </c>
    </row>
    <row r="59">
      <c r="A59" s="34" t="s">
        <v>69</v>
      </c>
      <c r="B59" s="34"/>
      <c r="C59" s="34">
        <v>145.7</v>
      </c>
      <c r="D59" s="36">
        <f>SUM(C54:C58)</f>
        <v>130</v>
      </c>
      <c r="E59" s="36">
        <f>C59-D59</f>
        <v>15.7</v>
      </c>
    </row>
    <row r="61">
      <c r="A61" s="35">
        <v>45785.0</v>
      </c>
      <c r="B61" s="34"/>
      <c r="C61" s="34">
        <v>32.0</v>
      </c>
    </row>
    <row r="62">
      <c r="A62" s="35">
        <v>45787.0</v>
      </c>
      <c r="B62" s="34"/>
      <c r="C62" s="34">
        <v>30.0</v>
      </c>
    </row>
    <row r="63">
      <c r="A63" s="35">
        <v>45788.0</v>
      </c>
      <c r="B63" s="34"/>
      <c r="C63" s="34">
        <v>30.0</v>
      </c>
    </row>
    <row r="64">
      <c r="A64" s="35">
        <v>45789.0</v>
      </c>
      <c r="B64" s="34"/>
      <c r="C64" s="34">
        <v>20.0</v>
      </c>
    </row>
    <row r="65">
      <c r="A65" s="35">
        <v>45789.0</v>
      </c>
      <c r="B65" s="34"/>
      <c r="C65" s="34">
        <v>60.0</v>
      </c>
    </row>
    <row r="66">
      <c r="A66" s="35">
        <v>45790.0</v>
      </c>
      <c r="B66" s="34"/>
      <c r="C66" s="34">
        <v>30.0</v>
      </c>
    </row>
    <row r="67">
      <c r="A67" s="35">
        <v>45790.0</v>
      </c>
      <c r="B67" s="34"/>
      <c r="C67" s="34">
        <v>20.0</v>
      </c>
    </row>
    <row r="68">
      <c r="A68" s="35">
        <v>45791.0</v>
      </c>
      <c r="B68" s="34"/>
      <c r="C68" s="34">
        <v>20.0</v>
      </c>
    </row>
    <row r="69">
      <c r="A69" s="35">
        <v>45791.0</v>
      </c>
      <c r="B69" s="34"/>
      <c r="C69" s="34">
        <v>20.0</v>
      </c>
    </row>
    <row r="70">
      <c r="A70" s="35">
        <v>45792.0</v>
      </c>
      <c r="B70" s="34"/>
      <c r="C70" s="34">
        <v>20.0</v>
      </c>
    </row>
    <row r="71">
      <c r="A71" s="35">
        <v>45792.0</v>
      </c>
      <c r="B71" s="34"/>
      <c r="C71" s="34">
        <v>60.0</v>
      </c>
    </row>
    <row r="72">
      <c r="A72" s="35">
        <v>45793.0</v>
      </c>
      <c r="C72" s="36">
        <f>20+15</f>
        <v>35</v>
      </c>
    </row>
    <row r="73">
      <c r="A73" s="35">
        <v>45794.0</v>
      </c>
      <c r="B73" s="34"/>
      <c r="C73" s="34">
        <v>20.0</v>
      </c>
    </row>
    <row r="74">
      <c r="A74" s="34" t="s">
        <v>4</v>
      </c>
      <c r="B74" s="34"/>
      <c r="C74" s="34">
        <v>449.0</v>
      </c>
      <c r="D74" s="36">
        <f>SUM(C61:C73)</f>
        <v>397</v>
      </c>
      <c r="E74" s="36">
        <f>C74-D74</f>
        <v>52</v>
      </c>
    </row>
    <row r="76">
      <c r="A76" s="35">
        <v>45795.0</v>
      </c>
      <c r="B76" s="34"/>
      <c r="C76" s="34">
        <v>50.0</v>
      </c>
    </row>
    <row r="77">
      <c r="A77" s="35">
        <v>45796.0</v>
      </c>
      <c r="B77" s="34"/>
      <c r="C77" s="34">
        <v>30.0</v>
      </c>
    </row>
    <row r="78">
      <c r="A78" s="35">
        <v>45796.0</v>
      </c>
      <c r="B78" s="34"/>
      <c r="C78" s="34">
        <v>60.0</v>
      </c>
    </row>
    <row r="79">
      <c r="A79" s="35">
        <v>45797.0</v>
      </c>
      <c r="B79" s="34"/>
      <c r="C79" s="34">
        <v>35.0</v>
      </c>
    </row>
    <row r="80">
      <c r="A80" s="34" t="s">
        <v>4</v>
      </c>
      <c r="B80" s="34"/>
      <c r="C80" s="34">
        <v>202.0</v>
      </c>
      <c r="D80" s="36">
        <f>SUM(C76:C79)</f>
        <v>175</v>
      </c>
      <c r="E80" s="36">
        <f>C80-D80</f>
        <v>27</v>
      </c>
    </row>
    <row r="82">
      <c r="A82" s="35">
        <v>45797.0</v>
      </c>
      <c r="B82" s="34"/>
      <c r="C82" s="34">
        <v>20.0</v>
      </c>
    </row>
    <row r="83">
      <c r="A83" s="35">
        <v>45798.0</v>
      </c>
      <c r="B83" s="34"/>
      <c r="C83" s="34">
        <v>30.0</v>
      </c>
    </row>
    <row r="84">
      <c r="A84" s="35">
        <v>45798.0</v>
      </c>
      <c r="B84" s="34"/>
      <c r="C84" s="34">
        <v>20.0</v>
      </c>
    </row>
    <row r="85">
      <c r="A85" s="35">
        <v>45799.0</v>
      </c>
      <c r="B85" s="34"/>
      <c r="C85" s="34">
        <v>30.0</v>
      </c>
    </row>
    <row r="86">
      <c r="A86" s="34" t="s">
        <v>4</v>
      </c>
      <c r="B86" s="34"/>
      <c r="C86" s="34">
        <v>122.0</v>
      </c>
    </row>
    <row r="88">
      <c r="A88" s="35">
        <v>45800.0</v>
      </c>
      <c r="B88" s="34"/>
      <c r="C88" s="34">
        <v>80.0</v>
      </c>
    </row>
    <row r="89">
      <c r="A89" s="35">
        <v>45800.0</v>
      </c>
      <c r="B89" s="34"/>
      <c r="C89" s="34">
        <v>60.0</v>
      </c>
    </row>
    <row r="90">
      <c r="A90" s="35">
        <v>45801.0</v>
      </c>
      <c r="B90" s="34"/>
      <c r="C90" s="34">
        <v>30.0</v>
      </c>
    </row>
    <row r="91">
      <c r="A91" s="35">
        <v>45801.0</v>
      </c>
      <c r="B91" s="34"/>
      <c r="C91" s="34">
        <v>50.0</v>
      </c>
    </row>
    <row r="92">
      <c r="A92" s="35">
        <v>45803.0</v>
      </c>
      <c r="B92" s="34"/>
      <c r="C92" s="34">
        <v>50.0</v>
      </c>
    </row>
    <row r="93">
      <c r="A93" s="35">
        <v>45803.0</v>
      </c>
      <c r="B93" s="34"/>
      <c r="C93" s="34">
        <v>30.0</v>
      </c>
    </row>
    <row r="94">
      <c r="A94" s="35">
        <v>45805.0</v>
      </c>
      <c r="B94" s="34"/>
      <c r="C94" s="34">
        <v>60.0</v>
      </c>
    </row>
    <row r="95">
      <c r="A95" s="35">
        <v>45806.0</v>
      </c>
      <c r="B95" s="34"/>
      <c r="C95" s="34">
        <v>60.0</v>
      </c>
    </row>
    <row r="96">
      <c r="A96" s="35">
        <v>45806.0</v>
      </c>
      <c r="B96" s="34"/>
      <c r="C96" s="34">
        <v>30.0</v>
      </c>
    </row>
    <row r="97">
      <c r="A97" s="35">
        <v>45806.0</v>
      </c>
      <c r="B97" s="34"/>
      <c r="C97" s="34">
        <v>60.0</v>
      </c>
    </row>
    <row r="98">
      <c r="A98" s="35">
        <v>45809.0</v>
      </c>
      <c r="B98" s="34"/>
      <c r="C98" s="34">
        <v>44.0</v>
      </c>
    </row>
    <row r="99">
      <c r="A99" s="35">
        <v>45813.0</v>
      </c>
      <c r="B99" s="34"/>
      <c r="C99" s="34">
        <v>124.0</v>
      </c>
    </row>
    <row r="100">
      <c r="A100" s="34" t="s">
        <v>4</v>
      </c>
      <c r="B100" s="34"/>
      <c r="C100" s="34">
        <v>891.0</v>
      </c>
      <c r="D100" s="36">
        <f>SUM(C88:C99)</f>
        <v>678</v>
      </c>
      <c r="E100" s="36">
        <f>C100-D100</f>
        <v>213</v>
      </c>
    </row>
    <row r="102">
      <c r="A102" s="35">
        <v>45819.0</v>
      </c>
      <c r="B102" s="34"/>
      <c r="C102" s="34">
        <v>100.0</v>
      </c>
    </row>
    <row r="103">
      <c r="A103" s="35">
        <v>45820.0</v>
      </c>
      <c r="B103" s="34"/>
      <c r="C103" s="34">
        <v>50.0</v>
      </c>
    </row>
    <row r="104">
      <c r="A104" s="35">
        <v>45820.0</v>
      </c>
      <c r="B104" s="34"/>
      <c r="C104" s="34">
        <v>50.0</v>
      </c>
    </row>
    <row r="105">
      <c r="A105" s="35">
        <v>45820.0</v>
      </c>
      <c r="B105" s="34"/>
      <c r="C105" s="34">
        <v>50.0</v>
      </c>
    </row>
    <row r="106">
      <c r="A106" s="35">
        <v>45821.0</v>
      </c>
      <c r="B106" s="34"/>
      <c r="C106" s="34">
        <v>50.0</v>
      </c>
    </row>
    <row r="107">
      <c r="A107" s="35">
        <v>45822.0</v>
      </c>
      <c r="B107" s="34"/>
      <c r="C107" s="34">
        <v>50.0</v>
      </c>
    </row>
    <row r="108">
      <c r="A108" s="35">
        <v>45822.0</v>
      </c>
      <c r="B108" s="34"/>
      <c r="C108" s="34">
        <v>50.0</v>
      </c>
    </row>
    <row r="109">
      <c r="A109" s="35">
        <v>45823.0</v>
      </c>
      <c r="B109" s="34"/>
      <c r="C109" s="34">
        <v>50.0</v>
      </c>
    </row>
    <row r="110">
      <c r="A110" s="34" t="s">
        <v>4</v>
      </c>
      <c r="B110" s="34"/>
      <c r="C110" s="34">
        <v>521.0</v>
      </c>
      <c r="D110" s="36">
        <f>SUM(C102:C109)</f>
        <v>450</v>
      </c>
      <c r="E110" s="36">
        <f>C110-D110</f>
        <v>71</v>
      </c>
    </row>
    <row r="112">
      <c r="A112" s="35">
        <v>45824.0</v>
      </c>
      <c r="B112" s="34"/>
      <c r="C112" s="34">
        <v>50.0</v>
      </c>
    </row>
    <row r="113">
      <c r="A113" s="35">
        <v>45825.0</v>
      </c>
      <c r="B113" s="34"/>
      <c r="C113" s="34">
        <v>100.0</v>
      </c>
    </row>
    <row r="114">
      <c r="A114" s="35">
        <v>45825.0</v>
      </c>
      <c r="B114" s="34"/>
      <c r="C114" s="34">
        <v>100.0</v>
      </c>
    </row>
    <row r="115">
      <c r="A115" s="35">
        <v>45794.0</v>
      </c>
      <c r="B115" s="34"/>
      <c r="C115" s="34">
        <v>50.0</v>
      </c>
    </row>
    <row r="116">
      <c r="A116" s="35">
        <v>45826.0</v>
      </c>
      <c r="B116" s="34"/>
      <c r="C116" s="34">
        <v>50.0</v>
      </c>
    </row>
    <row r="117">
      <c r="A117" s="35">
        <v>45826.0</v>
      </c>
      <c r="B117" s="34"/>
      <c r="C117" s="34">
        <v>50.0</v>
      </c>
    </row>
    <row r="118">
      <c r="A118" s="35">
        <v>45827.0</v>
      </c>
      <c r="B118" s="34"/>
      <c r="C118" s="34">
        <v>50.0</v>
      </c>
    </row>
    <row r="119">
      <c r="A119" s="34" t="s">
        <v>4</v>
      </c>
      <c r="B119" s="34"/>
      <c r="C119" s="34">
        <v>441.0</v>
      </c>
      <c r="D119" s="36">
        <f>SUM(C112:C118)</f>
        <v>450</v>
      </c>
      <c r="E119" s="36">
        <f>C119-D119</f>
        <v>-9</v>
      </c>
    </row>
    <row r="121">
      <c r="A121" s="35">
        <v>45828.0</v>
      </c>
      <c r="B121" s="34"/>
      <c r="C121" s="34">
        <v>100.0</v>
      </c>
    </row>
    <row r="122">
      <c r="A122" s="35">
        <v>45828.0</v>
      </c>
      <c r="B122" s="34"/>
      <c r="C122" s="34">
        <v>100.0</v>
      </c>
    </row>
    <row r="123">
      <c r="A123" s="35">
        <v>45829.0</v>
      </c>
      <c r="B123" s="34"/>
      <c r="C123" s="34">
        <v>50.0</v>
      </c>
    </row>
    <row r="124">
      <c r="A124" s="35">
        <v>45829.0</v>
      </c>
      <c r="B124" s="34"/>
      <c r="C124" s="34">
        <v>200.0</v>
      </c>
    </row>
    <row r="125">
      <c r="A125" s="35">
        <v>45830.0</v>
      </c>
      <c r="B125" s="34"/>
      <c r="C125" s="34">
        <v>100.0</v>
      </c>
    </row>
    <row r="126">
      <c r="A126" s="35">
        <v>45830.0</v>
      </c>
      <c r="B126" s="34"/>
      <c r="C126" s="34">
        <v>200.0</v>
      </c>
    </row>
    <row r="127">
      <c r="A127" s="34" t="s">
        <v>4</v>
      </c>
      <c r="B127" s="34"/>
      <c r="C127" s="34">
        <v>757.0</v>
      </c>
      <c r="D127" s="36">
        <f>SUM(C121:C126)</f>
        <v>750</v>
      </c>
      <c r="E127" s="36">
        <f>C127-D127</f>
        <v>7</v>
      </c>
    </row>
    <row r="129">
      <c r="A129" s="35">
        <v>45832.0</v>
      </c>
      <c r="B129" s="34"/>
      <c r="C129" s="34">
        <v>50.0</v>
      </c>
    </row>
    <row r="130">
      <c r="A130" s="35">
        <v>45833.0</v>
      </c>
      <c r="B130" s="34"/>
      <c r="C130" s="34">
        <v>50.0</v>
      </c>
    </row>
    <row r="131">
      <c r="A131" s="35">
        <v>45833.0</v>
      </c>
      <c r="B131" s="34"/>
      <c r="C131" s="34">
        <v>50.0</v>
      </c>
    </row>
    <row r="132">
      <c r="A132" s="35">
        <v>45834.0</v>
      </c>
      <c r="B132" s="34"/>
      <c r="C132" s="34">
        <v>50.0</v>
      </c>
    </row>
    <row r="133">
      <c r="A133" s="35">
        <v>45835.0</v>
      </c>
      <c r="B133" s="34"/>
      <c r="C133" s="34">
        <v>50.0</v>
      </c>
    </row>
    <row r="134">
      <c r="A134" s="35">
        <v>45837.0</v>
      </c>
      <c r="B134" s="34"/>
      <c r="C134" s="34">
        <v>100.0</v>
      </c>
    </row>
    <row r="135">
      <c r="A135" s="35">
        <v>45838.0</v>
      </c>
      <c r="B135" s="34"/>
      <c r="C135" s="34">
        <v>50.0</v>
      </c>
    </row>
    <row r="136">
      <c r="A136" s="35">
        <v>45839.0</v>
      </c>
      <c r="B136" s="34"/>
      <c r="C136" s="34">
        <v>50.0</v>
      </c>
    </row>
    <row r="137">
      <c r="A137" s="35">
        <v>45839.0</v>
      </c>
      <c r="B137" s="34"/>
      <c r="C137" s="34">
        <v>100.0</v>
      </c>
    </row>
    <row r="138">
      <c r="A138" s="35">
        <v>45840.0</v>
      </c>
      <c r="B138" s="34"/>
      <c r="C138" s="34">
        <v>50.0</v>
      </c>
    </row>
    <row r="139">
      <c r="A139" s="34" t="s">
        <v>4</v>
      </c>
      <c r="B139" s="34"/>
      <c r="C139" s="34">
        <v>707.0</v>
      </c>
      <c r="D139" s="36">
        <f>SUM(C129:C138)</f>
        <v>600</v>
      </c>
      <c r="E139" s="36">
        <f>C139-D139</f>
        <v>107</v>
      </c>
    </row>
    <row r="141">
      <c r="A141" s="35">
        <v>45842.0</v>
      </c>
      <c r="B141" s="34"/>
      <c r="C141" s="34">
        <v>50.0</v>
      </c>
    </row>
    <row r="142">
      <c r="A142" s="35">
        <v>45842.0</v>
      </c>
      <c r="B142" s="34"/>
      <c r="C142" s="34">
        <v>50.0</v>
      </c>
    </row>
    <row r="143">
      <c r="A143" s="35">
        <v>45842.0</v>
      </c>
      <c r="B143" s="34"/>
      <c r="C143" s="34">
        <v>150.0</v>
      </c>
    </row>
    <row r="144">
      <c r="A144" s="35">
        <v>45843.0</v>
      </c>
      <c r="B144" s="34"/>
      <c r="C144" s="34">
        <v>50.0</v>
      </c>
    </row>
    <row r="145">
      <c r="A145" s="35">
        <v>45846.0</v>
      </c>
      <c r="B145" s="34"/>
      <c r="C145" s="34">
        <v>50.0</v>
      </c>
    </row>
    <row r="146">
      <c r="A146" s="34" t="s">
        <v>4</v>
      </c>
      <c r="B146" s="34"/>
      <c r="C146" s="34">
        <v>441.0</v>
      </c>
      <c r="D146" s="36">
        <f>SUM(C141:C145)</f>
        <v>350</v>
      </c>
      <c r="E146" s="36">
        <f>C146-D146</f>
        <v>91</v>
      </c>
    </row>
    <row r="148">
      <c r="A148" s="35">
        <v>45848.0</v>
      </c>
      <c r="B148" s="34"/>
      <c r="C148" s="34">
        <v>50.0</v>
      </c>
    </row>
    <row r="149">
      <c r="A149" s="34" t="s">
        <v>4</v>
      </c>
      <c r="B149" s="34"/>
      <c r="C149" s="34">
        <v>56.0</v>
      </c>
    </row>
    <row r="151">
      <c r="A151" s="35">
        <v>45849.0</v>
      </c>
      <c r="B151" s="34"/>
      <c r="C151" s="34">
        <v>50.0</v>
      </c>
    </row>
    <row r="152">
      <c r="A152" s="35">
        <v>45850.0</v>
      </c>
      <c r="B152" s="34"/>
      <c r="C152" s="34">
        <v>100.0</v>
      </c>
    </row>
    <row r="153">
      <c r="A153" s="35">
        <v>45851.0</v>
      </c>
      <c r="B153" s="34"/>
      <c r="C153" s="34">
        <v>50.0</v>
      </c>
    </row>
    <row r="154">
      <c r="A154" s="34" t="s">
        <v>4</v>
      </c>
      <c r="B154" s="34"/>
      <c r="C154" s="34">
        <v>236.0</v>
      </c>
    </row>
    <row r="156">
      <c r="A156" s="35">
        <v>45852.0</v>
      </c>
      <c r="B156" s="34"/>
      <c r="C156" s="34">
        <v>50.0</v>
      </c>
    </row>
    <row r="157">
      <c r="A157" s="35">
        <v>45852.0</v>
      </c>
      <c r="B157" s="34"/>
      <c r="C157" s="34">
        <v>50.0</v>
      </c>
    </row>
    <row r="158">
      <c r="A158" s="35">
        <v>45853.0</v>
      </c>
      <c r="B158" s="34"/>
      <c r="C158" s="34">
        <v>50.0</v>
      </c>
    </row>
    <row r="159">
      <c r="A159" s="35">
        <v>45853.0</v>
      </c>
      <c r="B159" s="34"/>
      <c r="C159" s="34">
        <v>150.0</v>
      </c>
    </row>
    <row r="160">
      <c r="A160" s="34" t="s">
        <v>4</v>
      </c>
      <c r="B160" s="34"/>
      <c r="C160" s="34">
        <v>324.0</v>
      </c>
    </row>
    <row r="162">
      <c r="A162" s="37">
        <v>45855.0</v>
      </c>
      <c r="B162" s="34"/>
      <c r="C162" s="34">
        <v>50.0</v>
      </c>
    </row>
    <row r="163">
      <c r="A163" s="35">
        <v>45856.0</v>
      </c>
      <c r="B163" s="34"/>
      <c r="C163" s="34">
        <v>50.0</v>
      </c>
    </row>
    <row r="164">
      <c r="A164" s="35">
        <v>45856.0</v>
      </c>
      <c r="B164" s="34"/>
      <c r="C164" s="34">
        <v>50.0</v>
      </c>
    </row>
    <row r="165">
      <c r="A165" s="35">
        <v>45856.0</v>
      </c>
      <c r="B165" s="34"/>
      <c r="C165" s="34">
        <v>50.0</v>
      </c>
    </row>
    <row r="166">
      <c r="A166" s="35">
        <v>45858.0</v>
      </c>
      <c r="B166" s="34"/>
      <c r="C166" s="34">
        <v>50.0</v>
      </c>
    </row>
    <row r="167">
      <c r="A167" s="35">
        <v>45859.0</v>
      </c>
      <c r="B167" s="34"/>
      <c r="C167" s="34">
        <v>50.0</v>
      </c>
    </row>
    <row r="168">
      <c r="A168" s="35">
        <v>45859.0</v>
      </c>
      <c r="B168" s="34"/>
      <c r="C168" s="34">
        <v>150.0</v>
      </c>
    </row>
    <row r="169">
      <c r="A169" s="35">
        <v>45860.0</v>
      </c>
      <c r="B169" s="34"/>
      <c r="C169" s="34">
        <v>50.0</v>
      </c>
    </row>
    <row r="170">
      <c r="A170" s="35">
        <v>45861.0</v>
      </c>
      <c r="B170" s="34"/>
      <c r="C170" s="34">
        <v>50.0</v>
      </c>
    </row>
    <row r="171">
      <c r="A171" s="35">
        <v>45862.0</v>
      </c>
      <c r="B171" s="34"/>
      <c r="C171" s="34">
        <v>100.0</v>
      </c>
    </row>
    <row r="172">
      <c r="A172" s="35">
        <v>45863.0</v>
      </c>
      <c r="B172" s="34"/>
      <c r="C172" s="34">
        <v>100.0</v>
      </c>
    </row>
    <row r="173">
      <c r="A173" s="34" t="s">
        <v>4</v>
      </c>
      <c r="B173" s="34"/>
      <c r="C173" s="34">
        <v>832.0</v>
      </c>
    </row>
    <row r="175">
      <c r="A175" s="35">
        <v>45866.0</v>
      </c>
      <c r="B175" s="34"/>
      <c r="C175" s="34">
        <v>50.0</v>
      </c>
    </row>
    <row r="176">
      <c r="A176" s="35">
        <v>45867.0</v>
      </c>
      <c r="B176" s="34"/>
      <c r="C176" s="34">
        <v>50.0</v>
      </c>
    </row>
    <row r="177">
      <c r="A177" s="35">
        <v>45867.0</v>
      </c>
      <c r="B177" s="34"/>
      <c r="C177" s="34">
        <v>100.0</v>
      </c>
    </row>
    <row r="178">
      <c r="A178" s="35">
        <v>45868.0</v>
      </c>
      <c r="B178" s="34"/>
      <c r="C178" s="34">
        <v>50.0</v>
      </c>
    </row>
    <row r="179">
      <c r="A179" s="35">
        <v>45869.0</v>
      </c>
      <c r="B179" s="34"/>
      <c r="C179" s="34">
        <v>50.0</v>
      </c>
    </row>
    <row r="180">
      <c r="A180" s="35">
        <v>45869.0</v>
      </c>
      <c r="B180" s="34"/>
      <c r="C180" s="34">
        <v>100.0</v>
      </c>
    </row>
    <row r="181">
      <c r="A181" s="35">
        <v>45869.0</v>
      </c>
      <c r="B181" s="34"/>
      <c r="C181" s="34">
        <v>100.0</v>
      </c>
    </row>
    <row r="182">
      <c r="A182" s="35">
        <v>45870.0</v>
      </c>
      <c r="B182" s="34"/>
      <c r="C182" s="34">
        <v>100.0</v>
      </c>
    </row>
    <row r="183">
      <c r="A183" s="35">
        <v>45871.0</v>
      </c>
      <c r="B183" s="34"/>
      <c r="C183" s="34">
        <v>50.0</v>
      </c>
    </row>
    <row r="184">
      <c r="A184" s="35">
        <v>45872.0</v>
      </c>
      <c r="B184" s="34"/>
      <c r="C184" s="34">
        <v>50.0</v>
      </c>
    </row>
    <row r="185">
      <c r="A185" s="35">
        <v>45874.0</v>
      </c>
      <c r="B185" s="34"/>
      <c r="C185" s="34">
        <v>50.0</v>
      </c>
    </row>
    <row r="186">
      <c r="A186" s="35">
        <v>45875.0</v>
      </c>
      <c r="B186" s="34"/>
      <c r="C186" s="34">
        <v>50.0</v>
      </c>
    </row>
    <row r="187">
      <c r="A187" s="34" t="s">
        <v>4</v>
      </c>
      <c r="B187" s="34"/>
      <c r="C187" s="34">
        <v>980.0</v>
      </c>
    </row>
    <row r="189">
      <c r="A189" s="35">
        <v>45878.0</v>
      </c>
      <c r="B189" s="34"/>
      <c r="C189" s="34">
        <v>50.0</v>
      </c>
    </row>
    <row r="190">
      <c r="A190" s="35">
        <v>45879.0</v>
      </c>
      <c r="B190" s="34"/>
      <c r="C190" s="34">
        <v>50.0</v>
      </c>
    </row>
    <row r="191">
      <c r="A191" s="35">
        <v>45880.0</v>
      </c>
      <c r="B191" s="34"/>
      <c r="C191" s="34">
        <v>50.0</v>
      </c>
    </row>
    <row r="192">
      <c r="A192" s="35">
        <v>45881.0</v>
      </c>
      <c r="B192" s="34"/>
      <c r="C192" s="34">
        <v>50.0</v>
      </c>
    </row>
    <row r="193">
      <c r="A193" s="35"/>
    </row>
    <row r="194">
      <c r="A194" s="34" t="s">
        <v>4</v>
      </c>
      <c r="B194" s="34"/>
      <c r="C194" s="34">
        <v>227.0</v>
      </c>
    </row>
    <row r="196">
      <c r="A196" s="35">
        <v>45883.0</v>
      </c>
      <c r="B196" s="34"/>
      <c r="C196" s="34">
        <v>100.0</v>
      </c>
    </row>
    <row r="197">
      <c r="A197" s="35">
        <v>45884.0</v>
      </c>
      <c r="B197" s="34"/>
      <c r="C197" s="34">
        <v>50.0</v>
      </c>
    </row>
    <row r="198">
      <c r="A198" s="35">
        <v>45885.0</v>
      </c>
      <c r="B198" s="34"/>
      <c r="C198" s="34">
        <v>50.0</v>
      </c>
    </row>
    <row r="199">
      <c r="A199" s="35">
        <v>45885.0</v>
      </c>
      <c r="B199" s="34"/>
      <c r="C199" s="34">
        <v>50.0</v>
      </c>
    </row>
    <row r="200">
      <c r="A200" s="35">
        <v>45886.0</v>
      </c>
      <c r="B200" s="34"/>
      <c r="C200" s="34">
        <v>50.0</v>
      </c>
    </row>
    <row r="201">
      <c r="A201" s="35">
        <v>45887.0</v>
      </c>
      <c r="B201" s="34"/>
      <c r="C201" s="34">
        <v>100.0</v>
      </c>
    </row>
    <row r="202">
      <c r="A202" s="35">
        <v>45888.0</v>
      </c>
      <c r="B202" s="34"/>
      <c r="C202" s="34">
        <v>100.0</v>
      </c>
    </row>
    <row r="203">
      <c r="A203" s="35">
        <v>45889.0</v>
      </c>
      <c r="B203" s="34"/>
      <c r="C203" s="34">
        <v>50.0</v>
      </c>
    </row>
    <row r="204">
      <c r="A204" s="35">
        <v>45890.0</v>
      </c>
      <c r="B204" s="34"/>
      <c r="C204" s="34">
        <v>50.0</v>
      </c>
    </row>
    <row r="205">
      <c r="A205" s="35">
        <v>45891.0</v>
      </c>
      <c r="B205" s="34"/>
      <c r="C205" s="34">
        <v>50.0</v>
      </c>
    </row>
    <row r="206">
      <c r="A206" s="35">
        <v>45893.0</v>
      </c>
      <c r="B206" s="34"/>
      <c r="C206" s="34">
        <v>50.0</v>
      </c>
    </row>
    <row r="207">
      <c r="A207" s="35">
        <v>45893.0</v>
      </c>
      <c r="B207" s="34"/>
      <c r="C207" s="34">
        <v>90.0</v>
      </c>
    </row>
    <row r="208">
      <c r="A208" s="34" t="s">
        <v>4</v>
      </c>
      <c r="B208" s="34"/>
      <c r="C208" s="34">
        <v>925.0</v>
      </c>
    </row>
    <row r="210">
      <c r="A210" s="35">
        <v>45938.0</v>
      </c>
      <c r="B210" s="34"/>
      <c r="C210" s="34">
        <v>100.0</v>
      </c>
    </row>
    <row r="211">
      <c r="A211" s="35">
        <v>45939.0</v>
      </c>
      <c r="B211" s="34"/>
      <c r="C211" s="34">
        <v>50.0</v>
      </c>
    </row>
    <row r="212">
      <c r="A212" s="38">
        <v>45940.0</v>
      </c>
      <c r="B212" s="34"/>
      <c r="C212" s="34">
        <v>50.0</v>
      </c>
    </row>
    <row r="213">
      <c r="A213" s="38">
        <v>45940.0</v>
      </c>
      <c r="B213" s="34"/>
      <c r="C213" s="34">
        <v>150.0</v>
      </c>
    </row>
    <row r="214">
      <c r="A214" s="38">
        <v>45942.0</v>
      </c>
      <c r="B214" s="34"/>
      <c r="C214" s="34">
        <v>100.0</v>
      </c>
    </row>
    <row r="215">
      <c r="A215" s="38">
        <v>45945.0</v>
      </c>
      <c r="B215" s="34"/>
      <c r="C215" s="34">
        <v>100.0</v>
      </c>
    </row>
    <row r="219" ht="40.5" customHeight="1">
      <c r="A219" s="39" t="s">
        <v>73</v>
      </c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</row>
    <row r="220">
      <c r="A220" s="38">
        <v>45975.0</v>
      </c>
      <c r="B220" s="34"/>
      <c r="C220" s="34">
        <v>150.0</v>
      </c>
    </row>
    <row r="221">
      <c r="A221" s="38">
        <v>45976.0</v>
      </c>
      <c r="B221" s="34"/>
      <c r="C221" s="34">
        <v>50.0</v>
      </c>
    </row>
    <row r="222">
      <c r="A222" s="38">
        <v>45977.0</v>
      </c>
      <c r="B222" s="34"/>
      <c r="C222" s="34">
        <v>56.0</v>
      </c>
    </row>
    <row r="223">
      <c r="A223" s="38">
        <v>45977.0</v>
      </c>
      <c r="B223" s="34"/>
      <c r="C223" s="34">
        <v>50.0</v>
      </c>
    </row>
    <row r="224">
      <c r="A224" s="38">
        <v>45978.0</v>
      </c>
      <c r="B224" s="34"/>
      <c r="C224" s="34">
        <v>50.0</v>
      </c>
    </row>
    <row r="225">
      <c r="A225" s="38">
        <v>45978.0</v>
      </c>
      <c r="B225" s="34"/>
      <c r="C225" s="34">
        <v>51.0</v>
      </c>
    </row>
    <row r="226">
      <c r="A226" s="34" t="s">
        <v>74</v>
      </c>
      <c r="B226" s="34"/>
      <c r="C226" s="34">
        <v>88.0</v>
      </c>
    </row>
    <row r="227">
      <c r="A227" s="34" t="s">
        <v>75</v>
      </c>
      <c r="B227" s="34"/>
      <c r="C227" s="34">
        <v>19.0</v>
      </c>
    </row>
    <row r="230">
      <c r="A230" s="38">
        <v>45979.0</v>
      </c>
      <c r="B230" s="34"/>
      <c r="C230" s="34">
        <v>57.0</v>
      </c>
    </row>
    <row r="231">
      <c r="A231" s="38">
        <v>45979.0</v>
      </c>
      <c r="B231" s="34"/>
      <c r="C231" s="34">
        <v>50.0</v>
      </c>
    </row>
    <row r="232">
      <c r="A232" s="38">
        <v>45980.0</v>
      </c>
      <c r="B232" s="34"/>
      <c r="C232" s="34">
        <v>50.0</v>
      </c>
    </row>
    <row r="233">
      <c r="A233" s="34" t="s">
        <v>4</v>
      </c>
      <c r="B233" s="34"/>
      <c r="C233" s="34">
        <v>56.0</v>
      </c>
    </row>
    <row r="235">
      <c r="A235" s="38">
        <v>45980.0</v>
      </c>
      <c r="B235" s="34"/>
      <c r="C235" s="34">
        <v>60.0</v>
      </c>
    </row>
    <row r="236">
      <c r="A236" s="38">
        <v>45981.0</v>
      </c>
      <c r="B236" s="34"/>
      <c r="C236" s="34">
        <v>57.0</v>
      </c>
    </row>
    <row r="237">
      <c r="A237" s="34" t="s">
        <v>69</v>
      </c>
      <c r="B237" s="34"/>
      <c r="C237" s="34">
        <v>35.0</v>
      </c>
    </row>
    <row r="239">
      <c r="A239" s="38">
        <v>45981.0</v>
      </c>
      <c r="B239" s="34"/>
      <c r="C239" s="34">
        <v>103.0</v>
      </c>
    </row>
    <row r="240">
      <c r="A240" s="34" t="s">
        <v>69</v>
      </c>
      <c r="B240" s="34"/>
      <c r="C240" s="34">
        <v>29.0</v>
      </c>
    </row>
    <row r="242">
      <c r="A242" s="38">
        <v>45982.0</v>
      </c>
      <c r="B242" s="34"/>
      <c r="C242" s="34">
        <v>100.0</v>
      </c>
    </row>
    <row r="243">
      <c r="A243" s="38">
        <v>45982.0</v>
      </c>
      <c r="B243" s="34"/>
      <c r="C243" s="34">
        <v>100.0</v>
      </c>
    </row>
    <row r="244">
      <c r="A244" s="38">
        <v>45983.0</v>
      </c>
      <c r="B244" s="34"/>
      <c r="C244" s="34">
        <v>100.0</v>
      </c>
    </row>
    <row r="245">
      <c r="A245" s="38">
        <v>45983.0</v>
      </c>
      <c r="B245" s="34"/>
      <c r="C245" s="34">
        <v>95.0</v>
      </c>
    </row>
    <row r="246">
      <c r="A246" s="38">
        <v>45985.0</v>
      </c>
      <c r="B246" s="34"/>
      <c r="C246" s="34">
        <v>50.0</v>
      </c>
    </row>
    <row r="247">
      <c r="A247" s="38">
        <v>45985.0</v>
      </c>
      <c r="B247" s="34"/>
      <c r="C247" s="34">
        <v>117.0</v>
      </c>
    </row>
    <row r="248">
      <c r="A248" s="34" t="s">
        <v>4</v>
      </c>
      <c r="B248" s="34"/>
      <c r="C248" s="34">
        <v>98.0</v>
      </c>
      <c r="D248" s="41"/>
    </row>
    <row r="250">
      <c r="A250" s="35">
        <v>45992.0</v>
      </c>
      <c r="B250" s="34"/>
      <c r="C250" s="34">
        <v>50.0</v>
      </c>
    </row>
    <row r="251">
      <c r="A251" s="35">
        <v>45963.0</v>
      </c>
      <c r="B251" s="34"/>
      <c r="C251" s="34">
        <v>50.0</v>
      </c>
    </row>
    <row r="252">
      <c r="A252" s="35">
        <v>45963.0</v>
      </c>
      <c r="B252" s="34"/>
      <c r="C252" s="34">
        <v>200.0</v>
      </c>
    </row>
    <row r="253">
      <c r="A253" s="38">
        <v>45964.0</v>
      </c>
      <c r="B253" s="34"/>
      <c r="C253" s="34">
        <v>50.0</v>
      </c>
    </row>
    <row r="254">
      <c r="A254" s="38">
        <v>45964.0</v>
      </c>
      <c r="B254" s="34"/>
      <c r="C254" s="34">
        <v>200.0</v>
      </c>
    </row>
    <row r="255">
      <c r="A255" s="35">
        <v>45965.0</v>
      </c>
      <c r="B255" s="34"/>
      <c r="C255" s="34">
        <v>100.0</v>
      </c>
    </row>
    <row r="256">
      <c r="A256" s="38">
        <v>45966.0</v>
      </c>
      <c r="B256" s="34"/>
      <c r="C256" s="34">
        <v>50.0</v>
      </c>
    </row>
    <row r="257">
      <c r="A257" s="34" t="s">
        <v>76</v>
      </c>
      <c r="B257" s="34"/>
      <c r="C257" s="34">
        <v>100.0</v>
      </c>
    </row>
    <row r="258">
      <c r="A258" s="34" t="s">
        <v>77</v>
      </c>
      <c r="B258" s="34"/>
      <c r="C258" s="34">
        <v>589.0</v>
      </c>
    </row>
    <row r="259">
      <c r="A259" s="38">
        <v>45968.0</v>
      </c>
      <c r="B259" s="34"/>
      <c r="C259" s="34">
        <v>49.0</v>
      </c>
    </row>
    <row r="260">
      <c r="A260" s="35">
        <v>45999.0</v>
      </c>
      <c r="B260" s="34"/>
      <c r="C260" s="34">
        <v>50.0</v>
      </c>
    </row>
    <row r="261">
      <c r="A261" s="35">
        <v>45999.0</v>
      </c>
      <c r="B261" s="34"/>
      <c r="C261" s="34">
        <v>49.0</v>
      </c>
    </row>
    <row r="262">
      <c r="A262" s="38">
        <v>46000.0</v>
      </c>
      <c r="B262" s="34"/>
      <c r="C262" s="34">
        <v>50.0</v>
      </c>
    </row>
    <row r="263">
      <c r="A263" s="38">
        <v>46000.0</v>
      </c>
      <c r="B263" s="34"/>
      <c r="C263" s="34">
        <v>150.0</v>
      </c>
    </row>
    <row r="264">
      <c r="A264" s="38">
        <v>46001.0</v>
      </c>
      <c r="B264" s="34"/>
      <c r="C264" s="34">
        <v>50.0</v>
      </c>
    </row>
    <row r="265">
      <c r="A265" s="38">
        <v>46001.0</v>
      </c>
      <c r="B265" s="34"/>
      <c r="C265" s="34">
        <v>54.0</v>
      </c>
    </row>
    <row r="266">
      <c r="A266" s="38">
        <v>46002.0</v>
      </c>
      <c r="B266" s="34"/>
      <c r="C266" s="34">
        <v>50.0</v>
      </c>
    </row>
    <row r="267">
      <c r="A267" s="34" t="s">
        <v>4</v>
      </c>
      <c r="B267" s="34"/>
      <c r="C267" s="34">
        <v>136.0</v>
      </c>
    </row>
    <row r="270">
      <c r="A270" s="38">
        <v>46005.0</v>
      </c>
      <c r="B270" s="34"/>
      <c r="C270" s="34">
        <v>56.0</v>
      </c>
    </row>
    <row r="271">
      <c r="A271" s="38">
        <v>45976.0</v>
      </c>
      <c r="B271" s="34"/>
      <c r="C271" s="34">
        <v>50.0</v>
      </c>
    </row>
    <row r="272">
      <c r="A272" s="38">
        <v>45977.0</v>
      </c>
      <c r="B272" s="34"/>
      <c r="C272" s="34">
        <v>46.0</v>
      </c>
    </row>
    <row r="273">
      <c r="A273" s="38">
        <v>46008.0</v>
      </c>
      <c r="B273" s="34"/>
      <c r="C273" s="34">
        <v>50.0</v>
      </c>
    </row>
    <row r="274">
      <c r="A274" s="34" t="s">
        <v>4</v>
      </c>
      <c r="B274" s="34"/>
      <c r="C274" s="34">
        <v>45.0</v>
      </c>
    </row>
    <row r="276">
      <c r="A276" s="38">
        <v>46009.0</v>
      </c>
      <c r="B276" s="34"/>
      <c r="C276" s="34">
        <v>100.0</v>
      </c>
    </row>
    <row r="277">
      <c r="A277" s="38">
        <v>46009.0</v>
      </c>
      <c r="B277" s="34"/>
      <c r="C277" s="34">
        <v>100.0</v>
      </c>
    </row>
    <row r="278">
      <c r="A278" s="34" t="s">
        <v>4</v>
      </c>
      <c r="B278" s="34"/>
      <c r="C278" s="34">
        <v>45.0</v>
      </c>
    </row>
    <row r="279">
      <c r="E279" s="34" t="s">
        <v>78</v>
      </c>
    </row>
    <row r="280">
      <c r="A280" s="38">
        <v>46010.0</v>
      </c>
      <c r="B280" s="34"/>
      <c r="C280" s="34">
        <v>100.0</v>
      </c>
      <c r="E280" s="38">
        <v>46012.0</v>
      </c>
      <c r="F280" s="34"/>
      <c r="G280" s="34">
        <v>50.0</v>
      </c>
    </row>
    <row r="281">
      <c r="A281" s="38">
        <v>46011.0</v>
      </c>
      <c r="B281" s="34"/>
      <c r="C281" s="34">
        <v>107.0</v>
      </c>
      <c r="E281" s="38">
        <v>46012.0</v>
      </c>
      <c r="F281" s="34"/>
      <c r="G281" s="34">
        <v>54.0</v>
      </c>
    </row>
    <row r="282">
      <c r="A282" s="38">
        <v>46012.0</v>
      </c>
      <c r="B282" s="34"/>
      <c r="C282" s="34">
        <v>100.0</v>
      </c>
      <c r="E282" s="38">
        <v>46013.0</v>
      </c>
      <c r="F282" s="34"/>
      <c r="G282" s="34">
        <v>50.0</v>
      </c>
    </row>
    <row r="283">
      <c r="A283" s="38">
        <v>46012.0</v>
      </c>
      <c r="B283" s="34"/>
      <c r="C283" s="34">
        <v>102.0</v>
      </c>
      <c r="E283" s="34" t="s">
        <v>4</v>
      </c>
      <c r="F283" s="34"/>
      <c r="G283" s="34">
        <v>54.0</v>
      </c>
    </row>
    <row r="284">
      <c r="A284" s="38">
        <v>46013.0</v>
      </c>
      <c r="B284" s="34"/>
      <c r="C284" s="34">
        <v>100.0</v>
      </c>
    </row>
    <row r="285">
      <c r="A285" s="38">
        <v>46014.0</v>
      </c>
      <c r="B285" s="34"/>
      <c r="C285" s="34">
        <v>100.0</v>
      </c>
    </row>
    <row r="286">
      <c r="A286" s="34" t="s">
        <v>69</v>
      </c>
      <c r="B286" s="34"/>
      <c r="C286" s="34">
        <v>77.0</v>
      </c>
    </row>
    <row r="288">
      <c r="A288" s="38">
        <v>46014.0</v>
      </c>
      <c r="B288" s="34"/>
      <c r="C288" s="34">
        <v>100.0</v>
      </c>
      <c r="D288" s="34" t="s">
        <v>79</v>
      </c>
      <c r="E288" s="38">
        <v>46018.0</v>
      </c>
      <c r="F288" s="34"/>
      <c r="G288" s="34">
        <v>50.0</v>
      </c>
      <c r="H288" s="34"/>
    </row>
    <row r="289">
      <c r="A289" s="38">
        <v>46015.0</v>
      </c>
      <c r="B289" s="34"/>
      <c r="C289" s="34">
        <v>100.0</v>
      </c>
      <c r="E289" s="38">
        <v>46018.0</v>
      </c>
      <c r="F289" s="34"/>
      <c r="G289" s="34">
        <v>150.0</v>
      </c>
    </row>
    <row r="290">
      <c r="A290" s="38">
        <v>46016.0</v>
      </c>
      <c r="B290" s="34"/>
      <c r="C290" s="34">
        <v>100.0</v>
      </c>
      <c r="E290" s="38">
        <v>46019.0</v>
      </c>
      <c r="F290" s="34"/>
      <c r="G290" s="34">
        <v>50.0</v>
      </c>
    </row>
    <row r="291">
      <c r="A291" s="38">
        <v>46017.0</v>
      </c>
      <c r="B291" s="34"/>
      <c r="C291" s="34">
        <v>100.0</v>
      </c>
      <c r="E291" s="38">
        <v>46019.0</v>
      </c>
      <c r="F291" s="34"/>
      <c r="G291" s="34">
        <v>100.0</v>
      </c>
    </row>
    <row r="292">
      <c r="A292" s="38">
        <v>46018.0</v>
      </c>
      <c r="B292" s="34"/>
      <c r="C292" s="34">
        <v>100.0</v>
      </c>
      <c r="E292" s="34" t="s">
        <v>69</v>
      </c>
      <c r="F292" s="34"/>
      <c r="G292" s="34">
        <v>-350.0</v>
      </c>
    </row>
    <row r="293">
      <c r="A293" s="38">
        <v>46019.0</v>
      </c>
      <c r="B293" s="34"/>
      <c r="C293" s="34">
        <v>50.0</v>
      </c>
    </row>
    <row r="294">
      <c r="A294" s="35">
        <v>46035.0</v>
      </c>
      <c r="B294" s="34"/>
      <c r="C294" s="34">
        <v>366.0</v>
      </c>
    </row>
    <row r="295">
      <c r="A295" s="34" t="s">
        <v>80</v>
      </c>
      <c r="B295" s="34"/>
      <c r="C295" s="34">
        <v>86.0</v>
      </c>
    </row>
    <row r="296">
      <c r="A296" s="34" t="s">
        <v>4</v>
      </c>
      <c r="B296" s="34"/>
      <c r="C296" s="34">
        <v>134.0</v>
      </c>
    </row>
    <row r="298">
      <c r="A298" s="35">
        <v>46043.0</v>
      </c>
      <c r="B298" s="34"/>
      <c r="C298" s="34">
        <v>60.0</v>
      </c>
      <c r="E298" s="35">
        <v>46044.0</v>
      </c>
      <c r="F298" s="34"/>
      <c r="G298" s="34">
        <v>40.0</v>
      </c>
    </row>
    <row r="299">
      <c r="A299" s="35">
        <v>46044.0</v>
      </c>
      <c r="B299" s="34"/>
      <c r="C299" s="34">
        <v>60.0</v>
      </c>
      <c r="E299" s="35">
        <v>46045.0</v>
      </c>
      <c r="F299" s="34"/>
      <c r="G299" s="34">
        <v>40.0</v>
      </c>
    </row>
    <row r="300">
      <c r="A300" s="35">
        <v>46045.0</v>
      </c>
      <c r="B300" s="34"/>
      <c r="C300" s="34">
        <v>60.0</v>
      </c>
      <c r="E300" s="35">
        <v>46047.0</v>
      </c>
      <c r="F300" s="34"/>
      <c r="G300" s="34">
        <v>30.0</v>
      </c>
    </row>
    <row r="301">
      <c r="A301" s="35">
        <v>46047.0</v>
      </c>
      <c r="B301" s="34"/>
      <c r="C301" s="34">
        <v>52.0</v>
      </c>
      <c r="E301" s="34" t="s">
        <v>4</v>
      </c>
      <c r="F301" s="34"/>
      <c r="G301" s="34">
        <v>31.0</v>
      </c>
    </row>
    <row r="302">
      <c r="A302" s="34" t="s">
        <v>4</v>
      </c>
      <c r="B302" s="34"/>
      <c r="C302" s="34">
        <v>50.0</v>
      </c>
    </row>
    <row r="303">
      <c r="I303" s="42" t="s">
        <v>81</v>
      </c>
    </row>
    <row r="304">
      <c r="A304" s="35">
        <v>46048.0</v>
      </c>
      <c r="B304" s="34"/>
      <c r="C304" s="34">
        <v>60.0</v>
      </c>
      <c r="E304" s="35">
        <v>46048.0</v>
      </c>
      <c r="F304" s="34"/>
      <c r="G304" s="34">
        <v>40.0</v>
      </c>
    </row>
    <row r="305">
      <c r="A305" s="35">
        <v>46049.0</v>
      </c>
      <c r="B305" s="34"/>
      <c r="C305" s="34">
        <v>58.0</v>
      </c>
      <c r="E305" s="35">
        <v>46049.0</v>
      </c>
      <c r="F305" s="34"/>
      <c r="G305" s="34">
        <v>70.0</v>
      </c>
    </row>
    <row r="306">
      <c r="A306" s="35">
        <v>46049.0</v>
      </c>
      <c r="B306" s="34"/>
      <c r="C306" s="34">
        <v>200.0</v>
      </c>
      <c r="E306" s="35">
        <v>46049.0</v>
      </c>
      <c r="F306" s="34"/>
      <c r="G306" s="34">
        <v>80.0</v>
      </c>
    </row>
    <row r="307">
      <c r="A307" s="35">
        <v>46050.0</v>
      </c>
      <c r="B307" s="34"/>
      <c r="C307" s="34">
        <v>79.0</v>
      </c>
      <c r="E307" s="35">
        <v>46050.0</v>
      </c>
      <c r="F307" s="34"/>
      <c r="G307" s="34">
        <v>44.0</v>
      </c>
    </row>
    <row r="308">
      <c r="A308" s="34" t="s">
        <v>4</v>
      </c>
      <c r="B308" s="34"/>
      <c r="C308" s="34">
        <v>106.0</v>
      </c>
      <c r="E308" s="34" t="s">
        <v>4</v>
      </c>
      <c r="F308" s="34"/>
      <c r="G308" s="34">
        <v>72.0</v>
      </c>
    </row>
    <row r="310">
      <c r="I310" s="35">
        <v>46051.0</v>
      </c>
      <c r="J310" s="34"/>
      <c r="K310" s="34">
        <v>90.0</v>
      </c>
    </row>
    <row r="311">
      <c r="I311" s="35">
        <v>46052.0</v>
      </c>
      <c r="J311" s="34"/>
      <c r="K311" s="34">
        <v>320.0</v>
      </c>
    </row>
    <row r="312">
      <c r="I312" s="35">
        <v>46054.0</v>
      </c>
      <c r="J312" s="34"/>
      <c r="K312" s="34">
        <v>100.0</v>
      </c>
    </row>
    <row r="313">
      <c r="I313" s="34" t="s">
        <v>4</v>
      </c>
      <c r="J313" s="34"/>
      <c r="K313" s="34">
        <v>-510.0</v>
      </c>
    </row>
    <row r="315">
      <c r="A315" s="35">
        <v>46055.0</v>
      </c>
      <c r="B315" s="34"/>
      <c r="C315" s="34">
        <v>100.0</v>
      </c>
      <c r="E315" s="35">
        <v>46055.0</v>
      </c>
      <c r="F315" s="34"/>
      <c r="G315" s="34">
        <v>50.0</v>
      </c>
      <c r="I315" s="35">
        <v>46055.0</v>
      </c>
      <c r="J315" s="34"/>
      <c r="K315" s="34">
        <v>50.0</v>
      </c>
    </row>
    <row r="316">
      <c r="A316" s="35">
        <v>46056.0</v>
      </c>
      <c r="B316" s="34"/>
      <c r="C316" s="34">
        <v>100.0</v>
      </c>
      <c r="E316" s="35">
        <v>46055.0</v>
      </c>
      <c r="F316" s="34"/>
      <c r="G316" s="34">
        <v>50.0</v>
      </c>
      <c r="I316" s="35">
        <v>46056.0</v>
      </c>
      <c r="J316" s="34"/>
      <c r="K316" s="34">
        <v>50.0</v>
      </c>
    </row>
    <row r="317">
      <c r="A317" s="34" t="s">
        <v>4</v>
      </c>
      <c r="B317" s="34"/>
      <c r="C317" s="34">
        <v>78.6</v>
      </c>
      <c r="E317" s="34" t="s">
        <v>4</v>
      </c>
      <c r="F317" s="34"/>
      <c r="G317" s="34">
        <v>35.4</v>
      </c>
      <c r="I317" s="35">
        <v>46056.0</v>
      </c>
      <c r="J317" s="34"/>
      <c r="K317" s="34">
        <v>50.0</v>
      </c>
    </row>
    <row r="318">
      <c r="I318" s="35">
        <v>46057.0</v>
      </c>
      <c r="J318" s="34"/>
      <c r="K318" s="34">
        <v>50.0</v>
      </c>
    </row>
    <row r="319">
      <c r="I319" s="35">
        <v>46057.0</v>
      </c>
      <c r="J319" s="34"/>
      <c r="K319" s="34">
        <v>50.0</v>
      </c>
    </row>
    <row r="320">
      <c r="A320" s="35">
        <v>46056.0</v>
      </c>
      <c r="B320" s="34"/>
      <c r="C320" s="34">
        <v>100.0</v>
      </c>
      <c r="E320" s="35">
        <v>46056.0</v>
      </c>
      <c r="F320" s="34"/>
      <c r="G320" s="34">
        <v>50.0</v>
      </c>
      <c r="I320" s="35">
        <v>46057.0</v>
      </c>
      <c r="J320" s="34"/>
      <c r="K320" s="34">
        <v>50.0</v>
      </c>
    </row>
    <row r="321">
      <c r="A321" s="34" t="s">
        <v>4</v>
      </c>
      <c r="B321" s="34"/>
      <c r="C321" s="34">
        <v>43.0</v>
      </c>
      <c r="E321" s="34" t="s">
        <v>4</v>
      </c>
      <c r="F321" s="34"/>
      <c r="G321" s="34">
        <v>14.0</v>
      </c>
      <c r="I321" s="34" t="s">
        <v>4</v>
      </c>
      <c r="J321" s="34"/>
      <c r="K321" s="34">
        <v>96.0</v>
      </c>
    </row>
    <row r="323">
      <c r="A323" s="35">
        <v>46058.0</v>
      </c>
      <c r="B323" s="34"/>
      <c r="C323" s="34">
        <v>150.0</v>
      </c>
      <c r="E323" s="35">
        <v>46058.0</v>
      </c>
      <c r="F323" s="34"/>
      <c r="G323" s="34">
        <v>100.0</v>
      </c>
    </row>
    <row r="324">
      <c r="A324" s="34" t="s">
        <v>4</v>
      </c>
      <c r="B324" s="34"/>
      <c r="C324" s="34">
        <v>50.0</v>
      </c>
      <c r="E324" s="34" t="s">
        <v>4</v>
      </c>
      <c r="F324" s="34"/>
      <c r="G324" s="34">
        <v>31.0</v>
      </c>
    </row>
    <row r="326">
      <c r="A326" s="35">
        <v>46058.0</v>
      </c>
      <c r="B326" s="34"/>
      <c r="C326" s="34">
        <v>150.0</v>
      </c>
      <c r="E326" s="35">
        <v>46058.0</v>
      </c>
      <c r="F326" s="34"/>
      <c r="G326" s="34">
        <v>100.0</v>
      </c>
    </row>
    <row r="327">
      <c r="A327" s="35">
        <v>46059.0</v>
      </c>
      <c r="B327" s="34"/>
      <c r="C327" s="34">
        <v>150.0</v>
      </c>
      <c r="E327" s="35">
        <v>46059.0</v>
      </c>
      <c r="F327" s="34"/>
      <c r="G327" s="34">
        <v>100.0</v>
      </c>
    </row>
    <row r="328">
      <c r="A328" s="35">
        <v>46059.0</v>
      </c>
      <c r="B328" s="34"/>
      <c r="C328" s="34">
        <v>150.0</v>
      </c>
      <c r="E328" s="35">
        <v>46059.0</v>
      </c>
      <c r="F328" s="34"/>
      <c r="G328" s="34">
        <v>70.0</v>
      </c>
    </row>
    <row r="329">
      <c r="A329" s="35">
        <v>46060.0</v>
      </c>
      <c r="B329" s="34"/>
      <c r="C329" s="34">
        <v>50.0</v>
      </c>
      <c r="E329" s="35">
        <v>46060.0</v>
      </c>
    </row>
    <row r="330">
      <c r="A330" s="35">
        <v>46061.0</v>
      </c>
      <c r="B330" s="34"/>
      <c r="C330" s="34">
        <v>100.0</v>
      </c>
      <c r="E330" s="35">
        <v>46061.0</v>
      </c>
      <c r="F330" s="34"/>
      <c r="G330" s="34">
        <v>100.0</v>
      </c>
    </row>
    <row r="331">
      <c r="A331" s="35">
        <v>46062.0</v>
      </c>
      <c r="B331" s="34"/>
      <c r="C331" s="34">
        <v>150.0</v>
      </c>
      <c r="E331" s="35">
        <v>46062.0</v>
      </c>
      <c r="F331" s="34"/>
      <c r="G331" s="34">
        <v>50.0</v>
      </c>
    </row>
    <row r="332">
      <c r="A332" s="35">
        <v>46063.0</v>
      </c>
      <c r="B332" s="34"/>
      <c r="C332" s="34">
        <v>50.0</v>
      </c>
      <c r="E332" s="35">
        <v>46063.0</v>
      </c>
      <c r="F332" s="34"/>
      <c r="G332" s="34">
        <v>50.0</v>
      </c>
    </row>
    <row r="333">
      <c r="A333" s="34" t="s">
        <v>4</v>
      </c>
      <c r="B333" s="34"/>
      <c r="C333" s="34">
        <v>170.0</v>
      </c>
      <c r="E333" s="34" t="s">
        <v>4</v>
      </c>
      <c r="F333" s="34"/>
      <c r="G333" s="34">
        <v>122.0</v>
      </c>
    </row>
    <row r="335">
      <c r="A335" s="35">
        <v>46065.0</v>
      </c>
      <c r="B335" s="34"/>
      <c r="C335" s="34">
        <v>100.0</v>
      </c>
      <c r="E335" s="35">
        <v>46065.0</v>
      </c>
      <c r="F335" s="34"/>
      <c r="G335" s="34">
        <v>100.0</v>
      </c>
      <c r="I335" s="35">
        <v>46065.0</v>
      </c>
      <c r="J335" s="34"/>
      <c r="K335" s="34">
        <v>50.0</v>
      </c>
    </row>
    <row r="336">
      <c r="A336" s="35">
        <v>46066.0</v>
      </c>
      <c r="B336" s="34"/>
      <c r="C336" s="34">
        <v>50.0</v>
      </c>
      <c r="E336" s="35">
        <v>46066.0</v>
      </c>
      <c r="F336" s="34"/>
      <c r="G336" s="34">
        <v>50.0</v>
      </c>
      <c r="I336" s="35">
        <v>46066.0</v>
      </c>
      <c r="J336" s="34"/>
      <c r="K336" s="34">
        <v>50.0</v>
      </c>
    </row>
    <row r="337">
      <c r="A337" s="35">
        <v>46066.0</v>
      </c>
      <c r="B337" s="34"/>
      <c r="C337" s="34">
        <v>100.0</v>
      </c>
      <c r="E337" s="35">
        <v>46066.0</v>
      </c>
      <c r="F337" s="34"/>
      <c r="G337" s="34">
        <v>150.0</v>
      </c>
      <c r="I337" s="35">
        <v>46067.0</v>
      </c>
      <c r="J337" s="34"/>
      <c r="K337" s="34">
        <v>50.0</v>
      </c>
    </row>
    <row r="338">
      <c r="A338" s="35">
        <v>46067.0</v>
      </c>
      <c r="B338" s="34"/>
      <c r="C338" s="34">
        <v>200.0</v>
      </c>
      <c r="E338" s="35">
        <v>46067.0</v>
      </c>
      <c r="F338" s="34"/>
      <c r="G338" s="34">
        <v>150.0</v>
      </c>
      <c r="I338" s="35">
        <v>46067.0</v>
      </c>
      <c r="J338" s="34"/>
      <c r="K338" s="34">
        <v>200.0</v>
      </c>
    </row>
    <row r="339">
      <c r="A339" s="35">
        <v>46068.0</v>
      </c>
      <c r="B339" s="34"/>
      <c r="C339" s="34">
        <v>50.0</v>
      </c>
      <c r="E339" s="35">
        <v>46068.0</v>
      </c>
      <c r="F339" s="34"/>
      <c r="G339" s="34">
        <v>150.0</v>
      </c>
      <c r="I339" s="35">
        <v>46068.0</v>
      </c>
      <c r="J339" s="34"/>
      <c r="K339" s="34">
        <v>50.0</v>
      </c>
    </row>
    <row r="340">
      <c r="A340" s="34" t="s">
        <v>4</v>
      </c>
      <c r="B340" s="34"/>
      <c r="C340" s="34">
        <v>106.0</v>
      </c>
      <c r="E340" s="35">
        <v>46069.0</v>
      </c>
      <c r="F340" s="34"/>
      <c r="G340" s="34">
        <v>50.0</v>
      </c>
      <c r="I340" s="35">
        <v>46070.0</v>
      </c>
      <c r="J340" s="34"/>
      <c r="K340" s="34">
        <v>150.0</v>
      </c>
    </row>
    <row r="341">
      <c r="A341" s="35"/>
      <c r="B341" s="34"/>
      <c r="C341" s="34"/>
      <c r="E341" s="34" t="s">
        <v>4</v>
      </c>
      <c r="F341" s="34"/>
      <c r="G341" s="34">
        <v>209.0</v>
      </c>
      <c r="I341" s="35">
        <v>46070.0</v>
      </c>
      <c r="J341" s="34"/>
      <c r="K341" s="34">
        <v>50.0</v>
      </c>
    </row>
    <row r="342">
      <c r="A342" s="35">
        <v>46069.0</v>
      </c>
      <c r="B342" s="34"/>
      <c r="C342" s="34">
        <v>100.0</v>
      </c>
      <c r="I342" s="35">
        <v>46071.0</v>
      </c>
      <c r="J342" s="34"/>
      <c r="K342" s="34">
        <v>200.0</v>
      </c>
    </row>
    <row r="343">
      <c r="A343" s="35">
        <v>46070.0</v>
      </c>
      <c r="B343" s="34"/>
      <c r="C343" s="34">
        <v>50.0</v>
      </c>
      <c r="E343" s="35">
        <v>46073.0</v>
      </c>
      <c r="F343" s="34"/>
      <c r="G343" s="34">
        <v>150.0</v>
      </c>
      <c r="I343" s="35">
        <v>46072.0</v>
      </c>
      <c r="J343" s="34"/>
      <c r="K343" s="34">
        <v>50.0</v>
      </c>
    </row>
    <row r="344">
      <c r="A344" s="35">
        <v>46071.0</v>
      </c>
      <c r="B344" s="34"/>
      <c r="C344" s="34">
        <v>50.0</v>
      </c>
      <c r="E344" s="35">
        <v>46074.0</v>
      </c>
      <c r="F344" s="34"/>
      <c r="G344" s="34">
        <v>100.0</v>
      </c>
      <c r="I344" s="35">
        <v>46073.0</v>
      </c>
      <c r="J344" s="34"/>
      <c r="K344" s="34">
        <v>50.0</v>
      </c>
    </row>
    <row r="345">
      <c r="A345" s="35">
        <v>46072.0</v>
      </c>
      <c r="B345" s="34"/>
      <c r="C345" s="34">
        <v>50.0</v>
      </c>
      <c r="I345" s="34" t="s">
        <v>4</v>
      </c>
      <c r="J345" s="34"/>
      <c r="K345" s="34">
        <v>104.0</v>
      </c>
    </row>
    <row r="346">
      <c r="A346" s="35">
        <v>46073.0</v>
      </c>
      <c r="B346" s="34"/>
      <c r="C346" s="34">
        <v>50.0</v>
      </c>
    </row>
    <row r="347">
      <c r="A347" s="35">
        <v>46074.0</v>
      </c>
      <c r="B347" s="34"/>
      <c r="C347" s="34">
        <v>100.0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.75"/>
    <col customWidth="1" min="2" max="6" width="10.75"/>
    <col customWidth="1" min="7" max="7" width="6.38"/>
    <col customWidth="1" min="8" max="11" width="10.75"/>
    <col customWidth="1" min="12" max="12" width="14.25"/>
    <col customWidth="1" min="13" max="14" width="10.75"/>
    <col customWidth="1" min="15" max="15" width="12.88"/>
    <col customWidth="1" min="16" max="17" width="10.75"/>
    <col customWidth="1" min="18" max="18" width="12.0"/>
    <col customWidth="1" min="19" max="19" width="17.75"/>
    <col customWidth="1" min="20" max="20" width="3.0"/>
    <col customWidth="1" min="21" max="22" width="10.13"/>
    <col customWidth="1" min="28" max="28" width="3.0"/>
    <col customWidth="1" min="33" max="33" width="3.0"/>
  </cols>
  <sheetData>
    <row r="1">
      <c r="A1" s="1" t="s">
        <v>0</v>
      </c>
      <c r="B1" s="1" t="s">
        <v>1</v>
      </c>
      <c r="C1" s="1" t="s">
        <v>82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43" t="s">
        <v>7</v>
      </c>
      <c r="J1" s="43" t="s">
        <v>8</v>
      </c>
      <c r="K1" s="43" t="s">
        <v>10</v>
      </c>
      <c r="L1" s="43" t="s">
        <v>83</v>
      </c>
      <c r="M1" s="43" t="s">
        <v>9</v>
      </c>
      <c r="N1" s="43" t="s">
        <v>11</v>
      </c>
      <c r="O1" s="43" t="s">
        <v>84</v>
      </c>
      <c r="P1" s="1" t="s">
        <v>85</v>
      </c>
      <c r="Q1" s="1" t="s">
        <v>86</v>
      </c>
      <c r="R1" s="1" t="s">
        <v>12</v>
      </c>
      <c r="S1" s="1" t="s">
        <v>87</v>
      </c>
      <c r="T1" s="2"/>
      <c r="U1" s="1" t="s">
        <v>1</v>
      </c>
      <c r="V1" s="1" t="s">
        <v>6</v>
      </c>
      <c r="W1" s="1" t="s">
        <v>14</v>
      </c>
      <c r="X1" s="1" t="s">
        <v>15</v>
      </c>
      <c r="Y1" s="1" t="s">
        <v>16</v>
      </c>
      <c r="Z1" s="1" t="s">
        <v>12</v>
      </c>
      <c r="AA1" s="1" t="s">
        <v>17</v>
      </c>
      <c r="AB1" s="2"/>
      <c r="AC1" s="2"/>
      <c r="AD1" s="2"/>
      <c r="AE1" s="2"/>
      <c r="AF1" s="2"/>
      <c r="AG1" s="2"/>
    </row>
    <row r="2" ht="24.0" customHeight="1">
      <c r="A2" s="4" t="s">
        <v>88</v>
      </c>
      <c r="B2" s="4" t="s">
        <v>89</v>
      </c>
      <c r="C2" s="5" t="str">
        <f>IFERROR(__xludf.DUMMYFUNCTION("if(B2=0,""..."", sparkline(query(GOOGLEFINANCE(B2,""price"",today()-$AE$27,today()),""select Col2"",0),{""charttype"",$AE$26}))"),"")</f>
        <v/>
      </c>
      <c r="D2" s="5">
        <v>45569.0</v>
      </c>
      <c r="E2" s="6" t="s">
        <v>22</v>
      </c>
      <c r="F2" s="5"/>
      <c r="G2" s="8">
        <f t="shared" ref="G2:G4" si="1">if(B2=0,"...", IF(F2=0,today()-D2,F2-D2))</f>
        <v>548</v>
      </c>
      <c r="H2" s="6">
        <v>18.0</v>
      </c>
      <c r="I2" s="44">
        <v>5380.0</v>
      </c>
      <c r="J2" s="45" t="str">
        <f>IFERROR(__xludf.DUMMYFUNCTION("IF(B2=0,""..."",IF(E2=""CERRADA"",""-"",GOOGLEFINANCE(""BCBA:"" &amp; B2)))"),"-")</f>
        <v>-</v>
      </c>
      <c r="K2" s="45">
        <f>IF(B2=0,"...",$H$2*I2)</f>
        <v>96840</v>
      </c>
      <c r="L2" s="45">
        <f>IF(B2=0,"...",K2/VLOOKUP($D2,CCL!$A$12:$B$828,2,0))</f>
        <v>78.99244661</v>
      </c>
      <c r="M2" s="46">
        <v>6230.0</v>
      </c>
      <c r="N2" s="45">
        <f t="shared" ref="N2:N27" si="2">IF(B2=0,"...",H2*M2)</f>
        <v>112140</v>
      </c>
      <c r="O2" s="45" t="str">
        <f t="array" ref="O2">IF(B2=0,"...",IF(E2="ABIERTA",N2/CCL!$E$2,N2/ VLOOKUP(F2,{CCL!M:N;CCL!$P:$Q},2,FALSE)))</f>
        <v>#N/A</v>
      </c>
      <c r="P2" s="12" t="str">
        <f>IFERROR(__xludf.DUMMYFUNCTION("IF(B2=0,""..."",IF(E2=""CERRADA"",""-"",GOOGLEFINANCE(B2,""changepct"")/100))"),"-")</f>
        <v>-</v>
      </c>
      <c r="Q2" s="10" t="str">
        <f>IFERROR(__xludf.DUMMYFUNCTION("IF(B2=0,""..."",IF(E2=""CERRADA"",""-"",GOOGLEFINANCE(B2,""change"")*H2))"),"-")</f>
        <v>-</v>
      </c>
      <c r="R2" s="12" t="str">
        <f t="shared" ref="R2:R27" si="3">IF(B2=0,"...",O2/L2-1)</f>
        <v>#N/A</v>
      </c>
      <c r="S2" s="13" t="str">
        <f t="shared" ref="S2:S10" si="4">IF(B2=0,"...",O2-L2)</f>
        <v>#N/A</v>
      </c>
      <c r="T2" s="2"/>
      <c r="U2" s="10" t="str">
        <f>IFERROR(__xludf.DUMMYFUNCTION("Unique(Filter(B2:B28,E2:E28=""ABIERTA""))"),"YPFD")</f>
        <v>YPFD</v>
      </c>
      <c r="V2" s="10">
        <f t="shared" ref="V2:V27" si="5">if(U2=0,"...",sumifs($H$2:$H$28,$B$2:$B$28,U2,$E$2:$E$28,"ABIERTA"))</f>
        <v>13</v>
      </c>
      <c r="W2" s="12">
        <f t="shared" ref="W2:W27" si="6">if(U2=0,"",Y2/$AD$18)</f>
        <v>0.6730077121</v>
      </c>
      <c r="X2" s="10">
        <f t="shared" ref="X2:X27" si="7">if(V2=0,"...",if(U2=0,"...",sumifs($M$2:$M$28,$B$2:$B$28,U2,$E$2:$E$28,"ABIERTA")/V2))</f>
        <v>9998.746154</v>
      </c>
      <c r="Y2" s="10">
        <f t="shared" ref="Y2:Y27" si="8">if(U2=0,"...",sumifs($N$2:$N$28,$B$2:$B$28,U2,$E$2:$E$28,"ABIERTA"))</f>
        <v>844894.05</v>
      </c>
      <c r="Z2" s="12">
        <f t="shared" ref="Z2:Z27" si="9">if(V2=0,"...",if(U2=0,"...",AA2/(Y2-AA2)))</f>
        <v>0.0001333013296</v>
      </c>
      <c r="AA2" s="10">
        <f t="shared" ref="AA2:AA27" si="10">if(V2=0,"...",if(U2=0,"...",sumifs($S$2:$S$28,$B$2:$B$28,U2,$E$2:$E$28,"ABIERTA")))</f>
        <v>112.6104891</v>
      </c>
      <c r="AB2" s="2"/>
      <c r="AC2" s="2"/>
      <c r="AD2" s="2"/>
      <c r="AE2" s="2"/>
      <c r="AF2" s="2"/>
      <c r="AG2" s="2"/>
    </row>
    <row r="3" ht="24.0" customHeight="1">
      <c r="A3" s="4" t="s">
        <v>88</v>
      </c>
      <c r="B3" s="4" t="s">
        <v>90</v>
      </c>
      <c r="C3" s="5" t="str">
        <f>IFERROR(__xludf.DUMMYFUNCTION("if(B3=0,""..."", sparkline(query(GOOGLEFINANCE(B3,""price"",today()-$AE$27,today()),""select Col2"",0),{""charttype"",$AE$26}))"),"")</f>
        <v/>
      </c>
      <c r="D3" s="5">
        <v>45595.0</v>
      </c>
      <c r="E3" s="6" t="s">
        <v>22</v>
      </c>
      <c r="F3" s="5"/>
      <c r="G3" s="8">
        <f t="shared" si="1"/>
        <v>522</v>
      </c>
      <c r="H3" s="6">
        <v>31.0</v>
      </c>
      <c r="I3" s="44">
        <v>3090.0</v>
      </c>
      <c r="J3" s="45" t="str">
        <f>IFERROR(__xludf.DUMMYFUNCTION("IF(B3=0,""..."",IF(E3=""CERRADA"",""-"",GOOGLEFINANCE(""BCBA:"" &amp; B3)))"),"-")</f>
        <v>-</v>
      </c>
      <c r="K3" s="45">
        <f t="shared" ref="K3:K27" si="11">IF(B3=0,"...",H3*I3)</f>
        <v>95790</v>
      </c>
      <c r="L3" s="45">
        <f>IF(B3=0,"...",K3/VLOOKUP($D3,CCL!$A$12:$B$828,2,0))</f>
        <v>82.67736924</v>
      </c>
      <c r="M3" s="46">
        <v>3740.0</v>
      </c>
      <c r="N3" s="45">
        <f t="shared" si="2"/>
        <v>115940</v>
      </c>
      <c r="O3" s="45" t="str">
        <f t="array" ref="O3">IF(B3=0,"...",IF(E3="ABIERTA",N3/CCL!$E$2,N3/ VLOOKUP(F3,{CCL!M:N;CCL!$P:$Q},2,FALSE)))</f>
        <v>#N/A</v>
      </c>
      <c r="P3" s="12" t="str">
        <f>IFERROR(__xludf.DUMMYFUNCTION("IF(B3=0,""..."",IF(E3=""CERRADA"",""-"",GOOGLEFINANCE(B3,""changepct"")/100))"),"-")</f>
        <v>-</v>
      </c>
      <c r="Q3" s="10" t="str">
        <f>IFERROR(__xludf.DUMMYFUNCTION("IF(B3=0,""..."",IF(E3=""CERRADA"",""-"",GOOGLEFINANCE(B3,""change"")*H3))"),"-")</f>
        <v>-</v>
      </c>
      <c r="R3" s="12" t="str">
        <f t="shared" si="3"/>
        <v>#N/A</v>
      </c>
      <c r="S3" s="13" t="str">
        <f t="shared" si="4"/>
        <v>#N/A</v>
      </c>
      <c r="T3" s="2"/>
      <c r="U3" s="10" t="str">
        <f>IFERROR(__xludf.DUMMYFUNCTION("""COMPUTED_VALUE"""),"BCBA:GGAL")</f>
        <v>BCBA:GGAL</v>
      </c>
      <c r="V3" s="10">
        <f t="shared" si="5"/>
        <v>60</v>
      </c>
      <c r="W3" s="12">
        <f t="shared" si="6"/>
        <v>0.3269922879</v>
      </c>
      <c r="X3" s="10">
        <f t="shared" si="7"/>
        <v>114.0295</v>
      </c>
      <c r="Y3" s="10">
        <f t="shared" si="8"/>
        <v>410506.2</v>
      </c>
      <c r="Z3" s="12">
        <f t="shared" si="9"/>
        <v>-0.0001181553834</v>
      </c>
      <c r="AA3" s="10">
        <f t="shared" si="10"/>
        <v>-48.50924909</v>
      </c>
      <c r="AB3" s="2"/>
      <c r="AC3" s="2"/>
      <c r="AD3" s="2"/>
      <c r="AE3" s="2"/>
      <c r="AF3" s="2"/>
      <c r="AG3" s="2"/>
    </row>
    <row r="4" ht="24.0" customHeight="1">
      <c r="A4" s="4" t="s">
        <v>88</v>
      </c>
      <c r="B4" s="4" t="s">
        <v>91</v>
      </c>
      <c r="C4" s="5" t="str">
        <f>IFERROR(__xludf.DUMMYFUNCTION("if(B4=0,""..."", sparkline(query(GOOGLEFINANCE(B4,""price"",today()-$AE$27,today()),""select Col2"",0),{""charttype"",$AE$26}))"),"")</f>
        <v/>
      </c>
      <c r="D4" s="5">
        <v>45621.0</v>
      </c>
      <c r="E4" s="6" t="s">
        <v>22</v>
      </c>
      <c r="F4" s="5">
        <v>45714.0</v>
      </c>
      <c r="G4" s="8">
        <f t="shared" si="1"/>
        <v>93</v>
      </c>
      <c r="H4" s="6">
        <v>159.0</v>
      </c>
      <c r="I4" s="44">
        <v>951.0</v>
      </c>
      <c r="J4" s="45" t="str">
        <f>IFERROR(__xludf.DUMMYFUNCTION("IF(B4=0,""..."",IF(E4=""CERRADA"",""-"",GOOGLEFINANCE(B4)))"),"-")</f>
        <v>-</v>
      </c>
      <c r="K4" s="45">
        <f t="shared" si="11"/>
        <v>151209</v>
      </c>
      <c r="L4" s="45">
        <f>IF(B4=0,"...",K4/VLOOKUP($D4,CCL!$A$12:$B$828,2,0))</f>
        <v>136.210826</v>
      </c>
      <c r="M4" s="46">
        <v>793.0</v>
      </c>
      <c r="N4" s="45">
        <f t="shared" si="2"/>
        <v>126087</v>
      </c>
      <c r="O4" s="45">
        <f t="array" ref="O4">IF(B4=0,"...",IF(E4="ABIERTA",N4/CCL!$E$2,N4/ VLOOKUP(F4,{CCL!M:N;CCL!$P:$Q},2,FALSE)))</f>
        <v>103.3508471</v>
      </c>
      <c r="P4" s="12" t="str">
        <f>IFERROR(__xludf.DUMMYFUNCTION("IF(B4=0,""..."",IF(E4=""CERRADA"",""-"",GOOGLEFINANCE(B4,""changepct"")/100))"),"-")</f>
        <v>-</v>
      </c>
      <c r="Q4" s="10" t="str">
        <f>IFERROR(__xludf.DUMMYFUNCTION("IF(B4=0,""..."",IF(E4=""CERRADA"",""-"",GOOGLEFINANCE(B4,""change"")*H4))"),"-")</f>
        <v>-</v>
      </c>
      <c r="R4" s="12">
        <f t="shared" si="3"/>
        <v>-0.2412435178</v>
      </c>
      <c r="S4" s="47">
        <f t="shared" si="4"/>
        <v>-32.85997882</v>
      </c>
      <c r="T4" s="2"/>
      <c r="U4" s="10"/>
      <c r="V4" s="10" t="str">
        <f t="shared" si="5"/>
        <v>...</v>
      </c>
      <c r="W4" s="12" t="str">
        <f t="shared" si="6"/>
        <v/>
      </c>
      <c r="X4" s="10" t="str">
        <f t="shared" si="7"/>
        <v>...</v>
      </c>
      <c r="Y4" s="10" t="str">
        <f t="shared" si="8"/>
        <v>...</v>
      </c>
      <c r="Z4" s="12" t="str">
        <f t="shared" si="9"/>
        <v>...</v>
      </c>
      <c r="AA4" s="10" t="str">
        <f t="shared" si="10"/>
        <v>...</v>
      </c>
      <c r="AB4" s="2"/>
      <c r="AC4" s="2"/>
      <c r="AD4" s="2"/>
      <c r="AE4" s="2"/>
      <c r="AF4" s="2"/>
      <c r="AG4" s="2"/>
    </row>
    <row r="5" ht="24.0" customHeight="1">
      <c r="A5" s="4" t="s">
        <v>88</v>
      </c>
      <c r="B5" s="4" t="s">
        <v>92</v>
      </c>
      <c r="C5" s="5" t="str">
        <f>IFERROR(__xludf.DUMMYFUNCTION("if(B5=0,""..."", sparkline(query(GOOGLEFINANCE(B5,""price"",today()-$AE$27,today()),""select Col2"",0),{""charttype"",$AE$26}))"),"")</f>
        <v/>
      </c>
      <c r="D5" s="5">
        <v>45625.0</v>
      </c>
      <c r="E5" s="6" t="s">
        <v>22</v>
      </c>
      <c r="F5" s="5"/>
      <c r="G5" s="8"/>
      <c r="H5" s="6">
        <v>42.0</v>
      </c>
      <c r="I5" s="44">
        <v>2620.0</v>
      </c>
      <c r="J5" s="45" t="str">
        <f>IFERROR(__xludf.DUMMYFUNCTION("IF(B5=0,""..."",IF(E5=""CERRADA"",""-"",GOOGLEFINANCE(B5)))"),"-")</f>
        <v>-</v>
      </c>
      <c r="K5" s="45">
        <f t="shared" si="11"/>
        <v>110040</v>
      </c>
      <c r="L5" s="45">
        <f>IF(B5=0,"...",K5/VLOOKUP($D5,CCL!$A$12:$B$828,2,0))</f>
        <v>99.1950096</v>
      </c>
      <c r="M5" s="46">
        <v>3420.0</v>
      </c>
      <c r="N5" s="45">
        <f t="shared" si="2"/>
        <v>143640</v>
      </c>
      <c r="O5" s="45" t="str">
        <f t="array" ref="O5">IF(B5=0,"...",IF(E5="ABIERTA",N5/CCL!$E$2,N5/ VLOOKUP(F5,{CCL!M:N;CCL!$P:$Q},2,FALSE)))</f>
        <v>#N/A</v>
      </c>
      <c r="P5" s="12" t="str">
        <f>IFERROR(__xludf.DUMMYFUNCTION("IF(B5=0,""..."",IF(E5=""CERRADA"",""-"",GOOGLEFINANCE(B5,""changepct"")/100))"),"-")</f>
        <v>-</v>
      </c>
      <c r="Q5" s="10" t="str">
        <f>IFERROR(__xludf.DUMMYFUNCTION("IF(B5=0,""..."",IF(E5=""CERRADA"",""-"",GOOGLEFINANCE(B5,""change"")*H5))"),"-")</f>
        <v>-</v>
      </c>
      <c r="R5" s="12" t="str">
        <f t="shared" si="3"/>
        <v>#N/A</v>
      </c>
      <c r="S5" s="13" t="str">
        <f t="shared" si="4"/>
        <v>#N/A</v>
      </c>
      <c r="T5" s="2"/>
      <c r="U5" s="10"/>
      <c r="V5" s="10" t="str">
        <f t="shared" si="5"/>
        <v>...</v>
      </c>
      <c r="W5" s="12" t="str">
        <f t="shared" si="6"/>
        <v/>
      </c>
      <c r="X5" s="10" t="str">
        <f t="shared" si="7"/>
        <v>...</v>
      </c>
      <c r="Y5" s="10" t="str">
        <f t="shared" si="8"/>
        <v>...</v>
      </c>
      <c r="Z5" s="12" t="str">
        <f t="shared" si="9"/>
        <v>...</v>
      </c>
      <c r="AA5" s="10" t="str">
        <f t="shared" si="10"/>
        <v>...</v>
      </c>
      <c r="AB5" s="2"/>
      <c r="AC5" s="2"/>
      <c r="AD5" s="2"/>
      <c r="AE5" s="2"/>
      <c r="AF5" s="2"/>
      <c r="AG5" s="2"/>
    </row>
    <row r="6" ht="24.0" customHeight="1">
      <c r="A6" s="4" t="s">
        <v>88</v>
      </c>
      <c r="B6" s="4" t="s">
        <v>93</v>
      </c>
      <c r="C6" s="5" t="str">
        <f>IFERROR(__xludf.DUMMYFUNCTION("if(B6=0,""..."", sparkline(query(GOOGLEFINANCE(B6,""price"",today()-$AE$27,today()),""select Col2"",0),{""charttype"",$AE$26}))"),"")</f>
        <v/>
      </c>
      <c r="D6" s="5">
        <v>45645.0</v>
      </c>
      <c r="E6" s="6" t="s">
        <v>22</v>
      </c>
      <c r="F6" s="5">
        <v>45695.0</v>
      </c>
      <c r="G6" s="8">
        <f t="shared" ref="G6:G9" si="12">if(B6=0,"...", IF(F6=0,today()-D6,F6-D6))</f>
        <v>50</v>
      </c>
      <c r="H6" s="6">
        <v>50.0</v>
      </c>
      <c r="I6" s="44">
        <v>2795.0</v>
      </c>
      <c r="J6" s="45" t="str">
        <f>IFERROR(__xludf.DUMMYFUNCTION("IF(B6=0,""..."",IF(E6=""CERRADA"",""-"",GOOGLEFINANCE(B6)))"),"-")</f>
        <v>-</v>
      </c>
      <c r="K6" s="45">
        <f t="shared" si="11"/>
        <v>139750</v>
      </c>
      <c r="L6" s="45">
        <f>IF(B6=0,"...",K6/VLOOKUP($D6,CCL!$A$12:$B$828,2,0))</f>
        <v>120.7249544</v>
      </c>
      <c r="M6" s="46">
        <v>2960.0</v>
      </c>
      <c r="N6" s="45">
        <f t="shared" si="2"/>
        <v>148000</v>
      </c>
      <c r="O6" s="45">
        <f t="array" ref="O6">IF(B6=0,"...",IF(E6="ABIERTA",N6/CCL!$E$2,N6/ VLOOKUP(F6,{CCL!M:N;CCL!$P:$Q},2,FALSE)))</f>
        <v>123.0083862</v>
      </c>
      <c r="P6" s="12" t="str">
        <f>IFERROR(__xludf.DUMMYFUNCTION("IF(B6=0,""..."",IF(E6=""CERRADA"",""-"",GOOGLEFINANCE(B6,""changepct"")/100))"),"-")</f>
        <v>-</v>
      </c>
      <c r="Q6" s="10" t="str">
        <f>IFERROR(__xludf.DUMMYFUNCTION("IF(B6=0,""..."",IF(E6=""CERRADA"",""-"",GOOGLEFINANCE(B6,""change"")*H6))"),"-")</f>
        <v>-</v>
      </c>
      <c r="R6" s="12">
        <f t="shared" si="3"/>
        <v>0.018914331</v>
      </c>
      <c r="S6" s="47">
        <f t="shared" si="4"/>
        <v>2.283431749</v>
      </c>
      <c r="T6" s="2"/>
      <c r="U6" s="10"/>
      <c r="V6" s="10" t="str">
        <f t="shared" si="5"/>
        <v>...</v>
      </c>
      <c r="W6" s="12" t="str">
        <f t="shared" si="6"/>
        <v/>
      </c>
      <c r="X6" s="10" t="str">
        <f t="shared" si="7"/>
        <v>...</v>
      </c>
      <c r="Y6" s="10" t="str">
        <f t="shared" si="8"/>
        <v>...</v>
      </c>
      <c r="Z6" s="12" t="str">
        <f t="shared" si="9"/>
        <v>...</v>
      </c>
      <c r="AA6" s="10" t="str">
        <f t="shared" si="10"/>
        <v>...</v>
      </c>
      <c r="AB6" s="2"/>
      <c r="AC6" s="2"/>
      <c r="AD6" s="2"/>
      <c r="AE6" s="2"/>
      <c r="AF6" s="2"/>
      <c r="AG6" s="2"/>
    </row>
    <row r="7" ht="24.0" customHeight="1">
      <c r="A7" s="4" t="s">
        <v>88</v>
      </c>
      <c r="B7" s="4" t="s">
        <v>90</v>
      </c>
      <c r="C7" s="5" t="str">
        <f>IFERROR(__xludf.DUMMYFUNCTION("if(B7=0,""..."", sparkline(query(GOOGLEFINANCE(B7,""price"",today()-$AE$27,today()),""select Col2"",0),{""charttype"",$AE$26}))"),"")</f>
        <v/>
      </c>
      <c r="D7" s="5">
        <v>45868.0</v>
      </c>
      <c r="E7" s="6" t="s">
        <v>22</v>
      </c>
      <c r="F7" s="5">
        <v>45961.0</v>
      </c>
      <c r="G7" s="8">
        <f t="shared" si="12"/>
        <v>93</v>
      </c>
      <c r="H7" s="6">
        <v>41.0</v>
      </c>
      <c r="I7" s="44">
        <v>4070.0</v>
      </c>
      <c r="J7" s="45" t="str">
        <f>IFERROR(__xludf.DUMMYFUNCTION("IF(B7=0,""..."",IF(E7=""CERRADA"",""-"",GOOGLEFINANCE(B7)))"),"-")</f>
        <v>-</v>
      </c>
      <c r="K7" s="45">
        <f t="shared" si="11"/>
        <v>166870</v>
      </c>
      <c r="L7" s="45">
        <f t="array" ref="L7">IF($D7=0,"...",K7/VLOOKUP($D7,{CCL!M:N;CCL!$P:$Q},2,FALSE))</f>
        <v>126.4166667</v>
      </c>
      <c r="M7" s="46">
        <v>5120.0</v>
      </c>
      <c r="N7" s="45">
        <f t="shared" si="2"/>
        <v>209920</v>
      </c>
      <c r="O7" s="45">
        <f t="array" ref="O7">IF(B7=0,"...",IF(E7="ABIERTA",N7/CCL!$E$2,N7/ VLOOKUP(F7,{CCL!M:N;CCL!$P:$Q},2,FALSE)))</f>
        <v>139.3400729</v>
      </c>
      <c r="P7" s="12" t="str">
        <f>IFERROR(__xludf.DUMMYFUNCTION("IF(B7=0,""..."",IF(E7=""CERRADA"",""-"",GOOGLEFINANCE(B7,""changepct"")/100))"),"-")</f>
        <v>-</v>
      </c>
      <c r="Q7" s="10" t="str">
        <f>IFERROR(__xludf.DUMMYFUNCTION("IF(B7=0,""..."",IF(E7=""CERRADA"",""-"",GOOGLEFINANCE(B7,""change"")*H7))"),"-")</f>
        <v>-</v>
      </c>
      <c r="R7" s="12">
        <f t="shared" si="3"/>
        <v>0.1022286583</v>
      </c>
      <c r="S7" s="47">
        <f t="shared" si="4"/>
        <v>12.92340622</v>
      </c>
      <c r="T7" s="2"/>
      <c r="U7" s="10"/>
      <c r="V7" s="10" t="str">
        <f t="shared" si="5"/>
        <v>...</v>
      </c>
      <c r="W7" s="12" t="str">
        <f t="shared" si="6"/>
        <v/>
      </c>
      <c r="X7" s="10" t="str">
        <f t="shared" si="7"/>
        <v>...</v>
      </c>
      <c r="Y7" s="10" t="str">
        <f t="shared" si="8"/>
        <v>...</v>
      </c>
      <c r="Z7" s="12" t="str">
        <f t="shared" si="9"/>
        <v>...</v>
      </c>
      <c r="AA7" s="10" t="str">
        <f t="shared" si="10"/>
        <v>...</v>
      </c>
      <c r="AB7" s="2"/>
      <c r="AC7" s="2"/>
      <c r="AD7" s="2"/>
      <c r="AE7" s="2"/>
      <c r="AF7" s="2"/>
      <c r="AG7" s="2"/>
    </row>
    <row r="8" ht="24.0" customHeight="1">
      <c r="A8" s="4" t="s">
        <v>88</v>
      </c>
      <c r="B8" s="4" t="s">
        <v>94</v>
      </c>
      <c r="C8" s="5" t="str">
        <f>IFERROR(__xludf.DUMMYFUNCTION("if(B8=0,""..."", sparkline(query(GOOGLEFINANCE(B8,""price"",today()-$AE$27,today()),""select Col2"",0),{""charttype"",$AE$26}))"),"")</f>
        <v/>
      </c>
      <c r="D8" s="5">
        <v>45868.0</v>
      </c>
      <c r="E8" s="6" t="s">
        <v>24</v>
      </c>
      <c r="F8" s="5"/>
      <c r="G8" s="8">
        <f t="shared" si="12"/>
        <v>249</v>
      </c>
      <c r="H8" s="6">
        <v>4.0</v>
      </c>
      <c r="I8" s="44">
        <v>44375.0</v>
      </c>
      <c r="J8" s="45">
        <f>IFERROR(__xludf.DUMMYFUNCTION("IF(B8=0,""..."",IF(E8=""CERRADA"",""-"",GOOGLEFINANCE(B8)))"),65450.0)</f>
        <v>65450</v>
      </c>
      <c r="K8" s="45">
        <f t="shared" si="11"/>
        <v>177500</v>
      </c>
      <c r="L8" s="45">
        <f t="array" ref="L8">IF($D8=0,"...",K8/VLOOKUP($D8,{CCL!M:N;CCL!$P:$Q},2,FALSE))</f>
        <v>134.469697</v>
      </c>
      <c r="M8" s="45">
        <f>IF(B8=0,"...",IF(E8="CERRADA","Valor Venta",J8*(1-VLOOKUP(A8,Config!$B$3:$C$22,2,FALSE))))</f>
        <v>64991.85</v>
      </c>
      <c r="N8" s="45">
        <f t="shared" si="2"/>
        <v>259967.4</v>
      </c>
      <c r="O8" s="45">
        <f t="array" ref="O8">IF(B8=0,"...",IF(E8="ABIERTA",N8/CCL!$E$2,N8/ VLOOKUP(F8,{CCL!M:N;CCL!$P:$Q},2,FALSE)))</f>
        <v>175.9568175</v>
      </c>
      <c r="P8" s="12">
        <f>IFERROR(__xludf.DUMMYFUNCTION("IF(B8=0,""..."",IF(E8=""CERRADA"",""-"",GOOGLEFINANCE(B8,""changepct"")/100))"),-0.0304)</f>
        <v>-0.0304</v>
      </c>
      <c r="Q8" s="10">
        <f>IFERROR(__xludf.DUMMYFUNCTION("IF(B8=0,""..."",IF(E8=""CERRADA"",""-"",GOOGLEFINANCE(B8,""change"")*H8))"),-8200.0)</f>
        <v>-8200</v>
      </c>
      <c r="R8" s="12">
        <f t="shared" si="3"/>
        <v>0.3085239385</v>
      </c>
      <c r="S8" s="47">
        <f t="shared" si="4"/>
        <v>41.48712052</v>
      </c>
      <c r="T8" s="2"/>
      <c r="U8" s="10"/>
      <c r="V8" s="10" t="str">
        <f t="shared" si="5"/>
        <v>...</v>
      </c>
      <c r="W8" s="12" t="str">
        <f t="shared" si="6"/>
        <v/>
      </c>
      <c r="X8" s="10" t="str">
        <f t="shared" si="7"/>
        <v>...</v>
      </c>
      <c r="Y8" s="10" t="str">
        <f t="shared" si="8"/>
        <v>...</v>
      </c>
      <c r="Z8" s="12" t="str">
        <f t="shared" si="9"/>
        <v>...</v>
      </c>
      <c r="AA8" s="10" t="str">
        <f t="shared" si="10"/>
        <v>...</v>
      </c>
      <c r="AB8" s="2"/>
      <c r="AC8" s="2"/>
      <c r="AD8" s="2"/>
      <c r="AE8" s="2"/>
      <c r="AF8" s="2"/>
      <c r="AG8" s="2"/>
    </row>
    <row r="9" ht="24.0" customHeight="1">
      <c r="A9" s="4" t="s">
        <v>88</v>
      </c>
      <c r="B9" s="4" t="s">
        <v>94</v>
      </c>
      <c r="C9" s="5" t="str">
        <f>IFERROR(__xludf.DUMMYFUNCTION("if(B9=0,""..."", sparkline(query(GOOGLEFINANCE(B9,""price"",today()-$AE$27,today()),""select Col2"",0),{""charttype"",$AE$26}))"),"")</f>
        <v/>
      </c>
      <c r="D9" s="5">
        <v>46021.0</v>
      </c>
      <c r="E9" s="6" t="s">
        <v>24</v>
      </c>
      <c r="F9" s="5"/>
      <c r="G9" s="8">
        <f t="shared" si="12"/>
        <v>96</v>
      </c>
      <c r="H9" s="6">
        <v>9.0</v>
      </c>
      <c r="I9" s="44">
        <v>54900.0</v>
      </c>
      <c r="J9" s="45">
        <f>IFERROR(__xludf.DUMMYFUNCTION("IF(B9=0,""..."",IF(E9=""CERRADA"",""-"",GOOGLEFINANCE(B9)))"),65450.0)</f>
        <v>65450</v>
      </c>
      <c r="K9" s="45">
        <f t="shared" si="11"/>
        <v>494100</v>
      </c>
      <c r="L9" s="45">
        <f t="array" ref="L9">IF($D9=0,"...",K9/VLOOKUP($D9,{CCL!M:N;CCL!$P:$Q},2,FALSE))</f>
        <v>324.7794707</v>
      </c>
      <c r="M9" s="45">
        <f>IF(B9=0,"...",IF(E9="CERRADA","Valor Venta",J9*(1-VLOOKUP(A9,Config!$B$3:$C$22,2,FALSE))))</f>
        <v>64991.85</v>
      </c>
      <c r="N9" s="45">
        <f t="shared" si="2"/>
        <v>584926.65</v>
      </c>
      <c r="O9" s="45">
        <f t="array" ref="O9">IF(B9=0,"...",IF(E9="ABIERTA",N9/CCL!$E$2,N9/ VLOOKUP(F9,{CCL!M:N;CCL!$P:$Q},2,FALSE)))</f>
        <v>395.9028394</v>
      </c>
      <c r="P9" s="12">
        <f>IFERROR(__xludf.DUMMYFUNCTION("IF(B9=0,""..."",IF(E9=""CERRADA"",""-"",GOOGLEFINANCE(B9,""changepct"")/100))"),-0.0304)</f>
        <v>-0.0304</v>
      </c>
      <c r="Q9" s="10">
        <f>IFERROR(__xludf.DUMMYFUNCTION("IF(B9=0,""..."",IF(E9=""CERRADA"",""-"",GOOGLEFINANCE(B9,""change"")*H9))"),-18450.0)</f>
        <v>-18450</v>
      </c>
      <c r="R9" s="12">
        <f t="shared" si="3"/>
        <v>0.2189897301</v>
      </c>
      <c r="S9" s="47">
        <f t="shared" si="4"/>
        <v>71.12336862</v>
      </c>
      <c r="T9" s="2"/>
      <c r="U9" s="10"/>
      <c r="V9" s="10" t="str">
        <f t="shared" si="5"/>
        <v>...</v>
      </c>
      <c r="W9" s="12" t="str">
        <f t="shared" si="6"/>
        <v/>
      </c>
      <c r="X9" s="10" t="str">
        <f t="shared" si="7"/>
        <v>...</v>
      </c>
      <c r="Y9" s="10" t="str">
        <f t="shared" si="8"/>
        <v>...</v>
      </c>
      <c r="Z9" s="12" t="str">
        <f t="shared" si="9"/>
        <v>...</v>
      </c>
      <c r="AA9" s="10" t="str">
        <f t="shared" si="10"/>
        <v>...</v>
      </c>
      <c r="AB9" s="2"/>
      <c r="AC9" s="2"/>
      <c r="AD9" s="2"/>
      <c r="AE9" s="2"/>
      <c r="AF9" s="2"/>
      <c r="AG9" s="2"/>
    </row>
    <row r="10" ht="24.0" customHeight="1">
      <c r="A10" s="4" t="s">
        <v>88</v>
      </c>
      <c r="B10" s="4" t="s">
        <v>95</v>
      </c>
      <c r="C10" s="5" t="str">
        <f>IFERROR(__xludf.DUMMYFUNCTION("if(B10=0,""..."", sparkline(query(GOOGLEFINANCE(B10,""price"",today()-$AE$27,today()),""select Col2"",0),{""charttype"",$AE$26}))"),"")</f>
        <v/>
      </c>
      <c r="D10" s="5">
        <v>46021.0</v>
      </c>
      <c r="E10" s="6" t="s">
        <v>24</v>
      </c>
      <c r="F10" s="5"/>
      <c r="G10" s="48">
        <f>IF(B10=0,"...", IF(F10=0,TODAY()-D10,F10-D10))</f>
        <v>96</v>
      </c>
      <c r="H10" s="49">
        <v>60.0</v>
      </c>
      <c r="I10" s="50">
        <v>8275.0</v>
      </c>
      <c r="J10" s="45">
        <f>IFERROR(__xludf.DUMMYFUNCTION("IF(B10=0,""..."",IF(E10=""CERRADA"",""-"",GOOGLEFINANCE(B10)))"),6890.0)</f>
        <v>6890</v>
      </c>
      <c r="K10" s="45">
        <f t="shared" si="11"/>
        <v>496500</v>
      </c>
      <c r="L10" s="45">
        <f t="array" ref="L10">IF($D10=0,"...",K10/VLOOKUP($D10,{CCL!M:N;CCL!$P:$Q},2,FALSE))</f>
        <v>326.3570274</v>
      </c>
      <c r="M10" s="45">
        <f>IF(B10=0,"...",IF(E10="CERRADA","Valor Venta",J10*(1-VLOOKUP(A10,Config!$B$3:$C$22,2,FALSE))))</f>
        <v>6841.77</v>
      </c>
      <c r="N10" s="45">
        <f t="shared" si="2"/>
        <v>410506.2</v>
      </c>
      <c r="O10" s="45">
        <f t="array" ref="O10">IF(B10=0,"...",IF(E10="ABIERTA",N10/CCL!$E$2,N10/ VLOOKUP(F10,{CCL!M:N;CCL!$P:$Q},2,FALSE)))</f>
        <v>277.8477783</v>
      </c>
      <c r="P10" s="12">
        <f>IFERROR(__xludf.DUMMYFUNCTION("IF(B10=0,""..."",IF(E10=""CERRADA"",""-"",GOOGLEFINANCE(B10,""changepct"")/100))"),0.0)</f>
        <v>0</v>
      </c>
      <c r="Q10" s="10">
        <f>IFERROR(__xludf.DUMMYFUNCTION("IF(B10=0,""..."",IF(E10=""CERRADA"",""-"",GOOGLEFINANCE(B10,""change"")*H10))"),0.0)</f>
        <v>0</v>
      </c>
      <c r="R10" s="12">
        <f t="shared" si="3"/>
        <v>-0.1486385922</v>
      </c>
      <c r="S10" s="47">
        <f t="shared" si="4"/>
        <v>-48.50924909</v>
      </c>
      <c r="T10" s="51"/>
      <c r="U10" s="10"/>
      <c r="V10" s="10" t="str">
        <f t="shared" si="5"/>
        <v>...</v>
      </c>
      <c r="W10" s="12" t="str">
        <f t="shared" si="6"/>
        <v/>
      </c>
      <c r="X10" s="10" t="str">
        <f t="shared" si="7"/>
        <v>...</v>
      </c>
      <c r="Y10" s="10" t="str">
        <f t="shared" si="8"/>
        <v>...</v>
      </c>
      <c r="Z10" s="12" t="str">
        <f t="shared" si="9"/>
        <v>...</v>
      </c>
      <c r="AA10" s="10" t="str">
        <f t="shared" si="10"/>
        <v>...</v>
      </c>
      <c r="AB10" s="51"/>
      <c r="AC10" s="51"/>
      <c r="AD10" s="51"/>
      <c r="AE10" s="51"/>
      <c r="AF10" s="51"/>
      <c r="AG10" s="51"/>
    </row>
    <row r="11" ht="24.0" customHeight="1">
      <c r="A11" s="4"/>
      <c r="B11" s="4"/>
      <c r="C11" s="5" t="str">
        <f>IFERROR(__xludf.DUMMYFUNCTION("if(B11=0,""..."", sparkline(query(GOOGLEFINANCE(B11,""price"",today()-$AE$27,today()),""select Col2"",0),{""charttype"",$AE$26}))"),"...")</f>
        <v>...</v>
      </c>
      <c r="D11" s="5"/>
      <c r="E11" s="31"/>
      <c r="F11" s="5"/>
      <c r="G11" s="8" t="str">
        <f t="shared" ref="G11:G27" si="13">if(B11=0,"...", IF(F11=0,today()-D11,F11-D11))</f>
        <v>...</v>
      </c>
      <c r="H11" s="6"/>
      <c r="I11" s="44"/>
      <c r="J11" s="45" t="str">
        <f>IFERROR(__xludf.DUMMYFUNCTION("IF(B11=0,""..."",IF(E11=""CERRADA"",""-"",GOOGLEFINANCE(B11)*100))"),"...")</f>
        <v>...</v>
      </c>
      <c r="K11" s="45" t="str">
        <f t="shared" si="11"/>
        <v>...</v>
      </c>
      <c r="L11" s="45" t="str">
        <f>IF(B11=0,"...",K11/VLOOKUP($D11,CCL!$A$12:$B$828,2,0))</f>
        <v>...</v>
      </c>
      <c r="M11" s="45" t="str">
        <f>IF(B11=0,"...",IF(E11="CERRADA","Valor Venta",J11*(1-VLOOKUP($A$2,Config!$B$3:$C$22,2,FALSE))))</f>
        <v>...</v>
      </c>
      <c r="N11" s="45" t="str">
        <f t="shared" si="2"/>
        <v>...</v>
      </c>
      <c r="O11" s="45" t="str">
        <f t="array" ref="O11">IF(B11=0,"...",IF(E11="ABIERTA",K11/CCL!$E$2,N11/ VLOOKUP(F11,{CCL!M:N;CCL!$P:$Q},2,FALSE)))</f>
        <v>...</v>
      </c>
      <c r="P11" s="12" t="str">
        <f>IFERROR(__xludf.DUMMYFUNCTION("if(B11=0,""..."",GOOGLEFINANCE(B11,""changepct"")/100)"),"...")</f>
        <v>...</v>
      </c>
      <c r="Q11" s="10" t="str">
        <f>IFERROR(__xludf.DUMMYFUNCTION("IF(B11=0,""..."",IF(E11=""CERRADA"",""-"",GOOGLEFINANCE(B11,""change"")*H11))"),"...")</f>
        <v>...</v>
      </c>
      <c r="R11" s="12" t="str">
        <f t="shared" si="3"/>
        <v>...</v>
      </c>
      <c r="S11" s="13" t="str">
        <f t="shared" ref="S11:S27" si="14">IF(B11=0,"...",N11-K11)</f>
        <v>...</v>
      </c>
      <c r="T11" s="2"/>
      <c r="U11" s="10"/>
      <c r="V11" s="10" t="str">
        <f t="shared" si="5"/>
        <v>...</v>
      </c>
      <c r="W11" s="12" t="str">
        <f t="shared" si="6"/>
        <v/>
      </c>
      <c r="X11" s="10" t="str">
        <f t="shared" si="7"/>
        <v>...</v>
      </c>
      <c r="Y11" s="10" t="str">
        <f t="shared" si="8"/>
        <v>...</v>
      </c>
      <c r="Z11" s="12" t="str">
        <f t="shared" si="9"/>
        <v>...</v>
      </c>
      <c r="AA11" s="10" t="str">
        <f t="shared" si="10"/>
        <v>...</v>
      </c>
      <c r="AB11" s="2"/>
      <c r="AC11" s="2"/>
      <c r="AD11" s="2"/>
      <c r="AE11" s="2"/>
      <c r="AF11" s="2"/>
      <c r="AG11" s="2"/>
    </row>
    <row r="12" ht="24.0" customHeight="1">
      <c r="A12" s="4"/>
      <c r="B12" s="4"/>
      <c r="C12" s="5" t="str">
        <f>IFERROR(__xludf.DUMMYFUNCTION("if(B12=0,""..."", sparkline(query(GOOGLEFINANCE(B12,""price"",today()-$AE$27,today()),""select Col2"",0),{""charttype"",$AE$26}))"),"...")</f>
        <v>...</v>
      </c>
      <c r="D12" s="5"/>
      <c r="E12" s="31"/>
      <c r="F12" s="5"/>
      <c r="G12" s="8" t="str">
        <f t="shared" si="13"/>
        <v>...</v>
      </c>
      <c r="H12" s="6"/>
      <c r="I12" s="44"/>
      <c r="J12" s="45" t="str">
        <f>IFERROR(__xludf.DUMMYFUNCTION("IF(B12=0,""..."",IF(E12=""CERRADA"",""-"",GOOGLEFINANCE(B12)))"),"...")</f>
        <v>...</v>
      </c>
      <c r="K12" s="45" t="str">
        <f t="shared" si="11"/>
        <v>...</v>
      </c>
      <c r="L12" s="45" t="str">
        <f>IF(B12=0,"...",K12/VLOOKUP($D12,CCL!$A$12:$B$828,2,0))</f>
        <v>...</v>
      </c>
      <c r="M12" s="45" t="str">
        <f>IF(B12=0,"...",IF(E12="CERRADA","Valor Venta",J12*(1-VLOOKUP($A$2,Config!$B$3:$C$22,2,FALSE))))</f>
        <v>...</v>
      </c>
      <c r="N12" s="45" t="str">
        <f t="shared" si="2"/>
        <v>...</v>
      </c>
      <c r="O12" s="45" t="str">
        <f t="array" ref="O12">IF(B12=0,"...",IF(E12="ABIERTA",K12/CCL!$E$2,N12/ VLOOKUP(F12,{CCL!M:N;CCL!$P:$Q},2,FALSE)))</f>
        <v>...</v>
      </c>
      <c r="P12" s="12" t="str">
        <f>IFERROR(__xludf.DUMMYFUNCTION("if(B12=0,""..."",GOOGLEFINANCE(B12,""changepct"")/100)"),"...")</f>
        <v>...</v>
      </c>
      <c r="Q12" s="10" t="str">
        <f>IFERROR(__xludf.DUMMYFUNCTION("IF(B12=0,""..."",IF(E12=""CERRADA"",""-"",GOOGLEFINANCE(B12,""change"")*H12))"),"...")</f>
        <v>...</v>
      </c>
      <c r="R12" s="12" t="str">
        <f t="shared" si="3"/>
        <v>...</v>
      </c>
      <c r="S12" s="13" t="str">
        <f t="shared" si="14"/>
        <v>...</v>
      </c>
      <c r="T12" s="2"/>
      <c r="U12" s="10"/>
      <c r="V12" s="10" t="str">
        <f t="shared" si="5"/>
        <v>...</v>
      </c>
      <c r="W12" s="12" t="str">
        <f t="shared" si="6"/>
        <v/>
      </c>
      <c r="X12" s="10" t="str">
        <f t="shared" si="7"/>
        <v>...</v>
      </c>
      <c r="Y12" s="10" t="str">
        <f t="shared" si="8"/>
        <v>...</v>
      </c>
      <c r="Z12" s="12" t="str">
        <f t="shared" si="9"/>
        <v>...</v>
      </c>
      <c r="AA12" s="10" t="str">
        <f t="shared" si="10"/>
        <v>...</v>
      </c>
      <c r="AB12" s="2"/>
      <c r="AC12" s="2"/>
      <c r="AD12" s="2"/>
      <c r="AE12" s="2"/>
      <c r="AF12" s="2"/>
      <c r="AG12" s="2"/>
    </row>
    <row r="13" ht="24.0" customHeight="1">
      <c r="A13" s="4"/>
      <c r="B13" s="4"/>
      <c r="C13" s="5" t="str">
        <f>IFERROR(__xludf.DUMMYFUNCTION("if(B13=0,""..."", sparkline(query(GOOGLEFINANCE(B13,""price"",today()-$AE$27,today()),""select Col2"",0),{""charttype"",$AE$26}))"),"...")</f>
        <v>...</v>
      </c>
      <c r="D13" s="5"/>
      <c r="E13" s="31"/>
      <c r="F13" s="5"/>
      <c r="G13" s="8" t="str">
        <f t="shared" si="13"/>
        <v>...</v>
      </c>
      <c r="H13" s="6"/>
      <c r="I13" s="44"/>
      <c r="J13" s="45" t="str">
        <f>IFERROR(__xludf.DUMMYFUNCTION("IF(B13=0,""..."",IF(E13=""CERRADA"",""-"",GOOGLEFINANCE(B13)))"),"...")</f>
        <v>...</v>
      </c>
      <c r="K13" s="45" t="str">
        <f t="shared" si="11"/>
        <v>...</v>
      </c>
      <c r="L13" s="45" t="str">
        <f>IF(B13=0,"...",K13/VLOOKUP($D13,CCL!$A$12:$B$828,2,0))</f>
        <v>...</v>
      </c>
      <c r="M13" s="45" t="str">
        <f>IF(B13=0,"...",IF(E13="CERRADA","Valor Venta",J13*(1-VLOOKUP($A$2,Config!$B$3:$C$22,2,FALSE))))</f>
        <v>...</v>
      </c>
      <c r="N13" s="45" t="str">
        <f t="shared" si="2"/>
        <v>...</v>
      </c>
      <c r="O13" s="45" t="str">
        <f t="array" ref="O13">IF(B13=0,"...",IF(E13="ABIERTA",K13/CCL!$E$2,N13/ VLOOKUP(F13,{CCL!M:N;CCL!$P:$Q},2,FALSE)))</f>
        <v>...</v>
      </c>
      <c r="P13" s="12" t="str">
        <f>IFERROR(__xludf.DUMMYFUNCTION("if(B13=0,""..."",GOOGLEFINANCE(B13,""changepct"")/100)"),"...")</f>
        <v>...</v>
      </c>
      <c r="Q13" s="10" t="str">
        <f>IFERROR(__xludf.DUMMYFUNCTION("IF(B13=0,""..."",IF(E13=""CERRADA"",""-"",GOOGLEFINANCE(B13,""change"")*H13))"),"...")</f>
        <v>...</v>
      </c>
      <c r="R13" s="12" t="str">
        <f t="shared" si="3"/>
        <v>...</v>
      </c>
      <c r="S13" s="13" t="str">
        <f t="shared" si="14"/>
        <v>...</v>
      </c>
      <c r="T13" s="2"/>
      <c r="U13" s="10"/>
      <c r="V13" s="10" t="str">
        <f t="shared" si="5"/>
        <v>...</v>
      </c>
      <c r="W13" s="12" t="str">
        <f t="shared" si="6"/>
        <v/>
      </c>
      <c r="X13" s="10" t="str">
        <f t="shared" si="7"/>
        <v>...</v>
      </c>
      <c r="Y13" s="10" t="str">
        <f t="shared" si="8"/>
        <v>...</v>
      </c>
      <c r="Z13" s="12" t="str">
        <f t="shared" si="9"/>
        <v>...</v>
      </c>
      <c r="AA13" s="10" t="str">
        <f t="shared" si="10"/>
        <v>...</v>
      </c>
      <c r="AB13" s="2"/>
      <c r="AC13" s="2"/>
      <c r="AD13" s="2"/>
      <c r="AE13" s="2"/>
      <c r="AF13" s="2"/>
      <c r="AG13" s="2"/>
    </row>
    <row r="14" ht="24.0" customHeight="1">
      <c r="A14" s="4"/>
      <c r="B14" s="4"/>
      <c r="C14" s="5" t="str">
        <f>IFERROR(__xludf.DUMMYFUNCTION("if(B14=0,""..."", sparkline(query(GOOGLEFINANCE(B14,""price"",today()-$AE$27,today()),""select Col2"",0),{""charttype"",$AE$26}))"),"...")</f>
        <v>...</v>
      </c>
      <c r="D14" s="5"/>
      <c r="E14" s="31"/>
      <c r="F14" s="5"/>
      <c r="G14" s="8" t="str">
        <f t="shared" si="13"/>
        <v>...</v>
      </c>
      <c r="H14" s="6"/>
      <c r="I14" s="44"/>
      <c r="J14" s="45" t="str">
        <f>IFERROR(__xludf.DUMMYFUNCTION("IF(B14=0,""..."",IF(E14=""CERRADA"",""-"",GOOGLEFINANCE(B14)))"),"...")</f>
        <v>...</v>
      </c>
      <c r="K14" s="45" t="str">
        <f t="shared" si="11"/>
        <v>...</v>
      </c>
      <c r="L14" s="45" t="str">
        <f>IF(B14=0,"...",K14/VLOOKUP($D14,CCL!$A$12:$B$828,2,0))</f>
        <v>...</v>
      </c>
      <c r="M14" s="45" t="str">
        <f>IF(B14=0,"...",IF(E14="CERRADA","Valor Venta",J14*(1-VLOOKUP($A$2,Config!$B$3:$C$22,2,FALSE))))</f>
        <v>...</v>
      </c>
      <c r="N14" s="45" t="str">
        <f t="shared" si="2"/>
        <v>...</v>
      </c>
      <c r="O14" s="45" t="str">
        <f t="array" ref="O14">IF(B14=0,"...",IF(E14="ABIERTA",K14/CCL!$E$2,N14/ VLOOKUP(F14,{CCL!M:N;CCL!$P:$Q},2,FALSE)))</f>
        <v>...</v>
      </c>
      <c r="P14" s="12" t="str">
        <f>IFERROR(__xludf.DUMMYFUNCTION("if(B14=0,""..."",GOOGLEFINANCE(B14,""changepct"")/100)"),"...")</f>
        <v>...</v>
      </c>
      <c r="Q14" s="10" t="str">
        <f>IFERROR(__xludf.DUMMYFUNCTION("IF(B14=0,""..."",IF(E14=""CERRADA"",""-"",GOOGLEFINANCE(B14,""change"")*H14))"),"...")</f>
        <v>...</v>
      </c>
      <c r="R14" s="12" t="str">
        <f t="shared" si="3"/>
        <v>...</v>
      </c>
      <c r="S14" s="13" t="str">
        <f t="shared" si="14"/>
        <v>...</v>
      </c>
      <c r="T14" s="2"/>
      <c r="U14" s="10"/>
      <c r="V14" s="10" t="str">
        <f t="shared" si="5"/>
        <v>...</v>
      </c>
      <c r="W14" s="12" t="str">
        <f t="shared" si="6"/>
        <v/>
      </c>
      <c r="X14" s="10" t="str">
        <f t="shared" si="7"/>
        <v>...</v>
      </c>
      <c r="Y14" s="10" t="str">
        <f t="shared" si="8"/>
        <v>...</v>
      </c>
      <c r="Z14" s="12" t="str">
        <f t="shared" si="9"/>
        <v>...</v>
      </c>
      <c r="AA14" s="10" t="str">
        <f t="shared" si="10"/>
        <v>...</v>
      </c>
      <c r="AB14" s="2"/>
      <c r="AC14" s="2"/>
      <c r="AD14" s="2"/>
      <c r="AE14" s="2"/>
      <c r="AF14" s="2"/>
      <c r="AG14" s="2"/>
    </row>
    <row r="15" ht="24.0" customHeight="1">
      <c r="A15" s="4"/>
      <c r="B15" s="4"/>
      <c r="C15" s="5" t="str">
        <f>IFERROR(__xludf.DUMMYFUNCTION("if(B15=0,""..."", sparkline(query(GOOGLEFINANCE(B15,""price"",today()-$AE$27,today()),""select Col2"",0),{""charttype"",$AE$26}))"),"...")</f>
        <v>...</v>
      </c>
      <c r="D15" s="5"/>
      <c r="E15" s="31"/>
      <c r="F15" s="5"/>
      <c r="G15" s="8" t="str">
        <f t="shared" si="13"/>
        <v>...</v>
      </c>
      <c r="H15" s="6"/>
      <c r="I15" s="44"/>
      <c r="J15" s="45" t="str">
        <f>IFERROR(__xludf.DUMMYFUNCTION("IF(B15=0,""..."",IF(E15=""CERRADA"",""-"",GOOGLEFINANCE(""BCBA:"" &amp; B15)))"),"...")</f>
        <v>...</v>
      </c>
      <c r="K15" s="45" t="str">
        <f t="shared" si="11"/>
        <v>...</v>
      </c>
      <c r="L15" s="45" t="str">
        <f>IF(B15=0,"...",K15/VLOOKUP($D15,CCL!$A$12:$B$828,2,0))</f>
        <v>...</v>
      </c>
      <c r="M15" s="45" t="str">
        <f>IF(B15=0,"...",IF(E15="CERRADA","Valor Venta",J15*(1-VLOOKUP($A$2,Config!$B$3:$C$22,2,FALSE))))</f>
        <v>...</v>
      </c>
      <c r="N15" s="45" t="str">
        <f t="shared" si="2"/>
        <v>...</v>
      </c>
      <c r="O15" s="45" t="str">
        <f t="array" ref="O15">IF(B15=0,"...",IF(E15="ABIERTA",K15/CCL!$E$2,N15/ VLOOKUP(F15,{CCL!M:N;CCL!$P:$Q},2,FALSE)))</f>
        <v>...</v>
      </c>
      <c r="P15" s="12" t="str">
        <f>IFERROR(__xludf.DUMMYFUNCTION("if(B15=0,""..."",GOOGLEFINANCE(B15,""changepct"")/100)"),"...")</f>
        <v>...</v>
      </c>
      <c r="Q15" s="10" t="str">
        <f>IFERROR(__xludf.DUMMYFUNCTION("IF(B15=0,""..."",IF(E15=""CERRADA"",""-"",GOOGLEFINANCE(B15,""change"")*H15))"),"...")</f>
        <v>...</v>
      </c>
      <c r="R15" s="12" t="str">
        <f t="shared" si="3"/>
        <v>...</v>
      </c>
      <c r="S15" s="13" t="str">
        <f t="shared" si="14"/>
        <v>...</v>
      </c>
      <c r="T15" s="2"/>
      <c r="U15" s="10"/>
      <c r="V15" s="10" t="str">
        <f t="shared" si="5"/>
        <v>...</v>
      </c>
      <c r="W15" s="12" t="str">
        <f t="shared" si="6"/>
        <v/>
      </c>
      <c r="X15" s="10" t="str">
        <f t="shared" si="7"/>
        <v>...</v>
      </c>
      <c r="Y15" s="10" t="str">
        <f t="shared" si="8"/>
        <v>...</v>
      </c>
      <c r="Z15" s="12" t="str">
        <f t="shared" si="9"/>
        <v>...</v>
      </c>
      <c r="AA15" s="10" t="str">
        <f t="shared" si="10"/>
        <v>...</v>
      </c>
      <c r="AB15" s="2"/>
      <c r="AC15" s="2"/>
      <c r="AD15" s="2"/>
      <c r="AE15" s="2"/>
      <c r="AF15" s="2"/>
      <c r="AG15" s="2"/>
    </row>
    <row r="16" ht="24.0" customHeight="1">
      <c r="A16" s="4"/>
      <c r="B16" s="4"/>
      <c r="C16" s="5" t="str">
        <f>IFERROR(__xludf.DUMMYFUNCTION("if(B16=0,""..."", sparkline(query(GOOGLEFINANCE(B16,""price"",today()-$AE$27,today()),""select Col2"",0),{""charttype"",$AE$26}))"),"...")</f>
        <v>...</v>
      </c>
      <c r="D16" s="5"/>
      <c r="E16" s="31"/>
      <c r="F16" s="5"/>
      <c r="G16" s="8" t="str">
        <f t="shared" si="13"/>
        <v>...</v>
      </c>
      <c r="H16" s="6"/>
      <c r="I16" s="44"/>
      <c r="J16" s="45" t="str">
        <f>IFERROR(__xludf.DUMMYFUNCTION("IF(B16=0,""..."",IF(E16=""CERRADA"",""-"",GOOGLEFINANCE(""BCBA:"" &amp; B16)))"),"...")</f>
        <v>...</v>
      </c>
      <c r="K16" s="45" t="str">
        <f t="shared" si="11"/>
        <v>...</v>
      </c>
      <c r="L16" s="45" t="str">
        <f>IF(B16=0,"...",K16/VLOOKUP($D16,CCL!$A$12:$B$828,2,0))</f>
        <v>...</v>
      </c>
      <c r="M16" s="45" t="str">
        <f>IF(B16=0,"...",IF(E16="CERRADA","Valor Venta",J16*(1-VLOOKUP($A$2,Config!$B$3:$C$22,2,FALSE))))</f>
        <v>...</v>
      </c>
      <c r="N16" s="45" t="str">
        <f t="shared" si="2"/>
        <v>...</v>
      </c>
      <c r="O16" s="45" t="str">
        <f t="array" ref="O16">IF(B16=0,"...",IF(E16="ABIERTA",K16/CCL!$E$2,N16/ VLOOKUP(F16,{CCL!M:N;CCL!$P:$Q},2,FALSE)))</f>
        <v>...</v>
      </c>
      <c r="P16" s="12" t="str">
        <f>IFERROR(__xludf.DUMMYFUNCTION("if(B16=0,""..."",GOOGLEFINANCE(B16,""changepct"")/100)"),"...")</f>
        <v>...</v>
      </c>
      <c r="Q16" s="10" t="str">
        <f>IFERROR(__xludf.DUMMYFUNCTION("IF(B16=0,""..."",IF(E16=""CERRADA"",""-"",GOOGLEFINANCE(B16,""change"")*H16))"),"...")</f>
        <v>...</v>
      </c>
      <c r="R16" s="12" t="str">
        <f t="shared" si="3"/>
        <v>...</v>
      </c>
      <c r="S16" s="13" t="str">
        <f t="shared" si="14"/>
        <v>...</v>
      </c>
      <c r="T16" s="2"/>
      <c r="U16" s="10"/>
      <c r="V16" s="10" t="str">
        <f t="shared" si="5"/>
        <v>...</v>
      </c>
      <c r="W16" s="12" t="str">
        <f t="shared" si="6"/>
        <v/>
      </c>
      <c r="X16" s="10" t="str">
        <f t="shared" si="7"/>
        <v>...</v>
      </c>
      <c r="Y16" s="10" t="str">
        <f t="shared" si="8"/>
        <v>...</v>
      </c>
      <c r="Z16" s="12" t="str">
        <f t="shared" si="9"/>
        <v>...</v>
      </c>
      <c r="AA16" s="10" t="str">
        <f t="shared" si="10"/>
        <v>...</v>
      </c>
      <c r="AB16" s="2"/>
      <c r="AC16" s="2"/>
      <c r="AD16" s="2"/>
      <c r="AE16" s="2"/>
      <c r="AF16" s="2"/>
      <c r="AG16" s="2"/>
    </row>
    <row r="17" ht="24.0" customHeight="1">
      <c r="A17" s="4"/>
      <c r="B17" s="4"/>
      <c r="C17" s="5" t="str">
        <f>IFERROR(__xludf.DUMMYFUNCTION("if(B17=0,""..."", sparkline(query(GOOGLEFINANCE(B17,""price"",today()-$AE$27,today()),""select Col2"",0),{""charttype"",$AE$26}))"),"...")</f>
        <v>...</v>
      </c>
      <c r="D17" s="5"/>
      <c r="E17" s="31"/>
      <c r="F17" s="5"/>
      <c r="G17" s="8" t="str">
        <f t="shared" si="13"/>
        <v>...</v>
      </c>
      <c r="H17" s="6"/>
      <c r="I17" s="44"/>
      <c r="J17" s="45" t="str">
        <f>IFERROR(__xludf.DUMMYFUNCTION("IF(B17=0,""..."",IF(E17=""CERRADA"",""-"",GOOGLEFINANCE(""BCBA:"" &amp; B17)))"),"...")</f>
        <v>...</v>
      </c>
      <c r="K17" s="45" t="str">
        <f t="shared" si="11"/>
        <v>...</v>
      </c>
      <c r="L17" s="45" t="str">
        <f>IF(B17=0,"...",K17/VLOOKUP($D17,CCL!$A$12:$B$828,2,0))</f>
        <v>...</v>
      </c>
      <c r="M17" s="45" t="str">
        <f>IF(B17=0,"...",IF(E17="CERRADA","Valor Venta",J17*(1-VLOOKUP($A$2,Config!$B$3:$C$22,2,FALSE))))</f>
        <v>...</v>
      </c>
      <c r="N17" s="45" t="str">
        <f t="shared" si="2"/>
        <v>...</v>
      </c>
      <c r="O17" s="45" t="str">
        <f t="array" ref="O17">IF(B17=0,"...",IF(E17="ABIERTA",K17/CCL!$E$2,N17/ VLOOKUP(F17,{CCL!M:N;CCL!$P:$Q},2,FALSE)))</f>
        <v>...</v>
      </c>
      <c r="P17" s="12" t="str">
        <f>IFERROR(__xludf.DUMMYFUNCTION("if(B17=0,""..."",GOOGLEFINANCE(B17,""changepct"")/100)"),"...")</f>
        <v>...</v>
      </c>
      <c r="Q17" s="10" t="str">
        <f>IFERROR(__xludf.DUMMYFUNCTION("IF(B17=0,""..."",IF(E17=""CERRADA"",""-"",GOOGLEFINANCE(B17,""change"")*H17))"),"...")</f>
        <v>...</v>
      </c>
      <c r="R17" s="12" t="str">
        <f t="shared" si="3"/>
        <v>...</v>
      </c>
      <c r="S17" s="13" t="str">
        <f t="shared" si="14"/>
        <v>...</v>
      </c>
      <c r="T17" s="2"/>
      <c r="U17" s="10"/>
      <c r="V17" s="10" t="str">
        <f t="shared" si="5"/>
        <v>...</v>
      </c>
      <c r="W17" s="12" t="str">
        <f t="shared" si="6"/>
        <v/>
      </c>
      <c r="X17" s="10" t="str">
        <f t="shared" si="7"/>
        <v>...</v>
      </c>
      <c r="Y17" s="10" t="str">
        <f t="shared" si="8"/>
        <v>...</v>
      </c>
      <c r="Z17" s="12" t="str">
        <f t="shared" si="9"/>
        <v>...</v>
      </c>
      <c r="AA17" s="10" t="str">
        <f t="shared" si="10"/>
        <v>...</v>
      </c>
      <c r="AB17" s="2"/>
      <c r="AC17" s="2"/>
      <c r="AD17" s="2"/>
      <c r="AE17" s="2"/>
      <c r="AF17" s="2"/>
      <c r="AG17" s="2"/>
    </row>
    <row r="18" ht="24.0" customHeight="1">
      <c r="A18" s="4"/>
      <c r="B18" s="4"/>
      <c r="C18" s="5" t="str">
        <f>IFERROR(__xludf.DUMMYFUNCTION("if(B18=0,""..."", sparkline(query(GOOGLEFINANCE(B18,""price"",today()-$AE$27,today()),""select Col2"",0),{""charttype"",$AE$26}))"),"...")</f>
        <v>...</v>
      </c>
      <c r="D18" s="5"/>
      <c r="E18" s="31"/>
      <c r="F18" s="5"/>
      <c r="G18" s="8" t="str">
        <f t="shared" si="13"/>
        <v>...</v>
      </c>
      <c r="H18" s="6"/>
      <c r="I18" s="44"/>
      <c r="J18" s="45" t="str">
        <f>IFERROR(__xludf.DUMMYFUNCTION("IF(B18=0,""..."",IF(E18=""CERRADA"",""-"",GOOGLEFINANCE(B18)))"),"...")</f>
        <v>...</v>
      </c>
      <c r="K18" s="45" t="str">
        <f t="shared" si="11"/>
        <v>...</v>
      </c>
      <c r="L18" s="45" t="str">
        <f>IF(B18=0,"...",K18/VLOOKUP($D18,CCL!$A$12:$B$828,2,0))</f>
        <v>...</v>
      </c>
      <c r="M18" s="45" t="str">
        <f>IF(B18=0,"...",IF(E18="CERRADA","Valor Venta",J18*(1-VLOOKUP($A$2,Config!$B$3:$C$22,2,FALSE))))</f>
        <v>...</v>
      </c>
      <c r="N18" s="45" t="str">
        <f t="shared" si="2"/>
        <v>...</v>
      </c>
      <c r="O18" s="45" t="str">
        <f t="array" ref="O18">IF(B18=0,"...",IF(E18="ABIERTA",K18/CCL!$E$2,N18/ VLOOKUP(F18,{CCL!M:N;CCL!$P:$Q},2,FALSE)))</f>
        <v>...</v>
      </c>
      <c r="P18" s="12" t="str">
        <f>IFERROR(__xludf.DUMMYFUNCTION("if(B18=0,""..."",GOOGLEFINANCE(B18,""changepct"")/100)"),"...")</f>
        <v>...</v>
      </c>
      <c r="Q18" s="10" t="str">
        <f>IFERROR(__xludf.DUMMYFUNCTION("IF(B18=0,""..."",IF(E18=""CERRADA"",""-"",GOOGLEFINANCE(B18,""change"")*H18))"),"...")</f>
        <v>...</v>
      </c>
      <c r="R18" s="12" t="str">
        <f t="shared" si="3"/>
        <v>...</v>
      </c>
      <c r="S18" s="13" t="str">
        <f t="shared" si="14"/>
        <v>...</v>
      </c>
      <c r="T18" s="2"/>
      <c r="U18" s="10"/>
      <c r="V18" s="10" t="str">
        <f t="shared" si="5"/>
        <v>...</v>
      </c>
      <c r="W18" s="12" t="str">
        <f t="shared" si="6"/>
        <v/>
      </c>
      <c r="X18" s="10" t="str">
        <f t="shared" si="7"/>
        <v>...</v>
      </c>
      <c r="Y18" s="10" t="str">
        <f t="shared" si="8"/>
        <v>...</v>
      </c>
      <c r="Z18" s="12" t="str">
        <f t="shared" si="9"/>
        <v>...</v>
      </c>
      <c r="AA18" s="10" t="str">
        <f t="shared" si="10"/>
        <v>...</v>
      </c>
      <c r="AB18" s="2"/>
      <c r="AC18" s="18" t="s">
        <v>96</v>
      </c>
      <c r="AD18" s="19">
        <f>sumifs(N2:N27,E2:E27,"ABIERTA")</f>
        <v>1255400.25</v>
      </c>
      <c r="AE18" s="18" t="s">
        <v>47</v>
      </c>
      <c r="AF18" s="19">
        <f>sum(N2:N27)</f>
        <v>2111127.25</v>
      </c>
      <c r="AG18" s="2"/>
    </row>
    <row r="19" ht="24.0" customHeight="1">
      <c r="A19" s="4"/>
      <c r="B19" s="4"/>
      <c r="C19" s="5" t="str">
        <f>IFERROR(__xludf.DUMMYFUNCTION("if(B19=0,""..."", sparkline(query(GOOGLEFINANCE(B19,""price"",today()-$AE$27,today()),""select Col2"",0),{""charttype"",$AE$26}))"),"...")</f>
        <v>...</v>
      </c>
      <c r="D19" s="5"/>
      <c r="E19" s="31"/>
      <c r="F19" s="5"/>
      <c r="G19" s="8" t="str">
        <f t="shared" si="13"/>
        <v>...</v>
      </c>
      <c r="H19" s="6"/>
      <c r="I19" s="44"/>
      <c r="J19" s="45" t="str">
        <f>IFERROR(__xludf.DUMMYFUNCTION("IF(B19=0,""..."",IF(E19=""CERRADA"",""-"",GOOGLEFINANCE(B19)))"),"...")</f>
        <v>...</v>
      </c>
      <c r="K19" s="45" t="str">
        <f t="shared" si="11"/>
        <v>...</v>
      </c>
      <c r="L19" s="45" t="str">
        <f>IF(B19=0,"...",K19/VLOOKUP($D19,CCL!$A$12:$B$828,2,0))</f>
        <v>...</v>
      </c>
      <c r="M19" s="45" t="str">
        <f>IF(B19=0,"...",IF(E19="CERRADA","Valor Venta",J19*(1-VLOOKUP($A$2,Config!$B$3:$C$22,2,FALSE))))</f>
        <v>...</v>
      </c>
      <c r="N19" s="45" t="str">
        <f t="shared" si="2"/>
        <v>...</v>
      </c>
      <c r="O19" s="45" t="str">
        <f t="array" ref="O19">IF(B19=0,"...",IF(E19="ABIERTA",K19/CCL!$E$2,N19/ VLOOKUP(F19,{CCL!M:N;CCL!$P:$Q},2,FALSE)))</f>
        <v>...</v>
      </c>
      <c r="P19" s="12" t="str">
        <f>IFERROR(__xludf.DUMMYFUNCTION("if(B19=0,""..."",GOOGLEFINANCE(B19,""changepct"")/100)"),"...")</f>
        <v>...</v>
      </c>
      <c r="Q19" s="10" t="str">
        <f>IFERROR(__xludf.DUMMYFUNCTION("IF(B19=0,""..."",IF(E19=""CERRADA"",""-"",GOOGLEFINANCE(B19,""change"")*H19))"),"...")</f>
        <v>...</v>
      </c>
      <c r="R19" s="12" t="str">
        <f t="shared" si="3"/>
        <v>...</v>
      </c>
      <c r="S19" s="13" t="str">
        <f t="shared" si="14"/>
        <v>...</v>
      </c>
      <c r="T19" s="2"/>
      <c r="U19" s="10"/>
      <c r="V19" s="10" t="str">
        <f t="shared" si="5"/>
        <v>...</v>
      </c>
      <c r="W19" s="12" t="str">
        <f t="shared" si="6"/>
        <v/>
      </c>
      <c r="X19" s="10" t="str">
        <f t="shared" si="7"/>
        <v>...</v>
      </c>
      <c r="Y19" s="10" t="str">
        <f t="shared" si="8"/>
        <v>...</v>
      </c>
      <c r="Z19" s="12" t="str">
        <f t="shared" si="9"/>
        <v>...</v>
      </c>
      <c r="AA19" s="10" t="str">
        <f t="shared" si="10"/>
        <v>...</v>
      </c>
      <c r="AB19" s="2"/>
      <c r="AG19" s="2"/>
    </row>
    <row r="20" ht="24.0" customHeight="1">
      <c r="A20" s="4"/>
      <c r="B20" s="4"/>
      <c r="C20" s="5" t="str">
        <f>IFERROR(__xludf.DUMMYFUNCTION("if(B20=0,""..."", sparkline(query(GOOGLEFINANCE(B20,""price"",today()-$AE$27,today()),""select Col2"",0),{""charttype"",$AE$26}))"),"...")</f>
        <v>...</v>
      </c>
      <c r="D20" s="5"/>
      <c r="E20" s="31"/>
      <c r="F20" s="5"/>
      <c r="G20" s="8" t="str">
        <f t="shared" si="13"/>
        <v>...</v>
      </c>
      <c r="H20" s="6"/>
      <c r="I20" s="44"/>
      <c r="J20" s="45" t="str">
        <f>IFERROR(__xludf.DUMMYFUNCTION("IF(B20=0,""..."",IF(E20=""CERRADA"",""-"",GOOGLEFINANCE(""BCBA:"" &amp; B20)))"),"...")</f>
        <v>...</v>
      </c>
      <c r="K20" s="45" t="str">
        <f t="shared" si="11"/>
        <v>...</v>
      </c>
      <c r="L20" s="45" t="str">
        <f>IF(B20=0,"...",K20/VLOOKUP($D20,CCL!$A$12:$B$828,2,0))</f>
        <v>...</v>
      </c>
      <c r="M20" s="45" t="str">
        <f>IF(B20=0,"...",IF(E20="CERRADA","Valor Venta",J20*(1-VLOOKUP($A$2,Config!$B$3:$C$22,2,FALSE))))</f>
        <v>...</v>
      </c>
      <c r="N20" s="45" t="str">
        <f t="shared" si="2"/>
        <v>...</v>
      </c>
      <c r="O20" s="45" t="str">
        <f t="array" ref="O20">IF(B20=0,"...",IF(E20="ABIERTA",K20/CCL!$E$2,N20/ VLOOKUP(F20,{CCL!M:N;CCL!$P:$Q},2,FALSE)))</f>
        <v>...</v>
      </c>
      <c r="P20" s="12" t="str">
        <f>IFERROR(__xludf.DUMMYFUNCTION("if(B20=0,""..."",GOOGLEFINANCE(B20,""changepct"")/100)"),"...")</f>
        <v>...</v>
      </c>
      <c r="Q20" s="10" t="str">
        <f>IFERROR(__xludf.DUMMYFUNCTION("IF(B20=0,""..."",IF(E20=""CERRADA"",""-"",GOOGLEFINANCE(B20,""change"")*H20))"),"...")</f>
        <v>...</v>
      </c>
      <c r="R20" s="12" t="str">
        <f t="shared" si="3"/>
        <v>...</v>
      </c>
      <c r="S20" s="13" t="str">
        <f t="shared" si="14"/>
        <v>...</v>
      </c>
      <c r="T20" s="2"/>
      <c r="U20" s="10"/>
      <c r="V20" s="10" t="str">
        <f t="shared" si="5"/>
        <v>...</v>
      </c>
      <c r="W20" s="12" t="str">
        <f t="shared" si="6"/>
        <v/>
      </c>
      <c r="X20" s="10" t="str">
        <f t="shared" si="7"/>
        <v>...</v>
      </c>
      <c r="Y20" s="10" t="str">
        <f t="shared" si="8"/>
        <v>...</v>
      </c>
      <c r="Z20" s="12" t="str">
        <f t="shared" si="9"/>
        <v>...</v>
      </c>
      <c r="AA20" s="10" t="str">
        <f t="shared" si="10"/>
        <v>...</v>
      </c>
      <c r="AB20" s="2"/>
      <c r="AC20" s="18" t="s">
        <v>49</v>
      </c>
      <c r="AD20" s="19">
        <f>sumifs(S2:S27,E2:E27,"ABIERTA")</f>
        <v>64.10124005</v>
      </c>
      <c r="AE20" s="18" t="s">
        <v>50</v>
      </c>
      <c r="AF20" s="19" t="str">
        <f>sum(S2:S27)</f>
        <v>#N/A</v>
      </c>
      <c r="AG20" s="2"/>
    </row>
    <row r="21" ht="24.0" customHeight="1">
      <c r="A21" s="4"/>
      <c r="B21" s="4"/>
      <c r="C21" s="5" t="str">
        <f>IFERROR(__xludf.DUMMYFUNCTION("if(B21=0,""..."", sparkline(query(GOOGLEFINANCE(B21,""price"",today()-$AE$27,today()),""select Col2"",0),{""charttype"",$AE$26}))"),"...")</f>
        <v>...</v>
      </c>
      <c r="D21" s="5"/>
      <c r="E21" s="31"/>
      <c r="F21" s="5"/>
      <c r="G21" s="8" t="str">
        <f t="shared" si="13"/>
        <v>...</v>
      </c>
      <c r="H21" s="6"/>
      <c r="I21" s="44"/>
      <c r="J21" s="45" t="str">
        <f>IFERROR(__xludf.DUMMYFUNCTION("IF(B21=0,""..."",IF(E21=""CERRADA"",""-"",GOOGLEFINANCE(B21)))"),"...")</f>
        <v>...</v>
      </c>
      <c r="K21" s="45" t="str">
        <f t="shared" si="11"/>
        <v>...</v>
      </c>
      <c r="L21" s="45" t="str">
        <f>IF(B21=0,"...",K21/VLOOKUP($D21,CCL!$A$12:$B$828,2,0))</f>
        <v>...</v>
      </c>
      <c r="M21" s="45" t="str">
        <f>IF(B21=0,"...",IF(E21="CERRADA","Valor Venta",J21*(1-VLOOKUP($A$2,Config!$B$3:$C$22,2,FALSE))))</f>
        <v>...</v>
      </c>
      <c r="N21" s="45" t="str">
        <f t="shared" si="2"/>
        <v>...</v>
      </c>
      <c r="O21" s="45" t="str">
        <f t="array" ref="O21">IF(B21=0,"...",IF(E21="ABIERTA",K21/CCL!$E$2,N21/ VLOOKUP(F21,{CCL!M:N;CCL!$P:$Q},2,FALSE)))</f>
        <v>...</v>
      </c>
      <c r="P21" s="12" t="str">
        <f>IFERROR(__xludf.DUMMYFUNCTION("if(B21=0,""..."",GOOGLEFINANCE(B21,""changepct"")/100)"),"...")</f>
        <v>...</v>
      </c>
      <c r="Q21" s="10" t="str">
        <f>IFERROR(__xludf.DUMMYFUNCTION("IF(B21=0,""..."",IF(E21=""CERRADA"",""-"",GOOGLEFINANCE(B21,""change"")*H21))"),"...")</f>
        <v>...</v>
      </c>
      <c r="R21" s="12" t="str">
        <f t="shared" si="3"/>
        <v>...</v>
      </c>
      <c r="S21" s="13" t="str">
        <f t="shared" si="14"/>
        <v>...</v>
      </c>
      <c r="T21" s="2"/>
      <c r="U21" s="10"/>
      <c r="V21" s="10" t="str">
        <f t="shared" si="5"/>
        <v>...</v>
      </c>
      <c r="W21" s="12" t="str">
        <f t="shared" si="6"/>
        <v/>
      </c>
      <c r="X21" s="10" t="str">
        <f t="shared" si="7"/>
        <v>...</v>
      </c>
      <c r="Y21" s="10" t="str">
        <f t="shared" si="8"/>
        <v>...</v>
      </c>
      <c r="Z21" s="12" t="str">
        <f t="shared" si="9"/>
        <v>...</v>
      </c>
      <c r="AA21" s="10" t="str">
        <f t="shared" si="10"/>
        <v>...</v>
      </c>
      <c r="AB21" s="2"/>
      <c r="AG21" s="2"/>
    </row>
    <row r="22" ht="24.0" customHeight="1">
      <c r="A22" s="4"/>
      <c r="B22" s="4"/>
      <c r="C22" s="5" t="str">
        <f>IFERROR(__xludf.DUMMYFUNCTION("if(B22=0,""..."", sparkline(query(GOOGLEFINANCE(B22,""price"",today()-$AE$27,today()),""select Col2"",0),{""charttype"",$AE$26}))"),"...")</f>
        <v>...</v>
      </c>
      <c r="D22" s="5"/>
      <c r="E22" s="31"/>
      <c r="F22" s="5"/>
      <c r="G22" s="8" t="str">
        <f t="shared" si="13"/>
        <v>...</v>
      </c>
      <c r="H22" s="6"/>
      <c r="I22" s="44"/>
      <c r="J22" s="45" t="str">
        <f>IFERROR(__xludf.DUMMYFUNCTION("IF(B22=0,""..."",IF(E22=""CERRADA"",""-"",GOOGLEFINANCE(B22)))"),"...")</f>
        <v>...</v>
      </c>
      <c r="K22" s="45" t="str">
        <f t="shared" si="11"/>
        <v>...</v>
      </c>
      <c r="L22" s="45" t="str">
        <f>IF(B22=0,"...",K22/VLOOKUP($D22,CCL!$A$12:$B$828,2,0))</f>
        <v>...</v>
      </c>
      <c r="M22" s="45" t="str">
        <f>IF(B22=0,"...",IF(E22="CERRADA","Valor Venta",J22*(1-VLOOKUP($A$2,Config!$B$3:$C$22,2,FALSE))))</f>
        <v>...</v>
      </c>
      <c r="N22" s="45" t="str">
        <f t="shared" si="2"/>
        <v>...</v>
      </c>
      <c r="O22" s="45" t="str">
        <f t="array" ref="O22">IF(B22=0,"...",IF(E22="ABIERTA",K22/CCL!$E$2,N22/ VLOOKUP(F22,{CCL!M:N;CCL!$P:$Q},2,FALSE)))</f>
        <v>...</v>
      </c>
      <c r="P22" s="12" t="str">
        <f>IFERROR(__xludf.DUMMYFUNCTION("if(B22=0,""..."",GOOGLEFINANCE(B22,""changepct"")/100)"),"...")</f>
        <v>...</v>
      </c>
      <c r="Q22" s="10" t="str">
        <f>IFERROR(__xludf.DUMMYFUNCTION("IF(B22=0,""..."",IF(E22=""CERRADA"",""-"",GOOGLEFINANCE(B22,""change"")*H22))"),"...")</f>
        <v>...</v>
      </c>
      <c r="R22" s="12" t="str">
        <f t="shared" si="3"/>
        <v>...</v>
      </c>
      <c r="S22" s="13" t="str">
        <f t="shared" si="14"/>
        <v>...</v>
      </c>
      <c r="T22" s="2"/>
      <c r="U22" s="10"/>
      <c r="V22" s="10" t="str">
        <f t="shared" si="5"/>
        <v>...</v>
      </c>
      <c r="W22" s="12" t="str">
        <f t="shared" si="6"/>
        <v/>
      </c>
      <c r="X22" s="10" t="str">
        <f t="shared" si="7"/>
        <v>...</v>
      </c>
      <c r="Y22" s="10" t="str">
        <f t="shared" si="8"/>
        <v>...</v>
      </c>
      <c r="Z22" s="12" t="str">
        <f t="shared" si="9"/>
        <v>...</v>
      </c>
      <c r="AA22" s="10" t="str">
        <f t="shared" si="10"/>
        <v>...</v>
      </c>
      <c r="AB22" s="2"/>
      <c r="AC22" s="18" t="s">
        <v>53</v>
      </c>
      <c r="AD22" s="22">
        <f>AD20/(AD18-AD20)</f>
        <v>0.00005106300819</v>
      </c>
      <c r="AE22" s="18" t="s">
        <v>53</v>
      </c>
      <c r="AF22" s="22" t="str">
        <f>AF20/(AF18-AF20)</f>
        <v>#N/A</v>
      </c>
      <c r="AG22" s="2"/>
    </row>
    <row r="23" ht="24.0" customHeight="1">
      <c r="A23" s="4"/>
      <c r="B23" s="4"/>
      <c r="C23" s="5" t="str">
        <f>IFERROR(__xludf.DUMMYFUNCTION("if(B23=0,""..."", sparkline(query(GOOGLEFINANCE(B23,""price"",today()-$AE$27,today()),""select Col2"",0),{""charttype"",$AE$26}))"),"...")</f>
        <v>...</v>
      </c>
      <c r="D23" s="5"/>
      <c r="E23" s="31"/>
      <c r="F23" s="5"/>
      <c r="G23" s="8" t="str">
        <f t="shared" si="13"/>
        <v>...</v>
      </c>
      <c r="H23" s="6"/>
      <c r="I23" s="44"/>
      <c r="J23" s="45" t="str">
        <f>IFERROR(__xludf.DUMMYFUNCTION("IF(B23=0,""..."",IF(E23=""CERRADA"",""-"",GOOGLEFINANCE(""BCBA:"" &amp; B23)))"),"...")</f>
        <v>...</v>
      </c>
      <c r="K23" s="45" t="str">
        <f t="shared" si="11"/>
        <v>...</v>
      </c>
      <c r="L23" s="45" t="str">
        <f>IF(B23=0,"...",K23/VLOOKUP($D23,CCL!$A$12:$B$828,2,0))</f>
        <v>...</v>
      </c>
      <c r="M23" s="45" t="str">
        <f>IF(B23=0,"...",IF(E23="CERRADA","Valor Venta",J23*(1-VLOOKUP($A$2,Config!$B$3:$C$22,2,FALSE))))</f>
        <v>...</v>
      </c>
      <c r="N23" s="45" t="str">
        <f t="shared" si="2"/>
        <v>...</v>
      </c>
      <c r="O23" s="45" t="str">
        <f t="array" ref="O23">IF(B23=0,"...",IF(E23="ABIERTA",K23/CCL!$E$2,N23/ VLOOKUP(F23,{CCL!M:N;CCL!$P:$Q},2,FALSE)))</f>
        <v>...</v>
      </c>
      <c r="P23" s="12" t="str">
        <f>IFERROR(__xludf.DUMMYFUNCTION("if(B23=0,""..."",GOOGLEFINANCE(B23,""changepct"")/100)"),"...")</f>
        <v>...</v>
      </c>
      <c r="Q23" s="10" t="str">
        <f>IFERROR(__xludf.DUMMYFUNCTION("IF(B23=0,""..."",IF(E23=""CERRADA"",""-"",GOOGLEFINANCE(B23,""change"")*H23))"),"...")</f>
        <v>...</v>
      </c>
      <c r="R23" s="12" t="str">
        <f t="shared" si="3"/>
        <v>...</v>
      </c>
      <c r="S23" s="13" t="str">
        <f t="shared" si="14"/>
        <v>...</v>
      </c>
      <c r="T23" s="2"/>
      <c r="U23" s="10"/>
      <c r="V23" s="10" t="str">
        <f t="shared" si="5"/>
        <v>...</v>
      </c>
      <c r="W23" s="12" t="str">
        <f t="shared" si="6"/>
        <v/>
      </c>
      <c r="X23" s="10" t="str">
        <f t="shared" si="7"/>
        <v>...</v>
      </c>
      <c r="Y23" s="10" t="str">
        <f t="shared" si="8"/>
        <v>...</v>
      </c>
      <c r="Z23" s="12" t="str">
        <f t="shared" si="9"/>
        <v>...</v>
      </c>
      <c r="AA23" s="10" t="str">
        <f t="shared" si="10"/>
        <v>...</v>
      </c>
      <c r="AB23" s="2"/>
      <c r="AG23" s="2"/>
    </row>
    <row r="24" ht="24.0" customHeight="1">
      <c r="A24" s="4"/>
      <c r="B24" s="4"/>
      <c r="C24" s="5" t="str">
        <f>IFERROR(__xludf.DUMMYFUNCTION("if(B24=0,""..."", sparkline(query(GOOGLEFINANCE(B24,""price"",today()-$AE$27,today()),""select Col2"",0),{""charttype"",$AE$26}))"),"...")</f>
        <v>...</v>
      </c>
      <c r="D24" s="5"/>
      <c r="E24" s="31"/>
      <c r="F24" s="5"/>
      <c r="G24" s="8" t="str">
        <f t="shared" si="13"/>
        <v>...</v>
      </c>
      <c r="H24" s="6"/>
      <c r="I24" s="44"/>
      <c r="J24" s="45" t="str">
        <f>IFERROR(__xludf.DUMMYFUNCTION("IF(B24=0,""..."",IF(E24=""CERRADA"",""-"",GOOGLEFINANCE(B24)))"),"...")</f>
        <v>...</v>
      </c>
      <c r="K24" s="45" t="str">
        <f t="shared" si="11"/>
        <v>...</v>
      </c>
      <c r="L24" s="45" t="str">
        <f>IF(B24=0,"...",K24/VLOOKUP($D24,CCL!$A$12:$B$828,2,0))</f>
        <v>...</v>
      </c>
      <c r="M24" s="45" t="str">
        <f>IF(B24=0,"...",IF(E24="CERRADA","Valor Venta",J24*(1-VLOOKUP($A$2,Config!$B$3:$C$22,2,FALSE))))</f>
        <v>...</v>
      </c>
      <c r="N24" s="45" t="str">
        <f t="shared" si="2"/>
        <v>...</v>
      </c>
      <c r="O24" s="45" t="str">
        <f t="array" ref="O24">IF(B24=0,"...",IF(E24="ABIERTA",K24/CCL!$E$2,N24/ VLOOKUP(F24,{CCL!M:N;CCL!$P:$Q},2,FALSE)))</f>
        <v>...</v>
      </c>
      <c r="P24" s="12" t="str">
        <f>IFERROR(__xludf.DUMMYFUNCTION("if(B24=0,""..."",GOOGLEFINANCE(B24,""changepct"")/100)"),"...")</f>
        <v>...</v>
      </c>
      <c r="Q24" s="10" t="str">
        <f>IFERROR(__xludf.DUMMYFUNCTION("IF(B24=0,""..."",IF(E24=""CERRADA"",""-"",GOOGLEFINANCE(B24,""change"")*H24))"),"...")</f>
        <v>...</v>
      </c>
      <c r="R24" s="12" t="str">
        <f t="shared" si="3"/>
        <v>...</v>
      </c>
      <c r="S24" s="13" t="str">
        <f t="shared" si="14"/>
        <v>...</v>
      </c>
      <c r="T24" s="2"/>
      <c r="U24" s="10"/>
      <c r="V24" s="10" t="str">
        <f t="shared" si="5"/>
        <v>...</v>
      </c>
      <c r="W24" s="12" t="str">
        <f t="shared" si="6"/>
        <v/>
      </c>
      <c r="X24" s="10" t="str">
        <f t="shared" si="7"/>
        <v>...</v>
      </c>
      <c r="Y24" s="10" t="str">
        <f t="shared" si="8"/>
        <v>...</v>
      </c>
      <c r="Z24" s="12" t="str">
        <f t="shared" si="9"/>
        <v>...</v>
      </c>
      <c r="AA24" s="10" t="str">
        <f t="shared" si="10"/>
        <v>...</v>
      </c>
      <c r="AB24" s="2"/>
      <c r="AC24" s="2"/>
      <c r="AD24" s="2"/>
      <c r="AE24" s="2"/>
      <c r="AF24" s="2"/>
      <c r="AG24" s="2"/>
    </row>
    <row r="25" ht="24.0" customHeight="1">
      <c r="A25" s="4"/>
      <c r="B25" s="4"/>
      <c r="C25" s="5" t="str">
        <f>IFERROR(__xludf.DUMMYFUNCTION("if(B25=0,""..."", sparkline(query(GOOGLEFINANCE(B25,""price"",today()-$AE$27,today()),""select Col2"",0),{""charttype"",$AE$26}))"),"...")</f>
        <v>...</v>
      </c>
      <c r="D25" s="5"/>
      <c r="E25" s="31"/>
      <c r="F25" s="5"/>
      <c r="G25" s="8" t="str">
        <f t="shared" si="13"/>
        <v>...</v>
      </c>
      <c r="H25" s="6"/>
      <c r="I25" s="44"/>
      <c r="J25" s="45" t="str">
        <f>IFERROR(__xludf.DUMMYFUNCTION("IF(B25=0,""..."",IF(E25=""CERRADA"",""-"",GOOGLEFINANCE(""BCBA:"" &amp; B25)))"),"...")</f>
        <v>...</v>
      </c>
      <c r="K25" s="45" t="str">
        <f t="shared" si="11"/>
        <v>...</v>
      </c>
      <c r="L25" s="45" t="str">
        <f>IF(B25=0,"...",K25/VLOOKUP($D25,CCL!$A$12:$B$828,2,0))</f>
        <v>...</v>
      </c>
      <c r="M25" s="45" t="str">
        <f>IF(B25=0,"...",IF(E25="CERRADA","Valor Venta",J25*(1-VLOOKUP($A$2,Config!$B$3:$C$22,2,FALSE))))</f>
        <v>...</v>
      </c>
      <c r="N25" s="45" t="str">
        <f t="shared" si="2"/>
        <v>...</v>
      </c>
      <c r="O25" s="45" t="str">
        <f t="array" ref="O25">IF(B25=0,"...",IF(E25="ABIERTA",K25/CCL!$E$2,N25/ VLOOKUP(F25,{CCL!M:N;CCL!$P:$Q},2,FALSE)))</f>
        <v>...</v>
      </c>
      <c r="P25" s="12" t="str">
        <f>IFERROR(__xludf.DUMMYFUNCTION("if(B25=0,""..."",GOOGLEFINANCE(B25,""changepct"")/100)"),"...")</f>
        <v>...</v>
      </c>
      <c r="Q25" s="10" t="str">
        <f>IFERROR(__xludf.DUMMYFUNCTION("IF(B25=0,""..."",IF(E25=""CERRADA"",""-"",GOOGLEFINANCE(B25,""change"")*H25))"),"...")</f>
        <v>...</v>
      </c>
      <c r="R25" s="12" t="str">
        <f t="shared" si="3"/>
        <v>...</v>
      </c>
      <c r="S25" s="13" t="str">
        <f t="shared" si="14"/>
        <v>...</v>
      </c>
      <c r="T25" s="2"/>
      <c r="U25" s="10"/>
      <c r="V25" s="10" t="str">
        <f t="shared" si="5"/>
        <v>...</v>
      </c>
      <c r="W25" s="12" t="str">
        <f t="shared" si="6"/>
        <v/>
      </c>
      <c r="X25" s="10" t="str">
        <f t="shared" si="7"/>
        <v>...</v>
      </c>
      <c r="Y25" s="10" t="str">
        <f t="shared" si="8"/>
        <v>...</v>
      </c>
      <c r="Z25" s="12" t="str">
        <f t="shared" si="9"/>
        <v>...</v>
      </c>
      <c r="AA25" s="10" t="str">
        <f t="shared" si="10"/>
        <v>...</v>
      </c>
      <c r="AB25" s="2"/>
      <c r="AC25" s="2"/>
      <c r="AD25" s="2"/>
      <c r="AE25" s="2"/>
      <c r="AF25" s="2"/>
      <c r="AG25" s="2"/>
    </row>
    <row r="26" ht="24.0" customHeight="1">
      <c r="A26" s="4"/>
      <c r="B26" s="30"/>
      <c r="C26" s="5" t="str">
        <f>IFERROR(__xludf.DUMMYFUNCTION("if(B26=0,""..."", sparkline(query(GOOGLEFINANCE(B26,""price"",today()-$AE$27,today()),""select Col2"",0),{""charttype"",$AE$26}))"),"...")</f>
        <v>...</v>
      </c>
      <c r="D26" s="5"/>
      <c r="E26" s="31"/>
      <c r="F26" s="5"/>
      <c r="G26" s="8" t="str">
        <f t="shared" si="13"/>
        <v>...</v>
      </c>
      <c r="H26" s="31"/>
      <c r="I26" s="52"/>
      <c r="J26" s="45" t="str">
        <f>IFERROR(__xludf.DUMMYFUNCTION("IF(B26=0,""..."",IF(E26=""CERRADA"",""-"",GOOGLEFINANCE(B26)))"),"...")</f>
        <v>...</v>
      </c>
      <c r="K26" s="45" t="str">
        <f t="shared" si="11"/>
        <v>...</v>
      </c>
      <c r="L26" s="45" t="str">
        <f>IF(B26=0,"...",K26/VLOOKUP($D26,CCL!$A$12:$B$828,2,0))</f>
        <v>...</v>
      </c>
      <c r="M26" s="45" t="str">
        <f>IF(B26=0,"...",IF(E26="CERRADA","Valor Venta",J26*(1-VLOOKUP($A$2,Config!$B$3:$C$22,2,FALSE))))</f>
        <v>...</v>
      </c>
      <c r="N26" s="45" t="str">
        <f t="shared" si="2"/>
        <v>...</v>
      </c>
      <c r="O26" s="45" t="str">
        <f t="array" ref="O26">IF(B26=0,"...",IF(E26="ABIERTA",K26/CCL!$E$2,N26/ VLOOKUP(F26,{CCL!M:N;CCL!$P:$Q},2,FALSE)))</f>
        <v>...</v>
      </c>
      <c r="P26" s="12" t="str">
        <f>IFERROR(__xludf.DUMMYFUNCTION("if(B26=0,""..."",GOOGLEFINANCE(B26,""changepct"")/100)"),"...")</f>
        <v>...</v>
      </c>
      <c r="Q26" s="10" t="str">
        <f>IFERROR(__xludf.DUMMYFUNCTION("IF(B26=0,""..."",IF(E26=""CERRADA"",""-"",GOOGLEFINANCE(B26,""change"")*H26))"),"...")</f>
        <v>...</v>
      </c>
      <c r="R26" s="12" t="str">
        <f t="shared" si="3"/>
        <v>...</v>
      </c>
      <c r="S26" s="13" t="str">
        <f t="shared" si="14"/>
        <v>...</v>
      </c>
      <c r="T26" s="2"/>
      <c r="U26" s="10"/>
      <c r="V26" s="10" t="str">
        <f t="shared" si="5"/>
        <v>...</v>
      </c>
      <c r="W26" s="12" t="str">
        <f t="shared" si="6"/>
        <v/>
      </c>
      <c r="X26" s="10" t="str">
        <f t="shared" si="7"/>
        <v>...</v>
      </c>
      <c r="Y26" s="10" t="str">
        <f t="shared" si="8"/>
        <v>...</v>
      </c>
      <c r="Z26" s="12" t="str">
        <f t="shared" si="9"/>
        <v>...</v>
      </c>
      <c r="AA26" s="10" t="str">
        <f t="shared" si="10"/>
        <v>...</v>
      </c>
      <c r="AB26" s="2"/>
      <c r="AC26" s="23" t="s">
        <v>56</v>
      </c>
      <c r="AD26" s="24" t="s">
        <v>57</v>
      </c>
      <c r="AE26" s="25" t="s">
        <v>58</v>
      </c>
      <c r="AF26" s="2"/>
      <c r="AG26" s="2"/>
    </row>
    <row r="27" ht="24.0" customHeight="1">
      <c r="A27" s="4"/>
      <c r="B27" s="30"/>
      <c r="C27" s="5" t="str">
        <f>IFERROR(__xludf.DUMMYFUNCTION("if(B27=0,""..."", sparkline(query(GOOGLEFINANCE(B27,""price"",today()-$AE$27,today()),""select Col2"",0),{""charttype"",$AE$26}))"),"...")</f>
        <v>...</v>
      </c>
      <c r="D27" s="5"/>
      <c r="E27" s="31"/>
      <c r="F27" s="5"/>
      <c r="G27" s="8" t="str">
        <f t="shared" si="13"/>
        <v>...</v>
      </c>
      <c r="H27" s="31"/>
      <c r="I27" s="52"/>
      <c r="J27" s="45" t="str">
        <f>IFERROR(__xludf.DUMMYFUNCTION("IF(B27=0,""..."",IF(E27=""CERRADA"",""-"",GOOGLEFINANCE(B27)))"),"...")</f>
        <v>...</v>
      </c>
      <c r="K27" s="45" t="str">
        <f t="shared" si="11"/>
        <v>...</v>
      </c>
      <c r="L27" s="45" t="str">
        <f>IF(B27=0,"...",K27/VLOOKUP($D27,CCL!$A$12:$B$828,2,0))</f>
        <v>...</v>
      </c>
      <c r="M27" s="45" t="str">
        <f>IF(B27=0,"...",IF(E27="CERRADA","Valor Venta",J27*(1-VLOOKUP($A$2,Config!$B$3:$C$22,2,FALSE))))</f>
        <v>...</v>
      </c>
      <c r="N27" s="45" t="str">
        <f t="shared" si="2"/>
        <v>...</v>
      </c>
      <c r="O27" s="45" t="str">
        <f t="array" ref="O27">IF(B27=0,"...",IF(E27="ABIERTA",K27/CCL!$E$2,N27/ VLOOKUP(F27,{CCL!M:N;CCL!$P:$Q},2,FALSE)))</f>
        <v>...</v>
      </c>
      <c r="P27" s="12" t="str">
        <f>IFERROR(__xludf.DUMMYFUNCTION("if(B27=0,""..."",GOOGLEFINANCE(B27,""changepct"")/100)"),"...")</f>
        <v>...</v>
      </c>
      <c r="Q27" s="10" t="str">
        <f>IFERROR(__xludf.DUMMYFUNCTION("IF(B27=0,""..."",IF(E27=""CERRADA"",""-"",GOOGLEFINANCE(B27,""change"")*H27))"),"...")</f>
        <v>...</v>
      </c>
      <c r="R27" s="12" t="str">
        <f t="shared" si="3"/>
        <v>...</v>
      </c>
      <c r="S27" s="13" t="str">
        <f t="shared" si="14"/>
        <v>...</v>
      </c>
      <c r="T27" s="2"/>
      <c r="U27" s="10"/>
      <c r="V27" s="10" t="str">
        <f t="shared" si="5"/>
        <v>...</v>
      </c>
      <c r="W27" s="12" t="str">
        <f t="shared" si="6"/>
        <v/>
      </c>
      <c r="X27" s="10" t="str">
        <f t="shared" si="7"/>
        <v>...</v>
      </c>
      <c r="Y27" s="10" t="str">
        <f t="shared" si="8"/>
        <v>...</v>
      </c>
      <c r="Z27" s="12" t="str">
        <f t="shared" si="9"/>
        <v>...</v>
      </c>
      <c r="AA27" s="10" t="str">
        <f t="shared" si="10"/>
        <v>...</v>
      </c>
      <c r="AB27" s="2"/>
      <c r="AC27" s="26"/>
      <c r="AD27" s="24" t="s">
        <v>59</v>
      </c>
      <c r="AE27" s="25">
        <v>30.0</v>
      </c>
      <c r="AF27" s="2"/>
      <c r="AG27" s="2"/>
    </row>
    <row r="28" ht="24.0" customHeight="1">
      <c r="A28" s="2"/>
      <c r="B28" s="2"/>
      <c r="C28" s="2"/>
      <c r="D28" s="2"/>
      <c r="E28" s="2"/>
      <c r="F28" s="2"/>
      <c r="G28" s="2"/>
      <c r="H28" s="2"/>
      <c r="I28" s="53"/>
      <c r="J28" s="53"/>
      <c r="K28" s="53"/>
      <c r="L28" s="53"/>
      <c r="M28" s="53"/>
      <c r="N28" s="53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</sheetData>
  <mergeCells count="13">
    <mergeCell ref="AC20:AC21"/>
    <mergeCell ref="AC22:AC23"/>
    <mergeCell ref="AD22:AD23"/>
    <mergeCell ref="AE22:AE23"/>
    <mergeCell ref="AF22:AF23"/>
    <mergeCell ref="AC26:AC27"/>
    <mergeCell ref="AC18:AC19"/>
    <mergeCell ref="AD18:AD19"/>
    <mergeCell ref="AE18:AE19"/>
    <mergeCell ref="AF18:AF19"/>
    <mergeCell ref="AD20:AD21"/>
    <mergeCell ref="AE20:AE21"/>
    <mergeCell ref="AF20:AF21"/>
  </mergeCells>
  <conditionalFormatting sqref="P2:P27 R2:R27">
    <cfRule type="cellIs" dxfId="0" priority="1" operator="greaterThanOrEqual">
      <formula>"10%"</formula>
    </cfRule>
  </conditionalFormatting>
  <conditionalFormatting sqref="P2:P27 R2:R27">
    <cfRule type="cellIs" dxfId="1" priority="2" operator="between">
      <formula>"1%"</formula>
      <formula>"10%"</formula>
    </cfRule>
  </conditionalFormatting>
  <conditionalFormatting sqref="P2:P27 R2:R27">
    <cfRule type="cellIs" dxfId="2" priority="3" operator="lessThanOrEqual">
      <formula>"-10%"</formula>
    </cfRule>
  </conditionalFormatting>
  <conditionalFormatting sqref="P2:P27 R2:R27">
    <cfRule type="cellIs" dxfId="3" priority="4" operator="between">
      <formula>"-1%"</formula>
      <formula>"-10%"</formula>
    </cfRule>
  </conditionalFormatting>
  <conditionalFormatting sqref="P2:P27 R2:R27">
    <cfRule type="cellIs" dxfId="4" priority="5" operator="between">
      <formula>"-1%"</formula>
      <formula>"1%"</formula>
    </cfRule>
  </conditionalFormatting>
  <conditionalFormatting sqref="J2:J27">
    <cfRule type="expression" dxfId="5" priority="6">
      <formula>J2&gt;I2</formula>
    </cfRule>
  </conditionalFormatting>
  <conditionalFormatting sqref="J2:J27">
    <cfRule type="expression" dxfId="6" priority="7">
      <formula>J2&lt;I2</formula>
    </cfRule>
  </conditionalFormatting>
  <conditionalFormatting sqref="E2:E27">
    <cfRule type="containsText" dxfId="7" priority="8" operator="containsText" text="ABIERTA">
      <formula>NOT(ISERROR(SEARCH(("ABIERTA"),(E2))))</formula>
    </cfRule>
  </conditionalFormatting>
  <conditionalFormatting sqref="E2:E27">
    <cfRule type="containsText" dxfId="8" priority="9" operator="containsText" text="CERRADA">
      <formula>NOT(ISERROR(SEARCH(("CERRADA"),(E2))))</formula>
    </cfRule>
  </conditionalFormatting>
  <conditionalFormatting sqref="AD20:AD23 AF20:AF23">
    <cfRule type="cellIs" dxfId="9" priority="10" operator="greaterThanOrEqual">
      <formula>0</formula>
    </cfRule>
  </conditionalFormatting>
  <conditionalFormatting sqref="AD20:AD23 AF20:AF23">
    <cfRule type="cellIs" dxfId="10" priority="11" operator="lessThan">
      <formula>0</formula>
    </cfRule>
  </conditionalFormatting>
  <dataValidations>
    <dataValidation type="list" allowBlank="1" sqref="A2:A27">
      <formula1>Config!$B$3:$B$22</formula1>
    </dataValidation>
    <dataValidation type="list" allowBlank="1" sqref="E2:E27">
      <formula1>"ABIERTA,CERRADA"</formula1>
    </dataValidation>
    <dataValidation type="list" allowBlank="1" sqref="AE27">
      <formula1>"7,14,28,365"</formula1>
    </dataValidation>
    <dataValidation type="list" allowBlank="1" sqref="AE26">
      <formula1>"line,column"</formula1>
    </dataValidation>
    <dataValidation type="custom" allowBlank="1" showDropDown="1" sqref="D2:D27 F2:F27">
      <formula1>OR(NOT(ISERROR(DATEVALUE(D2))), AND(ISNUMBER(D2), LEFT(CELL("format", D2))="D"))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.75"/>
    <col customWidth="1" min="2" max="2" width="9.5"/>
    <col customWidth="1" min="3" max="6" width="10.75"/>
    <col customWidth="1" min="7" max="7" width="6.38"/>
    <col customWidth="1" min="8" max="10" width="10.75"/>
    <col customWidth="1" min="11" max="11" width="12.0"/>
    <col customWidth="1" min="12" max="15" width="10.75"/>
    <col customWidth="1" hidden="1" min="16" max="16" width="10.75"/>
    <col customWidth="1" hidden="1" min="17" max="17" width="14.75"/>
    <col customWidth="1" hidden="1" min="18" max="18" width="12.0"/>
    <col customWidth="1" min="19" max="20" width="12.0"/>
    <col customWidth="1" min="21" max="21" width="3.0"/>
    <col customWidth="1" min="22" max="23" width="10.13"/>
    <col customWidth="1" min="32" max="32" width="3.0"/>
    <col customWidth="1" min="37" max="37" width="3.0"/>
  </cols>
  <sheetData>
    <row r="1" ht="33.75" customHeight="1">
      <c r="A1" s="54" t="s">
        <v>0</v>
      </c>
      <c r="B1" s="54" t="s">
        <v>1</v>
      </c>
      <c r="C1" s="54" t="s">
        <v>82</v>
      </c>
      <c r="D1" s="55" t="s">
        <v>2</v>
      </c>
      <c r="E1" s="54" t="s">
        <v>3</v>
      </c>
      <c r="F1" s="54" t="s">
        <v>4</v>
      </c>
      <c r="G1" s="54" t="s">
        <v>5</v>
      </c>
      <c r="H1" s="54" t="s">
        <v>6</v>
      </c>
      <c r="I1" s="56" t="s">
        <v>97</v>
      </c>
      <c r="J1" s="56" t="s">
        <v>10</v>
      </c>
      <c r="K1" s="56" t="s">
        <v>98</v>
      </c>
      <c r="L1" s="56" t="s">
        <v>99</v>
      </c>
      <c r="M1" s="56" t="s">
        <v>100</v>
      </c>
      <c r="N1" s="56" t="s">
        <v>101</v>
      </c>
      <c r="O1" s="54" t="s">
        <v>85</v>
      </c>
      <c r="P1" s="54" t="s">
        <v>86</v>
      </c>
      <c r="Q1" s="54" t="s">
        <v>102</v>
      </c>
      <c r="R1" s="56" t="s">
        <v>13</v>
      </c>
      <c r="S1" s="54" t="s">
        <v>103</v>
      </c>
      <c r="T1" s="56" t="s">
        <v>104</v>
      </c>
      <c r="U1" s="57"/>
      <c r="V1" s="54" t="s">
        <v>1</v>
      </c>
      <c r="W1" s="58" t="s">
        <v>6</v>
      </c>
      <c r="X1" s="54" t="s">
        <v>14</v>
      </c>
      <c r="Y1" s="56" t="s">
        <v>15</v>
      </c>
      <c r="Z1" s="56" t="s">
        <v>16</v>
      </c>
      <c r="AA1" s="54" t="s">
        <v>105</v>
      </c>
      <c r="AB1" s="56" t="s">
        <v>106</v>
      </c>
      <c r="AC1" s="54" t="s">
        <v>107</v>
      </c>
      <c r="AD1" s="54" t="s">
        <v>108</v>
      </c>
      <c r="AE1" s="56" t="s">
        <v>109</v>
      </c>
      <c r="AF1" s="57"/>
      <c r="AG1" s="57"/>
      <c r="AH1" s="57"/>
      <c r="AI1" s="57"/>
      <c r="AJ1" s="57"/>
      <c r="AK1" s="57"/>
    </row>
    <row r="2" ht="24.0" customHeight="1">
      <c r="A2" s="4" t="s">
        <v>88</v>
      </c>
      <c r="B2" s="4" t="s">
        <v>110</v>
      </c>
      <c r="C2" s="5" t="str">
        <f>IFERROR(__xludf.DUMMYFUNCTION("if(B2=0,""..."", sparkline(query(GOOGLEFINANCE(""BCBA:""&amp;B2,""price"",today()-$AI$36,today()),""select Col2"",0),{""charttype"",$AI$35}))"),"")</f>
        <v/>
      </c>
      <c r="D2" s="17">
        <v>45663.0</v>
      </c>
      <c r="E2" s="6" t="s">
        <v>24</v>
      </c>
      <c r="F2" s="7"/>
      <c r="G2" s="8">
        <f t="shared" ref="G2:G234" si="1">if(B2=0,"...", IF(F2=0,today()-D2,F2-D2))</f>
        <v>454</v>
      </c>
      <c r="H2" s="6">
        <v>15.0</v>
      </c>
      <c r="I2" s="44">
        <v>17000.0</v>
      </c>
      <c r="J2" s="45">
        <f t="shared" ref="J2:J234" si="2">if(B2=0,"...",H2*I2)</f>
        <v>255000</v>
      </c>
      <c r="K2" s="47">
        <f t="array" ref="K2">IF(B2=0,"...",J2/VLOOKUP(D2,{CCL!M:N;CCL!$P:$Q},2,FALSE))</f>
        <v>214.8182469</v>
      </c>
      <c r="L2" s="45">
        <f>IFERROR(__xludf.DUMMYFUNCTION("if(B2=0,""..."",if(E2=""CERRADA"",""Valor Venta"", GOOGLEFINANCE(""BCBA:""&amp;B2)))"),18330.0)</f>
        <v>18330</v>
      </c>
      <c r="M2" s="45">
        <f>if(B2=0,"...",L2*(1-VLOOKUP(A2,Config!$B$3:$C$22,2,FALSE)))</f>
        <v>18201.69</v>
      </c>
      <c r="N2" s="45">
        <f t="shared" ref="N2:N234" si="3">IF(B2=0,"...",H2*M2)</f>
        <v>273025.35</v>
      </c>
      <c r="O2" s="12">
        <f>IFERROR(__xludf.DUMMYFUNCTION("if(B2=0,""..."",GOOGLEFINANCE(B2,""changepct"")/100)"),0.0111)</f>
        <v>0.0111</v>
      </c>
      <c r="P2" s="10">
        <f>IFERROR(__xludf.DUMMYFUNCTION("if(B2=0,""..."",GOOGLEFINANCE(B2,""change"")*H2)"),61.349999999999994)</f>
        <v>61.35</v>
      </c>
      <c r="Q2" s="12">
        <f t="shared" ref="Q2:Q234" si="4">if(B2=0,"...",N2/J2-1)</f>
        <v>0.07068764706</v>
      </c>
      <c r="R2" s="47">
        <f t="shared" ref="R2:R234" si="5">if(B2=0,"...",N2-J2)</f>
        <v>18025.35</v>
      </c>
      <c r="S2" s="12">
        <f t="array" ref="S2">IF(B2=0,"...",(N2/IF(E2="ABIERTA",CCL!$E$2,VLOOKUP(F2,{CCL!M:N;CCL!$P:$Q},2,FALSE))/(J2/VLOOKUP(D2,{CCL!M:N;CCL!$P:$Q},2,FALSE))-1))</f>
        <v>-0.1397612295</v>
      </c>
      <c r="T2" s="47">
        <f t="array" ref="T2">IF(B2=0,"...",(N2/IF(E2="ABIERTA",CCL!$E$2,VLOOKUP(F2,{CCL!M:N;CCL!$P:$Q},2,FALSE))-K2))</f>
        <v>-30.02326231</v>
      </c>
      <c r="U2" s="2"/>
      <c r="V2" s="10" t="str">
        <f>IFERROR(__xludf.DUMMYFUNCTION("Unique(Filter(B2:B37,E2:E37=""ABIERTA""))"),"MSFT")</f>
        <v>MSFT</v>
      </c>
      <c r="W2" s="59">
        <f t="shared" ref="W2:W16" si="6">if(V2=0,"...",sumifs($H$2:$H$37,$B$2:$B$37,V2,$E$2:$E$37,"ABIERTA"))</f>
        <v>15</v>
      </c>
      <c r="X2" s="12">
        <f t="shared" ref="X2:X21" si="7">if(V2=0,"",Z2/$AH$19)</f>
        <v>0.05491475184</v>
      </c>
      <c r="Y2" s="45">
        <f t="shared" ref="Y2:Y21" si="8">if(W2=0,"...",if(V2=0,"...",sumifs($J$2:$J$37,$B$2:$B$37,V2,$E$2:$E$37,"ABIERTA")/W2))</f>
        <v>17000</v>
      </c>
      <c r="Z2" s="45">
        <f t="shared" ref="Z2:Z21" si="9">if(V2=0,"...",sumifs($N$2:$N$37,$B$2:$B$37,V2,$E$2:$E$37,"ABIERTA"))</f>
        <v>273025.35</v>
      </c>
      <c r="AA2" s="12">
        <f t="shared" ref="AA2:AA21" si="10">if(W2=0,"...",if(V2=0,"...",AB2/(Z2-AB2)))</f>
        <v>0.07068764706</v>
      </c>
      <c r="AB2" s="45">
        <f t="shared" ref="AB2:AB21" si="11">if(W2=0,"...",if(V2=0,"...",sumifs($R$2:$R$37,$B$2:$B$37,V2,$E$2:$E$37,"ABIERTA")))</f>
        <v>18025.35</v>
      </c>
      <c r="AC2" s="45">
        <f t="shared" ref="AC2:AC21" si="12">IF(W2=0,"...",IF(V2=0,"...",SUMIFS($K$2:$K$37,$B$2:$B$37,V2,$E$2:$E$37,"ABIERTA")))</f>
        <v>214.8182469</v>
      </c>
      <c r="AD2" s="12">
        <f t="shared" ref="AD2:AD21" si="13">IF(V2=0,"...",AE2/(AC2+AE2))</f>
        <v>-0.16246795</v>
      </c>
      <c r="AE2" s="46">
        <f t="shared" ref="AE2:AE21" si="14">IF(W2=0,"...",if(V2=0,"...",sumifs($T$2:$T$37,$B$2:$B$37,V2,$E$2:$E$37,"ABIERTA")))</f>
        <v>-30.02326231</v>
      </c>
      <c r="AF2" s="2"/>
      <c r="AG2" s="2"/>
      <c r="AH2" s="2"/>
      <c r="AI2" s="2"/>
      <c r="AJ2" s="2"/>
      <c r="AK2" s="2"/>
    </row>
    <row r="3" ht="24.0" customHeight="1">
      <c r="A3" s="4" t="s">
        <v>88</v>
      </c>
      <c r="B3" s="4" t="s">
        <v>111</v>
      </c>
      <c r="C3" s="5" t="str">
        <f>IFERROR(__xludf.DUMMYFUNCTION("if(B3=0,""..."", sparkline(query(GOOGLEFINANCE(""BCBA:""&amp;B3,""price"",today()-$AI$36,today()),""select Col2"",0),{""charttype"",$AI$35}))"),"")</f>
        <v/>
      </c>
      <c r="D3" s="17">
        <v>45734.0</v>
      </c>
      <c r="E3" s="6" t="s">
        <v>24</v>
      </c>
      <c r="F3" s="17"/>
      <c r="G3" s="8">
        <f t="shared" si="1"/>
        <v>383</v>
      </c>
      <c r="H3" s="6">
        <v>7.0</v>
      </c>
      <c r="I3" s="44">
        <v>16825.0</v>
      </c>
      <c r="J3" s="45">
        <f t="shared" si="2"/>
        <v>117775</v>
      </c>
      <c r="K3" s="47">
        <f t="array" ref="K3">IF(B3=0,"...",J3/VLOOKUP(D3,{CCL!M:N;CCL!$P:$Q},2,FALSE))</f>
        <v>90.66519888</v>
      </c>
      <c r="L3" s="45">
        <f>IFERROR(__xludf.DUMMYFUNCTION("if(B3=0,""..."",if(E3=""CERRADA"",""Valor Venta"", GOOGLEFINANCE(""BCBA:""&amp;B3)))"),28620.0)</f>
        <v>28620</v>
      </c>
      <c r="M3" s="45">
        <f>if(B3=0,"...",L3*(1-VLOOKUP(A3,Config!$B$3:$C$22,2,FALSE)))</f>
        <v>28419.66</v>
      </c>
      <c r="N3" s="45">
        <f t="shared" si="3"/>
        <v>198937.62</v>
      </c>
      <c r="O3" s="12">
        <f>IFERROR(__xludf.DUMMYFUNCTION("if(B3=0,""..."",GOOGLEFINANCE(B3,""changepct"")/100)"),-5.0E-4)</f>
        <v>-0.0005</v>
      </c>
      <c r="P3" s="10">
        <f>IFERROR(__xludf.DUMMYFUNCTION("if(B3=0,""..."",GOOGLEFINANCE(B3,""change"")*H3)"),-0.14)</f>
        <v>-0.14</v>
      </c>
      <c r="Q3" s="12">
        <f t="shared" si="4"/>
        <v>0.689132838</v>
      </c>
      <c r="R3" s="47">
        <f t="shared" si="5"/>
        <v>81162.62</v>
      </c>
      <c r="S3" s="12">
        <f t="array" ref="S3">IF(B3=0,"...",(N3/IF(E3="ABIERTA",CCL!$E$2,VLOOKUP(F3,{CCL!M:N;CCL!$P:$Q},2,FALSE))/(J3/VLOOKUP(D3,{CCL!M:N;CCL!$P:$Q},2,FALSE))-1))</f>
        <v>0.4851267034</v>
      </c>
      <c r="T3" s="47">
        <f t="array" ref="T3">IF(B3=0,"...",(N3/IF(E3="ABIERTA",CCL!$E$2,VLOOKUP(F3,{CCL!M:N;CCL!$P:$Q},2,FALSE))-K3))</f>
        <v>43.98410905</v>
      </c>
      <c r="U3" s="2"/>
      <c r="V3" s="10" t="str">
        <f>IFERROR(__xludf.DUMMYFUNCTION("""COMPUTED_VALUE"""),"EWZ")</f>
        <v>EWZ</v>
      </c>
      <c r="W3" s="59">
        <f t="shared" si="6"/>
        <v>7</v>
      </c>
      <c r="X3" s="12">
        <f t="shared" si="7"/>
        <v>0.04001317106</v>
      </c>
      <c r="Y3" s="45">
        <f t="shared" si="8"/>
        <v>16825</v>
      </c>
      <c r="Z3" s="45">
        <f t="shared" si="9"/>
        <v>198937.62</v>
      </c>
      <c r="AA3" s="12">
        <f t="shared" si="10"/>
        <v>0.689132838</v>
      </c>
      <c r="AB3" s="45">
        <f t="shared" si="11"/>
        <v>81162.62</v>
      </c>
      <c r="AC3" s="45">
        <f t="shared" si="12"/>
        <v>90.66519888</v>
      </c>
      <c r="AD3" s="12">
        <f t="shared" si="13"/>
        <v>0.3266567777</v>
      </c>
      <c r="AE3" s="46">
        <f t="shared" si="14"/>
        <v>43.98410905</v>
      </c>
      <c r="AF3" s="2"/>
      <c r="AG3" s="2"/>
      <c r="AH3" s="2"/>
      <c r="AI3" s="2"/>
      <c r="AJ3" s="2"/>
      <c r="AK3" s="2"/>
    </row>
    <row r="4" ht="24.0" customHeight="1">
      <c r="A4" s="4" t="s">
        <v>88</v>
      </c>
      <c r="B4" s="4" t="s">
        <v>112</v>
      </c>
      <c r="C4" s="5" t="str">
        <f>IFERROR(__xludf.DUMMYFUNCTION("if(B4=0,""..."", sparkline(query(GOOGLEFINANCE(""BCBA:""&amp;B4,""price"",today()-$AI$36,today()),""select Col2"",0),{""charttype"",$AI$35}))"),"")</f>
        <v/>
      </c>
      <c r="D4" s="17">
        <v>45734.0</v>
      </c>
      <c r="E4" s="6" t="s">
        <v>22</v>
      </c>
      <c r="F4" s="17">
        <v>45735.0</v>
      </c>
      <c r="G4" s="8">
        <f t="shared" si="1"/>
        <v>1</v>
      </c>
      <c r="H4" s="6">
        <v>3.0</v>
      </c>
      <c r="I4" s="44">
        <v>33575.0</v>
      </c>
      <c r="J4" s="45">
        <f t="shared" si="2"/>
        <v>100725</v>
      </c>
      <c r="K4" s="47">
        <f t="array" ref="K4">IF(B4=0,"...",J4/VLOOKUP(D4,{CCL!M:N;CCL!$P:$Q},2,FALSE))</f>
        <v>77.53981879</v>
      </c>
      <c r="L4" s="46">
        <v>36375.0</v>
      </c>
      <c r="M4" s="45">
        <f>if(B4=0,"...",L4*(1-VLOOKUP(A4,Config!$B$3:$C$22,2,FALSE)))</f>
        <v>36120.375</v>
      </c>
      <c r="N4" s="45">
        <f t="shared" si="3"/>
        <v>108361.125</v>
      </c>
      <c r="O4" s="12">
        <f>IFERROR(__xludf.DUMMYFUNCTION("if(B4=0,""..."",GOOGLEFINANCE(B4,""changepct"")/100)"),9.0E-4)</f>
        <v>0.0009</v>
      </c>
      <c r="P4" s="10">
        <f>IFERROR(__xludf.DUMMYFUNCTION("if(B4=0,""..."",GOOGLEFINANCE(B4,""change"")*H4)"),1.77)</f>
        <v>1.77</v>
      </c>
      <c r="Q4" s="12">
        <f t="shared" si="4"/>
        <v>0.07581161579</v>
      </c>
      <c r="R4" s="47">
        <f t="shared" si="5"/>
        <v>7636.125</v>
      </c>
      <c r="S4" s="12">
        <f t="array" ref="S4">IF(B4=0,"...",(N4/IF(E4="ABIERTA",CCL!$E$2,VLOOKUP(F4,{CCL!M:N;CCL!$P:$Q},2,FALSE))/(J4/VLOOKUP(D4,{CCL!M:N;CCL!$P:$Q},2,FALSE))-1))</f>
        <v>0.08176586242</v>
      </c>
      <c r="T4" s="47">
        <f t="array" ref="T4">IF(B4=0,"...",(N4/IF(E4="ABIERTA",CCL!$E$2,VLOOKUP(F4,{CCL!M:N;CCL!$P:$Q},2,FALSE))-K4))</f>
        <v>6.340110155</v>
      </c>
      <c r="U4" s="2"/>
      <c r="V4" s="10" t="str">
        <f>IFERROR(__xludf.DUMMYFUNCTION("""COMPUTED_VALUE"""),"JPM")</f>
        <v>JPM</v>
      </c>
      <c r="W4" s="59">
        <f t="shared" si="6"/>
        <v>18</v>
      </c>
      <c r="X4" s="12">
        <f t="shared" si="7"/>
        <v>0.1049761541</v>
      </c>
      <c r="Y4" s="45">
        <f t="shared" si="8"/>
        <v>24083.33333</v>
      </c>
      <c r="Z4" s="45">
        <f t="shared" si="9"/>
        <v>521920.8</v>
      </c>
      <c r="AA4" s="12">
        <f t="shared" si="10"/>
        <v>0.2039695502</v>
      </c>
      <c r="AB4" s="45">
        <f t="shared" si="11"/>
        <v>88420.8</v>
      </c>
      <c r="AC4" s="45">
        <f t="shared" si="12"/>
        <v>336.6375819</v>
      </c>
      <c r="AD4" s="12">
        <f t="shared" si="13"/>
        <v>0.04704852653</v>
      </c>
      <c r="AE4" s="46">
        <f t="shared" si="14"/>
        <v>16.620261</v>
      </c>
      <c r="AF4" s="2"/>
      <c r="AG4" s="2"/>
      <c r="AH4" s="2"/>
      <c r="AI4" s="2"/>
      <c r="AJ4" s="2"/>
      <c r="AK4" s="2"/>
    </row>
    <row r="5" ht="24.0" customHeight="1">
      <c r="A5" s="4" t="s">
        <v>88</v>
      </c>
      <c r="B5" s="4" t="s">
        <v>113</v>
      </c>
      <c r="C5" s="5" t="str">
        <f>IFERROR(__xludf.DUMMYFUNCTION("if(B5=0,""..."", sparkline(query(GOOGLEFINANCE(""BCBA:""&amp;B5,""price"",today()-$AI$36,today()),""select Col2"",0),{""charttype"",$AI$35}))"),"")</f>
        <v/>
      </c>
      <c r="D5" s="17">
        <v>45805.0</v>
      </c>
      <c r="E5" s="6" t="s">
        <v>22</v>
      </c>
      <c r="F5" s="17">
        <v>45867.0</v>
      </c>
      <c r="G5" s="8">
        <f t="shared" si="1"/>
        <v>62</v>
      </c>
      <c r="H5" s="6">
        <v>15.0</v>
      </c>
      <c r="I5" s="44">
        <v>13275.0</v>
      </c>
      <c r="J5" s="45">
        <f t="shared" si="2"/>
        <v>199125</v>
      </c>
      <c r="K5" s="47">
        <f t="array" ref="K5">IF(B5=0,"...",J5/VLOOKUP(D5,{CCL!M:N;CCL!$P:$Q},2,FALSE))</f>
        <v>169.4205032</v>
      </c>
      <c r="L5" s="46">
        <v>23050.0</v>
      </c>
      <c r="M5" s="45">
        <f>if(B5=0,"...",L5*(1-VLOOKUP(A5,Config!$B$3:$C$22,2,FALSE)))</f>
        <v>22888.65</v>
      </c>
      <c r="N5" s="45">
        <f t="shared" si="3"/>
        <v>343329.75</v>
      </c>
      <c r="O5" s="12">
        <f>IFERROR(__xludf.DUMMYFUNCTION("if(B5=0,""..."",GOOGLEFINANCE(B5,""changepct"")/100)"),0.0347)</f>
        <v>0.0347</v>
      </c>
      <c r="P5" s="10">
        <f>IFERROR(__xludf.DUMMYFUNCTION("if(B5=0,""..."",GOOGLEFINANCE(B5,""change"")*H5)"),109.35)</f>
        <v>109.35</v>
      </c>
      <c r="Q5" s="12">
        <f t="shared" si="4"/>
        <v>0.7241920904</v>
      </c>
      <c r="R5" s="47">
        <f t="shared" si="5"/>
        <v>144204.75</v>
      </c>
      <c r="S5" s="12">
        <f t="array" ref="S5">IF(B5=0,"...",(N5/IF(E5="ABIERTA",CCL!$E$2,VLOOKUP(F5,{CCL!M:N;CCL!$P:$Q},2,FALSE))/(J5/VLOOKUP(D5,{CCL!M:N;CCL!$P:$Q},2,FALSE))-1))</f>
        <v>0.570926116</v>
      </c>
      <c r="T5" s="47">
        <f t="array" ref="T5">IF(B5=0,"...",(N5/IF(E5="ABIERTA",CCL!$E$2,VLOOKUP(F5,{CCL!M:N;CCL!$P:$Q},2,FALSE))-K5))</f>
        <v>96.72658985</v>
      </c>
      <c r="U5" s="2"/>
      <c r="V5" s="10" t="str">
        <f>IFERROR(__xludf.DUMMYFUNCTION("""COMPUTED_VALUE"""),"META")</f>
        <v>META</v>
      </c>
      <c r="W5" s="59">
        <f t="shared" si="6"/>
        <v>7</v>
      </c>
      <c r="X5" s="12">
        <f t="shared" si="7"/>
        <v>0.05021918605</v>
      </c>
      <c r="Y5" s="45">
        <f t="shared" si="8"/>
        <v>31650</v>
      </c>
      <c r="Z5" s="45">
        <f t="shared" si="9"/>
        <v>249679.92</v>
      </c>
      <c r="AA5" s="12">
        <f t="shared" si="10"/>
        <v>0.1269687204</v>
      </c>
      <c r="AB5" s="45">
        <f t="shared" si="11"/>
        <v>28129.92</v>
      </c>
      <c r="AC5" s="45">
        <f t="shared" si="12"/>
        <v>188.500251</v>
      </c>
      <c r="AD5" s="12">
        <f t="shared" si="13"/>
        <v>-0.1154268867</v>
      </c>
      <c r="AE5" s="46">
        <f t="shared" si="14"/>
        <v>-19.50643056</v>
      </c>
      <c r="AF5" s="2"/>
      <c r="AG5" s="2"/>
      <c r="AH5" s="2"/>
      <c r="AI5" s="2"/>
      <c r="AJ5" s="2"/>
      <c r="AK5" s="2"/>
    </row>
    <row r="6" ht="24.0" customHeight="1">
      <c r="A6" s="4" t="s">
        <v>88</v>
      </c>
      <c r="B6" s="4" t="s">
        <v>114</v>
      </c>
      <c r="C6" s="5" t="str">
        <f>IFERROR(__xludf.DUMMYFUNCTION("if(B6=0,""..."", sparkline(query(GOOGLEFINANCE(""BCBA:""&amp;B6,""price"",today()-$AI$36,today()),""select Col2"",0),{""charttype"",$AI$35}))"),"")</f>
        <v/>
      </c>
      <c r="D6" s="17">
        <v>45805.0</v>
      </c>
      <c r="E6" s="6" t="s">
        <v>24</v>
      </c>
      <c r="F6" s="7"/>
      <c r="G6" s="8">
        <f t="shared" si="1"/>
        <v>312</v>
      </c>
      <c r="H6" s="6">
        <v>11.0</v>
      </c>
      <c r="I6" s="44">
        <v>20700.0</v>
      </c>
      <c r="J6" s="45">
        <f t="shared" si="2"/>
        <v>227700</v>
      </c>
      <c r="K6" s="47">
        <f t="array" ref="K6">IF(B6=0,"...",J6/VLOOKUP(D6,{CCL!M:N;CCL!$P:$Q},2,FALSE))</f>
        <v>193.732824</v>
      </c>
      <c r="L6" s="45">
        <f>IFERROR(__xludf.DUMMYFUNCTION("if(B6=0,""..."",if(E6=""CERRADA"",""Valor Venta"", GOOGLEFINANCE(""BCBA:""&amp;B6)))"),29200.0)</f>
        <v>29200</v>
      </c>
      <c r="M6" s="45">
        <f>if(B6=0,"...",L6*(1-VLOOKUP(A6,Config!$B$3:$C$22,2,FALSE)))</f>
        <v>28995.6</v>
      </c>
      <c r="N6" s="45">
        <f t="shared" si="3"/>
        <v>318951.6</v>
      </c>
      <c r="O6" s="12">
        <f>IFERROR(__xludf.DUMMYFUNCTION("if(B6=0,""..."",GOOGLEFINANCE(B6,""changepct"")/100)"),-0.0026)</f>
        <v>-0.0026</v>
      </c>
      <c r="P6" s="10">
        <f>IFERROR(__xludf.DUMMYFUNCTION("if(B6=0,""..."",GOOGLEFINANCE(B6,""change"")*H6)"),-8.58)</f>
        <v>-8.58</v>
      </c>
      <c r="Q6" s="12">
        <f t="shared" si="4"/>
        <v>0.4007536232</v>
      </c>
      <c r="R6" s="47">
        <f t="shared" si="5"/>
        <v>91251.6</v>
      </c>
      <c r="S6" s="12">
        <f t="array" ref="S6">IF(B6=0,"...",(N6/IF(E6="ABIERTA",CCL!$E$2,VLOOKUP(F6,{CCL!M:N;CCL!$P:$Q},2,FALSE))/(J6/VLOOKUP(D6,{CCL!M:N;CCL!$P:$Q},2,FALSE))-1))</f>
        <v>0.1143170706</v>
      </c>
      <c r="T6" s="47">
        <f t="array" ref="T6">IF(B6=0,"...",(N6/IF(E6="ABIERTA",CCL!$E$2,VLOOKUP(F6,{CCL!M:N;CCL!$P:$Q},2,FALSE))-K6))</f>
        <v>22.14696891</v>
      </c>
      <c r="U6" s="2"/>
      <c r="V6" s="10" t="str">
        <f>IFERROR(__xludf.DUMMYFUNCTION("""COMPUTED_VALUE"""),"NVDA")</f>
        <v>NVDA</v>
      </c>
      <c r="W6" s="59">
        <f t="shared" si="6"/>
        <v>35</v>
      </c>
      <c r="X6" s="12">
        <f t="shared" si="7"/>
        <v>0.07626549551</v>
      </c>
      <c r="Y6" s="45">
        <f t="shared" si="8"/>
        <v>6700</v>
      </c>
      <c r="Z6" s="45">
        <f t="shared" si="9"/>
        <v>379177.05</v>
      </c>
      <c r="AA6" s="12">
        <f t="shared" si="10"/>
        <v>0.6169597015</v>
      </c>
      <c r="AB6" s="45">
        <f t="shared" si="11"/>
        <v>144677.05</v>
      </c>
      <c r="AC6" s="45">
        <f t="shared" si="12"/>
        <v>199.5184331</v>
      </c>
      <c r="AD6" s="12">
        <f t="shared" si="13"/>
        <v>0.2225834633</v>
      </c>
      <c r="AE6" s="46">
        <f t="shared" si="14"/>
        <v>57.12446512</v>
      </c>
      <c r="AF6" s="2"/>
      <c r="AG6" s="2"/>
      <c r="AH6" s="2"/>
      <c r="AI6" s="2"/>
      <c r="AJ6" s="2"/>
      <c r="AK6" s="2"/>
    </row>
    <row r="7" ht="24.0" customHeight="1">
      <c r="A7" s="4" t="s">
        <v>88</v>
      </c>
      <c r="B7" s="4" t="s">
        <v>115</v>
      </c>
      <c r="C7" s="5" t="str">
        <f>IFERROR(__xludf.DUMMYFUNCTION("if(B7=0,""..."", sparkline(query(GOOGLEFINANCE(""BCBA:""&amp;B7,""price"",today()-$AI$36,today()),""select Col2"",0),{""charttype"",$AI$35}))"),"")</f>
        <v/>
      </c>
      <c r="D7" s="17">
        <v>45805.0</v>
      </c>
      <c r="E7" s="6" t="s">
        <v>22</v>
      </c>
      <c r="F7" s="17">
        <v>45918.0</v>
      </c>
      <c r="G7" s="8">
        <f t="shared" si="1"/>
        <v>113</v>
      </c>
      <c r="H7" s="6">
        <v>42.0</v>
      </c>
      <c r="I7" s="44">
        <v>3505.0</v>
      </c>
      <c r="J7" s="45">
        <f t="shared" si="2"/>
        <v>147210</v>
      </c>
      <c r="K7" s="47">
        <f t="array" ref="K7">IF(B7=0,"...",J7/VLOOKUP(D7,{CCL!M:N;CCL!$P:$Q},2,FALSE))</f>
        <v>125.2499298</v>
      </c>
      <c r="L7" s="46">
        <v>6565.0</v>
      </c>
      <c r="M7" s="45">
        <f>if(B7=0,"...",L7*(1-VLOOKUP(A7,Config!$B$3:$C$22,2,FALSE)))</f>
        <v>6519.045</v>
      </c>
      <c r="N7" s="45">
        <f t="shared" si="3"/>
        <v>273799.89</v>
      </c>
      <c r="O7" s="12">
        <f>IFERROR(__xludf.DUMMYFUNCTION("if(B7=0,""..."",GOOGLEFINANCE(B7,""changepct"")/100)"),-0.0054)</f>
        <v>-0.0054</v>
      </c>
      <c r="P7" s="10">
        <f>IFERROR(__xludf.DUMMYFUNCTION("if(B7=0,""..."",GOOGLEFINANCE(B7,""change"")*H7)"),-68.04)</f>
        <v>-68.04</v>
      </c>
      <c r="Q7" s="12">
        <f t="shared" si="4"/>
        <v>0.8599272468</v>
      </c>
      <c r="R7" s="47">
        <f t="shared" si="5"/>
        <v>126589.89</v>
      </c>
      <c r="S7" s="12">
        <f t="array" ref="S7">IF(B7=0,"...",(N7/IF(E7="ABIERTA",CCL!$E$2,VLOOKUP(F7,{CCL!M:N;CCL!$P:$Q},2,FALSE))/(J7/VLOOKUP(D7,{CCL!M:N;CCL!$P:$Q},2,FALSE))-1))</f>
        <v>0.3976269362</v>
      </c>
      <c r="T7" s="47">
        <f t="array" ref="T7">IF(B7=0,"...",(N7/IF(E7="ABIERTA",CCL!$E$2,VLOOKUP(F7,{CCL!M:N;CCL!$P:$Q},2,FALSE))-K7))</f>
        <v>49.80274585</v>
      </c>
      <c r="U7" s="2"/>
      <c r="V7" s="10" t="str">
        <f>IFERROR(__xludf.DUMMYFUNCTION("""COMPUTED_VALUE"""),"MELI")</f>
        <v>MELI</v>
      </c>
      <c r="W7" s="59">
        <f t="shared" si="6"/>
        <v>88</v>
      </c>
      <c r="X7" s="12">
        <f t="shared" si="7"/>
        <v>0.3752458111</v>
      </c>
      <c r="Y7" s="45">
        <f t="shared" si="8"/>
        <v>27143.40909</v>
      </c>
      <c r="Z7" s="45">
        <f t="shared" si="9"/>
        <v>1865648.4</v>
      </c>
      <c r="AA7" s="12">
        <f t="shared" si="10"/>
        <v>-0.218942988</v>
      </c>
      <c r="AB7" s="45">
        <f t="shared" si="11"/>
        <v>-522971.6</v>
      </c>
      <c r="AC7" s="45">
        <f t="shared" si="12"/>
        <v>1615.519376</v>
      </c>
      <c r="AD7" s="12">
        <f t="shared" si="13"/>
        <v>-0.2793670564</v>
      </c>
      <c r="AE7" s="46">
        <f t="shared" si="14"/>
        <v>-352.7704503</v>
      </c>
      <c r="AF7" s="2"/>
      <c r="AG7" s="2"/>
      <c r="AH7" s="2"/>
      <c r="AI7" s="2"/>
      <c r="AJ7" s="2"/>
      <c r="AK7" s="2"/>
    </row>
    <row r="8" ht="24.0" customHeight="1">
      <c r="A8" s="4" t="s">
        <v>88</v>
      </c>
      <c r="B8" s="4" t="s">
        <v>116</v>
      </c>
      <c r="C8" s="5" t="str">
        <f>IFERROR(__xludf.DUMMYFUNCTION("if(B8=0,""..."", sparkline(query(GOOGLEFINANCE(""BCBA:""&amp;B8,""price"",today()-$AI$36,today()),""select Col2"",0),{""charttype"",$AI$35}))"),"")</f>
        <v/>
      </c>
      <c r="D8" s="17">
        <v>45805.0</v>
      </c>
      <c r="E8" s="6" t="s">
        <v>24</v>
      </c>
      <c r="F8" s="17"/>
      <c r="G8" s="8">
        <f t="shared" si="1"/>
        <v>312</v>
      </c>
      <c r="H8" s="6">
        <v>7.0</v>
      </c>
      <c r="I8" s="44">
        <v>31650.0</v>
      </c>
      <c r="J8" s="45">
        <f t="shared" si="2"/>
        <v>221550</v>
      </c>
      <c r="K8" s="47">
        <f t="array" ref="K8">IF(B8=0,"...",J8/VLOOKUP(D8,{CCL!M:N;CCL!$P:$Q},2,FALSE))</f>
        <v>188.500251</v>
      </c>
      <c r="L8" s="45">
        <f>IFERROR(__xludf.DUMMYFUNCTION("if(B8=0,""..."",if(E8=""CERRADA"",""Valor Venta"", GOOGLEFINANCE(""BCBA:""&amp;B8)))"),35920.0)</f>
        <v>35920</v>
      </c>
      <c r="M8" s="45">
        <f>if(B8=0,"...",L8*(1-VLOOKUP(A8,Config!$B$3:$C$22,2,FALSE)))</f>
        <v>35668.56</v>
      </c>
      <c r="N8" s="45">
        <f t="shared" si="3"/>
        <v>249679.92</v>
      </c>
      <c r="O8" s="12">
        <f>IFERROR(__xludf.DUMMYFUNCTION("if(B8=0,""..."",GOOGLEFINANCE(B8,""changepct"")/100)"),-0.008199999999999999)</f>
        <v>-0.0082</v>
      </c>
      <c r="P8" s="10">
        <f>IFERROR(__xludf.DUMMYFUNCTION("if(B8=0,""..."",GOOGLEFINANCE(B8,""change"")*H8)"),-33.39)</f>
        <v>-33.39</v>
      </c>
      <c r="Q8" s="12">
        <f t="shared" si="4"/>
        <v>0.1269687204</v>
      </c>
      <c r="R8" s="47">
        <f t="shared" si="5"/>
        <v>28129.92</v>
      </c>
      <c r="S8" s="12">
        <f t="array" ref="S8">IF(B8=0,"...",(N8/IF(E8="ABIERTA",CCL!$E$2,VLOOKUP(F8,{CCL!M:N;CCL!$P:$Q},2,FALSE))/(J8/VLOOKUP(D8,{CCL!M:N;CCL!$P:$Q},2,FALSE))-1))</f>
        <v>-0.1034822524</v>
      </c>
      <c r="T8" s="47">
        <f t="array" ref="T8">IF(B8=0,"...",(N8/IF(E8="ABIERTA",CCL!$E$2,VLOOKUP(F8,{CCL!M:N;CCL!$P:$Q},2,FALSE))-K8))</f>
        <v>-19.50643056</v>
      </c>
      <c r="U8" s="2"/>
      <c r="V8" s="10" t="str">
        <f>IFERROR(__xludf.DUMMYFUNCTION("""COMPUTED_VALUE"""),"AAPL")</f>
        <v>AAPL</v>
      </c>
      <c r="W8" s="59">
        <f t="shared" si="6"/>
        <v>28</v>
      </c>
      <c r="X8" s="12">
        <f t="shared" si="7"/>
        <v>0.1061984792</v>
      </c>
      <c r="Y8" s="45">
        <f t="shared" si="8"/>
        <v>16717.85714</v>
      </c>
      <c r="Z8" s="45">
        <f t="shared" si="9"/>
        <v>527997.96</v>
      </c>
      <c r="AA8" s="12">
        <f t="shared" si="10"/>
        <v>0.1279597522</v>
      </c>
      <c r="AB8" s="45">
        <f t="shared" si="11"/>
        <v>59897.96</v>
      </c>
      <c r="AC8" s="45">
        <f t="shared" si="12"/>
        <v>328.6188074</v>
      </c>
      <c r="AD8" s="12">
        <f t="shared" si="13"/>
        <v>0.08045505141</v>
      </c>
      <c r="AE8" s="46">
        <f t="shared" si="14"/>
        <v>28.75231176</v>
      </c>
      <c r="AF8" s="2"/>
      <c r="AG8" s="2"/>
      <c r="AH8" s="2"/>
      <c r="AI8" s="2"/>
      <c r="AJ8" s="2"/>
      <c r="AK8" s="2"/>
    </row>
    <row r="9" ht="24.0" customHeight="1">
      <c r="A9" s="4" t="s">
        <v>88</v>
      </c>
      <c r="B9" s="4" t="s">
        <v>117</v>
      </c>
      <c r="C9" s="5" t="str">
        <f>IFERROR(__xludf.DUMMYFUNCTION("if(B9=0,""..."", sparkline(query(GOOGLEFINANCE(""BCBA:""&amp;B9,""price"",today()-$AI$36,today()),""select Col2"",0),{""charttype"",$AI$35}))"),"")</f>
        <v/>
      </c>
      <c r="D9" s="17">
        <v>45805.0</v>
      </c>
      <c r="E9" s="6" t="s">
        <v>24</v>
      </c>
      <c r="F9" s="17"/>
      <c r="G9" s="8">
        <f t="shared" si="1"/>
        <v>312</v>
      </c>
      <c r="H9" s="6">
        <v>35.0</v>
      </c>
      <c r="I9" s="44">
        <v>6700.0</v>
      </c>
      <c r="J9" s="45">
        <f t="shared" si="2"/>
        <v>234500</v>
      </c>
      <c r="K9" s="47">
        <f t="array" ref="K9">IF(B9=0,"...",J9/VLOOKUP(D9,{CCL!M:N;CCL!$P:$Q},2,FALSE))</f>
        <v>199.5184331</v>
      </c>
      <c r="L9" s="45">
        <f>IFERROR(__xludf.DUMMYFUNCTION("if(B9=0,""..."",if(E9=""CERRADA"",""Valor Venta"", GOOGLEFINANCE(""BCBA:""&amp;B9)))"),10910.0)</f>
        <v>10910</v>
      </c>
      <c r="M9" s="45">
        <f>if(B9=0,"...",L9*(1-VLOOKUP(A9,Config!$B$3:$C$22,2,FALSE)))</f>
        <v>10833.63</v>
      </c>
      <c r="N9" s="45">
        <f t="shared" si="3"/>
        <v>379177.05</v>
      </c>
      <c r="O9" s="12">
        <f>IFERROR(__xludf.DUMMYFUNCTION("if(B9=0,""..."",GOOGLEFINANCE(B9,""changepct"")/100)"),0.009300000000000001)</f>
        <v>0.0093</v>
      </c>
      <c r="P9" s="10">
        <f>IFERROR(__xludf.DUMMYFUNCTION("if(B9=0,""..."",GOOGLEFINANCE(B9,""change"")*H9)"),57.4)</f>
        <v>57.4</v>
      </c>
      <c r="Q9" s="12">
        <f t="shared" si="4"/>
        <v>0.6169597015</v>
      </c>
      <c r="R9" s="47">
        <f t="shared" si="5"/>
        <v>144677.05</v>
      </c>
      <c r="S9" s="12">
        <f t="array" ref="S9">IF(B9=0,"...",(N9/IF(E9="ABIERTA",CCL!$E$2,VLOOKUP(F9,{CCL!M:N;CCL!$P:$Q},2,FALSE))/(J9/VLOOKUP(D9,{CCL!M:N;CCL!$P:$Q},2,FALSE))-1))</f>
        <v>0.2863117168</v>
      </c>
      <c r="T9" s="47">
        <f t="array" ref="T9">IF(B9=0,"...",(N9/IF(E9="ABIERTA",CCL!$E$2,VLOOKUP(F9,{CCL!M:N;CCL!$P:$Q},2,FALSE))-K9))</f>
        <v>57.12446512</v>
      </c>
      <c r="U9" s="2"/>
      <c r="V9" s="10" t="str">
        <f>IFERROR(__xludf.DUMMYFUNCTION("""COMPUTED_VALUE"""),"GLD")</f>
        <v>GLD</v>
      </c>
      <c r="W9" s="59">
        <f t="shared" si="6"/>
        <v>10</v>
      </c>
      <c r="X9" s="12">
        <f t="shared" si="7"/>
        <v>0.02534254599</v>
      </c>
      <c r="Y9" s="45">
        <f t="shared" si="8"/>
        <v>10870</v>
      </c>
      <c r="Z9" s="45">
        <f t="shared" si="9"/>
        <v>125998.1564</v>
      </c>
      <c r="AA9" s="12">
        <f t="shared" si="10"/>
        <v>0.1591366732</v>
      </c>
      <c r="AB9" s="45">
        <f t="shared" si="11"/>
        <v>17298.15637</v>
      </c>
      <c r="AC9" s="45">
        <f t="shared" si="12"/>
        <v>73.09037117</v>
      </c>
      <c r="AD9" s="12">
        <f t="shared" si="13"/>
        <v>0.1429448494</v>
      </c>
      <c r="AE9" s="46">
        <f t="shared" si="14"/>
        <v>12.19045483</v>
      </c>
      <c r="AF9" s="2"/>
      <c r="AG9" s="2"/>
      <c r="AH9" s="2"/>
      <c r="AI9" s="2"/>
      <c r="AJ9" s="2"/>
      <c r="AK9" s="2"/>
    </row>
    <row r="10" ht="24.0" customHeight="1">
      <c r="A10" s="4" t="s">
        <v>88</v>
      </c>
      <c r="B10" s="4" t="s">
        <v>118</v>
      </c>
      <c r="C10" s="5" t="str">
        <f>IFERROR(__xludf.DUMMYFUNCTION("if(B10=0,""..."", sparkline(query(GOOGLEFINANCE(""BCBA:""&amp;B10,""price"",today()-$AI$36,today()),""select Col2"",0),{""charttype"",$AI$35}))"),"")</f>
        <v/>
      </c>
      <c r="D10" s="17">
        <v>45805.0</v>
      </c>
      <c r="E10" s="6" t="s">
        <v>22</v>
      </c>
      <c r="F10" s="17">
        <v>46035.0</v>
      </c>
      <c r="G10" s="8">
        <f t="shared" si="1"/>
        <v>230</v>
      </c>
      <c r="H10" s="6">
        <v>129.0</v>
      </c>
      <c r="I10" s="44">
        <v>1680.0</v>
      </c>
      <c r="J10" s="45">
        <f t="shared" si="2"/>
        <v>216720</v>
      </c>
      <c r="K10" s="47">
        <f t="array" ref="K10">IF(B10=0,"...",J10/VLOOKUP(D10,{CCL!M:N;CCL!$P:$Q},2,FALSE))</f>
        <v>184.3907668</v>
      </c>
      <c r="L10" s="46">
        <v>2625.0</v>
      </c>
      <c r="M10" s="45">
        <f>if(B10=0,"...",L10*(1-VLOOKUP(A10,Config!$B$3:$C$22,2,FALSE)))</f>
        <v>2606.625</v>
      </c>
      <c r="N10" s="45">
        <f t="shared" si="3"/>
        <v>336254.625</v>
      </c>
      <c r="O10" s="12">
        <f>IFERROR(__xludf.DUMMYFUNCTION("if(B10=0,""..."",GOOGLEFINANCE(B10,""changepct"")/100)"),-0.0038)</f>
        <v>-0.0038</v>
      </c>
      <c r="P10" s="10">
        <f>IFERROR(__xludf.DUMMYFUNCTION("if(B10=0,""..."",GOOGLEFINANCE(B10,""change"")*H10)"),-103.2)</f>
        <v>-103.2</v>
      </c>
      <c r="Q10" s="12">
        <f t="shared" si="4"/>
        <v>0.5515625</v>
      </c>
      <c r="R10" s="47">
        <f t="shared" si="5"/>
        <v>119534.625</v>
      </c>
      <c r="S10" s="12">
        <f t="array" ref="S10">IF(B10=0,"...",(N10/IF(E10="ABIERTA",CCL!$E$2,VLOOKUP(F10,{CCL!M:N;CCL!$P:$Q},2,FALSE))/(J10/VLOOKUP(D10,{CCL!M:N;CCL!$P:$Q},2,FALSE))-1))</f>
        <v>0.1979071109</v>
      </c>
      <c r="T10" s="47">
        <f t="array" ref="T10">IF(B10=0,"...",(N10/IF(E10="ABIERTA",CCL!$E$2,VLOOKUP(F10,{CCL!M:N;CCL!$P:$Q},2,FALSE))-K10))</f>
        <v>36.49224395</v>
      </c>
      <c r="U10" s="2"/>
      <c r="V10" s="10" t="str">
        <f>IFERROR(__xludf.DUMMYFUNCTION("""COMPUTED_VALUE"""),"KO")</f>
        <v>KO</v>
      </c>
      <c r="W10" s="59">
        <f t="shared" si="6"/>
        <v>5</v>
      </c>
      <c r="X10" s="12">
        <f t="shared" si="7"/>
        <v>0.02263897844</v>
      </c>
      <c r="Y10" s="45">
        <f t="shared" si="8"/>
        <v>20690</v>
      </c>
      <c r="Z10" s="45">
        <f t="shared" si="9"/>
        <v>112556.55</v>
      </c>
      <c r="AA10" s="12">
        <f t="shared" si="10"/>
        <v>0.08802851619</v>
      </c>
      <c r="AB10" s="45">
        <f t="shared" si="11"/>
        <v>9106.55</v>
      </c>
      <c r="AC10" s="45">
        <f t="shared" si="12"/>
        <v>68.36279531</v>
      </c>
      <c r="AD10" s="12">
        <f t="shared" si="13"/>
        <v>0.102650073</v>
      </c>
      <c r="AE10" s="46">
        <f t="shared" si="14"/>
        <v>7.820188888</v>
      </c>
      <c r="AF10" s="2"/>
      <c r="AG10" s="2"/>
      <c r="AH10" s="2"/>
      <c r="AI10" s="2"/>
      <c r="AJ10" s="2"/>
      <c r="AK10" s="2"/>
    </row>
    <row r="11" ht="24.0" customHeight="1">
      <c r="A11" s="4" t="s">
        <v>88</v>
      </c>
      <c r="B11" s="4" t="s">
        <v>119</v>
      </c>
      <c r="C11" s="5" t="str">
        <f>IFERROR(__xludf.DUMMYFUNCTION("if(B11=0,""..."", sparkline(query(GOOGLEFINANCE(""BCBA:""&amp;B11,""price"",today()-$AI$36,today()),""select Col2"",0),{""charttype"",$AI$35}))"),"")</f>
        <v/>
      </c>
      <c r="D11" s="17">
        <v>45818.0</v>
      </c>
      <c r="E11" s="6" t="s">
        <v>22</v>
      </c>
      <c r="F11" s="17">
        <v>45978.0</v>
      </c>
      <c r="G11" s="8">
        <f t="shared" si="1"/>
        <v>160</v>
      </c>
      <c r="H11" s="6">
        <v>10.0</v>
      </c>
      <c r="I11" s="44">
        <v>12075.0</v>
      </c>
      <c r="J11" s="45">
        <f t="shared" si="2"/>
        <v>120750</v>
      </c>
      <c r="K11" s="47">
        <f t="array" ref="K11">IF(B11=0,"...",J11/VLOOKUP(D11,{CCL!M:N;CCL!$P:$Q},2,FALSE))</f>
        <v>101.1433597</v>
      </c>
      <c r="L11" s="46">
        <v>19900.0</v>
      </c>
      <c r="M11" s="45">
        <f>if(B11=0,"...",L11*(1-VLOOKUP(A11,Config!$B$3:$C$22,2,FALSE)))</f>
        <v>19760.7</v>
      </c>
      <c r="N11" s="45">
        <f t="shared" si="3"/>
        <v>197607</v>
      </c>
      <c r="O11" s="12">
        <f>IFERROR(__xludf.DUMMYFUNCTION("if(B11=0,""..."",GOOGLEFINANCE(B11,""changepct"")/100)"),0.0011)</f>
        <v>0.0011</v>
      </c>
      <c r="P11" s="10">
        <f>IFERROR(__xludf.DUMMYFUNCTION("if(B11=0,""..."",GOOGLEFINANCE(B11,""change"")*H11)"),2.9)</f>
        <v>2.9</v>
      </c>
      <c r="Q11" s="12">
        <f t="shared" si="4"/>
        <v>0.6364968944</v>
      </c>
      <c r="R11" s="47">
        <f t="shared" si="5"/>
        <v>76857</v>
      </c>
      <c r="S11" s="12">
        <f t="array" ref="S11">IF(B11=0,"...",(N11/IF(E11="ABIERTA",CCL!$E$2,VLOOKUP(F11,{CCL!M:N;CCL!$P:$Q},2,FALSE))/(J11/VLOOKUP(D11,{CCL!M:N;CCL!$P:$Q},2,FALSE))-1))</f>
        <v>0.3076662366</v>
      </c>
      <c r="T11" s="47">
        <f t="array" ref="T11">IF(B11=0,"...",(N11/IF(E11="ABIERTA",CCL!$E$2,VLOOKUP(F11,{CCL!M:N;CCL!$P:$Q},2,FALSE))-K11))</f>
        <v>31.11839684</v>
      </c>
      <c r="U11" s="2"/>
      <c r="V11" s="10" t="str">
        <f>IFERROR(__xludf.DUMMYFUNCTION("""COMPUTED_VALUE"""),"NFLX")</f>
        <v>NFLX</v>
      </c>
      <c r="W11" s="59">
        <f t="shared" si="6"/>
        <v>90</v>
      </c>
      <c r="X11" s="12">
        <f t="shared" si="7"/>
        <v>0.05316215338</v>
      </c>
      <c r="Y11" s="45">
        <f t="shared" si="8"/>
        <v>3448</v>
      </c>
      <c r="Z11" s="45">
        <f t="shared" si="9"/>
        <v>264311.775</v>
      </c>
      <c r="AA11" s="12">
        <f t="shared" si="10"/>
        <v>-0.1482605858</v>
      </c>
      <c r="AB11" s="45">
        <f t="shared" si="11"/>
        <v>-46008.225</v>
      </c>
      <c r="AC11" s="45">
        <f t="shared" si="12"/>
        <v>205.068561</v>
      </c>
      <c r="AD11" s="12">
        <f t="shared" si="13"/>
        <v>-0.1462922736</v>
      </c>
      <c r="AE11" s="46">
        <f t="shared" si="14"/>
        <v>-26.17128872</v>
      </c>
      <c r="AF11" s="2"/>
      <c r="AG11" s="2"/>
      <c r="AH11" s="2"/>
      <c r="AI11" s="2"/>
      <c r="AJ11" s="2"/>
      <c r="AK11" s="2"/>
    </row>
    <row r="12" ht="24.0" customHeight="1">
      <c r="A12" s="4" t="s">
        <v>88</v>
      </c>
      <c r="B12" s="4" t="s">
        <v>119</v>
      </c>
      <c r="C12" s="5" t="str">
        <f>IFERROR(__xludf.DUMMYFUNCTION("if(B12=0,""..."", sparkline(query(GOOGLEFINANCE(""BCBA:""&amp;B12,""price"",today()-$AI$36,today()),""select Col2"",0),{""charttype"",$AI$35}))"),"")</f>
        <v/>
      </c>
      <c r="D12" s="17">
        <v>45839.0</v>
      </c>
      <c r="E12" s="6" t="s">
        <v>22</v>
      </c>
      <c r="F12" s="17">
        <v>45978.0</v>
      </c>
      <c r="G12" s="8">
        <f t="shared" si="1"/>
        <v>139</v>
      </c>
      <c r="H12" s="6">
        <v>15.0</v>
      </c>
      <c r="I12" s="44">
        <v>12675.0</v>
      </c>
      <c r="J12" s="45">
        <f t="shared" si="2"/>
        <v>190125</v>
      </c>
      <c r="K12" s="47">
        <f t="array" ref="K12">IF(B12=0,"...",J12/VLOOKUP(D12,{CCL!M:N;CCL!$P:$Q},2,FALSE))</f>
        <v>154.1870763</v>
      </c>
      <c r="L12" s="46">
        <v>19900.0</v>
      </c>
      <c r="M12" s="45">
        <f>if(B12=0,"...",L12*(1-VLOOKUP(A12,Config!$B$3:$C$22,2,FALSE)))</f>
        <v>19760.7</v>
      </c>
      <c r="N12" s="45">
        <f t="shared" si="3"/>
        <v>296410.5</v>
      </c>
      <c r="O12" s="12">
        <f>IFERROR(__xludf.DUMMYFUNCTION("if(B12=0,""..."",GOOGLEFINANCE(B12,""changepct"")/100)"),0.0011)</f>
        <v>0.0011</v>
      </c>
      <c r="P12" s="10">
        <f>IFERROR(__xludf.DUMMYFUNCTION("if(B12=0,""..."",GOOGLEFINANCE(B12,""change"")*H12)"),4.35)</f>
        <v>4.35</v>
      </c>
      <c r="Q12" s="12">
        <f t="shared" si="4"/>
        <v>0.5590295858</v>
      </c>
      <c r="R12" s="47">
        <f t="shared" si="5"/>
        <v>106285.5</v>
      </c>
      <c r="S12" s="12">
        <f t="array" ref="S12">IF(B12=0,"...",(N12/IF(E12="ABIERTA",CCL!$E$2,VLOOKUP(F12,{CCL!M:N;CCL!$P:$Q},2,FALSE))/(J12/VLOOKUP(D12,{CCL!M:N;CCL!$P:$Q},2,FALSE))-1))</f>
        <v>0.286700803</v>
      </c>
      <c r="T12" s="47">
        <f t="array" ref="T12">IF(B12=0,"...",(N12/IF(E12="ABIERTA",CCL!$E$2,VLOOKUP(F12,{CCL!M:N;CCL!$P:$Q},2,FALSE))-K12))</f>
        <v>44.20555857</v>
      </c>
      <c r="U12" s="2"/>
      <c r="V12" s="10" t="str">
        <f>IFERROR(__xludf.DUMMYFUNCTION("""COMPUTED_VALUE"""),"PFE")</f>
        <v>PFE</v>
      </c>
      <c r="W12" s="59">
        <f t="shared" si="6"/>
        <v>10</v>
      </c>
      <c r="X12" s="12">
        <f t="shared" si="7"/>
        <v>0.02117098998</v>
      </c>
      <c r="Y12" s="45">
        <f t="shared" si="8"/>
        <v>9740</v>
      </c>
      <c r="Z12" s="45">
        <f t="shared" si="9"/>
        <v>105258</v>
      </c>
      <c r="AA12" s="12">
        <f t="shared" si="10"/>
        <v>0.08067761807</v>
      </c>
      <c r="AB12" s="45">
        <f t="shared" si="11"/>
        <v>7858</v>
      </c>
      <c r="AC12" s="45">
        <f t="shared" si="12"/>
        <v>65.04607987</v>
      </c>
      <c r="AD12" s="12">
        <f t="shared" si="13"/>
        <v>0.08698312046</v>
      </c>
      <c r="AE12" s="46">
        <f t="shared" si="14"/>
        <v>6.196940197</v>
      </c>
      <c r="AF12" s="2"/>
      <c r="AG12" s="2"/>
      <c r="AH12" s="2"/>
      <c r="AI12" s="2"/>
      <c r="AJ12" s="2"/>
      <c r="AK12" s="2"/>
    </row>
    <row r="13" ht="24.0" customHeight="1">
      <c r="A13" s="4" t="s">
        <v>88</v>
      </c>
      <c r="B13" s="4" t="s">
        <v>118</v>
      </c>
      <c r="C13" s="5" t="str">
        <f>IFERROR(__xludf.DUMMYFUNCTION("if(B13=0,""..."", sparkline(query(GOOGLEFINANCE(""BCBA:""&amp;B13,""price"",today()-$AI$36,today()),""select Col2"",0),{""charttype"",$AI$35}))"),"")</f>
        <v/>
      </c>
      <c r="D13" s="17">
        <v>45839.0</v>
      </c>
      <c r="E13" s="6" t="s">
        <v>22</v>
      </c>
      <c r="F13" s="17">
        <v>46035.0</v>
      </c>
      <c r="G13" s="8">
        <f t="shared" si="1"/>
        <v>196</v>
      </c>
      <c r="H13" s="6">
        <v>107.0</v>
      </c>
      <c r="I13" s="44">
        <v>1855.0</v>
      </c>
      <c r="J13" s="45">
        <f t="shared" si="2"/>
        <v>198485</v>
      </c>
      <c r="K13" s="47">
        <f t="array" ref="K13">IF(B13=0,"...",J13/VLOOKUP(D13,{CCL!M:N;CCL!$P:$Q},2,FALSE))</f>
        <v>160.9668472</v>
      </c>
      <c r="L13" s="46">
        <v>2625.0</v>
      </c>
      <c r="M13" s="45">
        <f>if(B13=0,"...",L13*(1-VLOOKUP(A13,Config!$B$3:$C$22,2,FALSE)))</f>
        <v>2606.625</v>
      </c>
      <c r="N13" s="45">
        <f t="shared" si="3"/>
        <v>278908.875</v>
      </c>
      <c r="O13" s="12">
        <f>IFERROR(__xludf.DUMMYFUNCTION("if(B13=0,""..."",GOOGLEFINANCE(B13,""changepct"")/100)"),-0.0038)</f>
        <v>-0.0038</v>
      </c>
      <c r="P13" s="10">
        <f>IFERROR(__xludf.DUMMYFUNCTION("if(B13=0,""..."",GOOGLEFINANCE(B13,""change"")*H13)"),-85.60000000000001)</f>
        <v>-85.6</v>
      </c>
      <c r="Q13" s="12">
        <f t="shared" si="4"/>
        <v>0.4051886792</v>
      </c>
      <c r="R13" s="47">
        <f t="shared" si="5"/>
        <v>80423.875</v>
      </c>
      <c r="S13" s="12">
        <f t="array" ref="S13">IF(B13=0,"...",(N13/IF(E13="ABIERTA",CCL!$E$2,VLOOKUP(F13,{CCL!M:N;CCL!$P:$Q},2,FALSE))/(J13/VLOOKUP(D13,{CCL!M:N;CCL!$P:$Q},2,FALSE))-1))</f>
        <v>0.1382035686</v>
      </c>
      <c r="T13" s="47">
        <f t="array" ref="T13">IF(B13=0,"...",(N13/IF(E13="ABIERTA",CCL!$E$2,VLOOKUP(F13,{CCL!M:N;CCL!$P:$Q},2,FALSE))-K13))</f>
        <v>22.24619272</v>
      </c>
      <c r="U13" s="2"/>
      <c r="V13" s="10" t="str">
        <f>IFERROR(__xludf.DUMMYFUNCTION("""COMPUTED_VALUE"""),"ADBE")</f>
        <v>ADBE</v>
      </c>
      <c r="W13" s="59">
        <f t="shared" si="6"/>
        <v>9</v>
      </c>
      <c r="X13" s="12">
        <f t="shared" si="7"/>
        <v>0.01470385172</v>
      </c>
      <c r="Y13" s="45">
        <f t="shared" si="8"/>
        <v>10300</v>
      </c>
      <c r="Z13" s="45">
        <f t="shared" si="9"/>
        <v>73104.66</v>
      </c>
      <c r="AA13" s="12">
        <f t="shared" si="10"/>
        <v>-0.211384466</v>
      </c>
      <c r="AB13" s="45">
        <f t="shared" si="11"/>
        <v>-19595.34</v>
      </c>
      <c r="AC13" s="45">
        <f t="shared" si="12"/>
        <v>61.907306</v>
      </c>
      <c r="AD13" s="12">
        <f t="shared" si="13"/>
        <v>-0.2511507371</v>
      </c>
      <c r="AE13" s="46">
        <f t="shared" si="14"/>
        <v>-12.42701225</v>
      </c>
      <c r="AF13" s="2"/>
      <c r="AG13" s="2"/>
      <c r="AH13" s="2"/>
      <c r="AI13" s="2"/>
      <c r="AJ13" s="2"/>
      <c r="AK13" s="2"/>
    </row>
    <row r="14" ht="24.0" customHeight="1">
      <c r="A14" s="4" t="s">
        <v>88</v>
      </c>
      <c r="B14" s="4" t="s">
        <v>115</v>
      </c>
      <c r="C14" s="5" t="str">
        <f>IFERROR(__xludf.DUMMYFUNCTION("if(B14=0,""..."", sparkline(query(GOOGLEFINANCE(""BCBA:""&amp;B14,""price"",today()-$AI$36,today()),""select Col2"",0),{""charttype"",$AI$35}))"),"")</f>
        <v/>
      </c>
      <c r="D14" s="17">
        <v>45839.0</v>
      </c>
      <c r="E14" s="6" t="s">
        <v>22</v>
      </c>
      <c r="F14" s="17">
        <v>45918.0</v>
      </c>
      <c r="G14" s="8">
        <f t="shared" si="1"/>
        <v>79</v>
      </c>
      <c r="H14" s="6">
        <v>54.0</v>
      </c>
      <c r="I14" s="44">
        <v>3660.0</v>
      </c>
      <c r="J14" s="45">
        <f t="shared" si="2"/>
        <v>197640</v>
      </c>
      <c r="K14" s="47">
        <f t="array" ref="K14">IF(B14=0,"...",J14/VLOOKUP(D14,{CCL!M:N;CCL!$P:$Q},2,FALSE))</f>
        <v>160.2815713</v>
      </c>
      <c r="L14" s="46">
        <v>6565.0</v>
      </c>
      <c r="M14" s="45">
        <f>if(B14=0,"...",L14*(1-VLOOKUP(A14,Config!$B$3:$C$22,2,FALSE)))</f>
        <v>6519.045</v>
      </c>
      <c r="N14" s="45">
        <f t="shared" si="3"/>
        <v>352028.43</v>
      </c>
      <c r="O14" s="12">
        <f>IFERROR(__xludf.DUMMYFUNCTION("if(B14=0,""..."",GOOGLEFINANCE(B14,""changepct"")/100)"),-0.0054)</f>
        <v>-0.0054</v>
      </c>
      <c r="P14" s="10">
        <f>IFERROR(__xludf.DUMMYFUNCTION("if(B14=0,""..."",GOOGLEFINANCE(B14,""change"")*H14)"),-87.48)</f>
        <v>-87.48</v>
      </c>
      <c r="Q14" s="12">
        <f t="shared" si="4"/>
        <v>0.7811598361</v>
      </c>
      <c r="R14" s="47">
        <f t="shared" si="5"/>
        <v>154388.43</v>
      </c>
      <c r="S14" s="12">
        <f t="array" ref="S14">IF(B14=0,"...",(N14/IF(E14="ABIERTA",CCL!$E$2,VLOOKUP(F14,{CCL!M:N;CCL!$P:$Q},2,FALSE))/(J14/VLOOKUP(D14,{CCL!M:N;CCL!$P:$Q},2,FALSE))-1))</f>
        <v>0.4042021422</v>
      </c>
      <c r="T14" s="47">
        <f t="array" ref="T14">IF(B14=0,"...",(N14/IF(E14="ABIERTA",CCL!$E$2,VLOOKUP(F14,{CCL!M:N;CCL!$P:$Q},2,FALSE))-K14))</f>
        <v>64.7861545</v>
      </c>
      <c r="U14" s="2"/>
      <c r="V14" s="10" t="str">
        <f>IFERROR(__xludf.DUMMYFUNCTION("""COMPUTED_VALUE"""),"INTC")</f>
        <v>INTC</v>
      </c>
      <c r="W14" s="59">
        <f t="shared" si="6"/>
        <v>6</v>
      </c>
      <c r="X14" s="12">
        <f t="shared" si="7"/>
        <v>0.01705263325</v>
      </c>
      <c r="Y14" s="45">
        <f t="shared" si="8"/>
        <v>14660</v>
      </c>
      <c r="Z14" s="45">
        <f t="shared" si="9"/>
        <v>84782.34</v>
      </c>
      <c r="AA14" s="12">
        <f t="shared" si="10"/>
        <v>-0.03612619372</v>
      </c>
      <c r="AB14" s="45">
        <f t="shared" si="11"/>
        <v>-3177.66</v>
      </c>
      <c r="AC14" s="45">
        <f t="shared" si="12"/>
        <v>58.74181915</v>
      </c>
      <c r="AD14" s="12">
        <f t="shared" si="13"/>
        <v>-0.02365776538</v>
      </c>
      <c r="AE14" s="46">
        <f t="shared" si="14"/>
        <v>-1.3575828</v>
      </c>
      <c r="AF14" s="2"/>
      <c r="AG14" s="2"/>
      <c r="AH14" s="2"/>
      <c r="AI14" s="2"/>
      <c r="AJ14" s="2"/>
      <c r="AK14" s="2"/>
    </row>
    <row r="15" ht="24.0" customHeight="1">
      <c r="A15" s="4" t="s">
        <v>88</v>
      </c>
      <c r="B15" s="4" t="s">
        <v>120</v>
      </c>
      <c r="C15" s="5" t="str">
        <f>IFERROR(__xludf.DUMMYFUNCTION("if(B15=0,""..."", sparkline(query(GOOGLEFINANCE(""BCBA:""&amp;B15,""price"",today()-$AI$36,today()),""select Col2"",0),{""charttype"",$AI$35}))"),"")</f>
        <v/>
      </c>
      <c r="D15" s="17">
        <v>45840.0</v>
      </c>
      <c r="E15" s="6" t="s">
        <v>24</v>
      </c>
      <c r="F15" s="17"/>
      <c r="G15" s="8">
        <f t="shared" si="1"/>
        <v>277</v>
      </c>
      <c r="H15" s="6">
        <v>8.0</v>
      </c>
      <c r="I15" s="44">
        <v>25875.0</v>
      </c>
      <c r="J15" s="45">
        <f t="shared" si="2"/>
        <v>207000</v>
      </c>
      <c r="K15" s="47">
        <f t="array" ref="K15">IF(B15=0,"...",J15/VLOOKUP(D15,{CCL!M:N;CCL!$P:$Q},2,FALSE))</f>
        <v>167.5136762</v>
      </c>
      <c r="L15" s="45">
        <f>IFERROR(__xludf.DUMMYFUNCTION("if(B15=0,""..."",if(E15=""CERRADA"",""Valor Venta"", GOOGLEFINANCE(""BCBA:""&amp;B15)))"),21350.0)</f>
        <v>21350</v>
      </c>
      <c r="M15" s="45">
        <f>if(B15=0,"...",L15*(1-VLOOKUP(A15,Config!$B$3:$C$22,2,FALSE)))</f>
        <v>21200.55</v>
      </c>
      <c r="N15" s="45">
        <f t="shared" si="3"/>
        <v>169604.4</v>
      </c>
      <c r="O15" s="12">
        <f>IFERROR(__xludf.DUMMYFUNCTION("if(B15=0,""..."",GOOGLEFINANCE(B15,""changepct"")/100)"),-0.002)</f>
        <v>-0.002</v>
      </c>
      <c r="P15" s="10">
        <f>IFERROR(__xludf.DUMMYFUNCTION("if(B15=0,""..."",GOOGLEFINANCE(B15,""change"")*H15)"),-27.6)</f>
        <v>-27.6</v>
      </c>
      <c r="Q15" s="12">
        <f t="shared" si="4"/>
        <v>-0.1806550725</v>
      </c>
      <c r="R15" s="47">
        <f t="shared" si="5"/>
        <v>-37395.6</v>
      </c>
      <c r="S15" s="12">
        <f t="array" ref="S15">IF(B15=0,"...",(N15/IF(E15="ABIERTA",CCL!$E$2,VLOOKUP(F15,{CCL!M:N;CCL!$P:$Q},2,FALSE))/(J15/VLOOKUP(D15,{CCL!M:N;CCL!$P:$Q},2,FALSE))-1))</f>
        <v>-0.3147105392</v>
      </c>
      <c r="T15" s="47">
        <f t="array" ref="T15">IF(B15=0,"...",(N15/IF(E15="ABIERTA",CCL!$E$2,VLOOKUP(F15,{CCL!M:N;CCL!$P:$Q},2,FALSE))-K15))</f>
        <v>-52.71831937</v>
      </c>
      <c r="U15" s="2"/>
      <c r="V15" s="10" t="str">
        <f>IFERROR(__xludf.DUMMYFUNCTION("""COMPUTED_VALUE"""),"SPXL")</f>
        <v>SPXL</v>
      </c>
      <c r="W15" s="59">
        <f t="shared" si="6"/>
        <v>17</v>
      </c>
      <c r="X15" s="12">
        <f t="shared" si="7"/>
        <v>0.03809579839</v>
      </c>
      <c r="Y15" s="45">
        <f t="shared" si="8"/>
        <v>13470</v>
      </c>
      <c r="Z15" s="45">
        <f t="shared" si="9"/>
        <v>189404.82</v>
      </c>
      <c r="AA15" s="12">
        <f t="shared" si="10"/>
        <v>-0.1728685969</v>
      </c>
      <c r="AB15" s="45">
        <f t="shared" si="11"/>
        <v>-39585.18</v>
      </c>
      <c r="AC15" s="45">
        <f t="shared" si="12"/>
        <v>153.891129</v>
      </c>
      <c r="AD15" s="12">
        <f t="shared" si="13"/>
        <v>-0.2004258846</v>
      </c>
      <c r="AE15" s="46">
        <f t="shared" si="14"/>
        <v>-25.69401915</v>
      </c>
      <c r="AF15" s="2"/>
      <c r="AG15" s="2"/>
      <c r="AH15" s="2"/>
      <c r="AI15" s="2"/>
      <c r="AJ15" s="2"/>
      <c r="AK15" s="2"/>
    </row>
    <row r="16" ht="24.0" customHeight="1">
      <c r="A16" s="4" t="s">
        <v>88</v>
      </c>
      <c r="B16" s="4" t="s">
        <v>120</v>
      </c>
      <c r="C16" s="5" t="str">
        <f>IFERROR(__xludf.DUMMYFUNCTION("if(B16=0,""..."", sparkline(query(GOOGLEFINANCE(""BCBA:""&amp;B16,""price"",today()-$AI$36,today()),""select Col2"",0),{""charttype"",$AI$35}))"),"")</f>
        <v/>
      </c>
      <c r="D16" s="17">
        <v>45866.0</v>
      </c>
      <c r="E16" s="6" t="s">
        <v>24</v>
      </c>
      <c r="F16" s="17"/>
      <c r="G16" s="8">
        <f t="shared" si="1"/>
        <v>251</v>
      </c>
      <c r="H16" s="6">
        <v>5.0</v>
      </c>
      <c r="I16" s="44">
        <v>25500.0</v>
      </c>
      <c r="J16" s="45">
        <f t="shared" si="2"/>
        <v>127500</v>
      </c>
      <c r="K16" s="47">
        <f t="array" ref="K16">IF(B16=0,"...",J16/VLOOKUP(D16,{CCL!M:N;CCL!$P:$Q},2,FALSE))</f>
        <v>98.09578765</v>
      </c>
      <c r="L16" s="45">
        <f>IFERROR(__xludf.DUMMYFUNCTION("if(B16=0,""..."",if(E16=""CERRADA"",""Valor Venta"", GOOGLEFINANCE(""BCBA:""&amp;B16)))"),21350.0)</f>
        <v>21350</v>
      </c>
      <c r="M16" s="45">
        <f>if(B16=0,"...",L16*(1-VLOOKUP(A16,Config!$B$3:$C$22,2,FALSE)))</f>
        <v>21200.55</v>
      </c>
      <c r="N16" s="45">
        <f t="shared" si="3"/>
        <v>106002.75</v>
      </c>
      <c r="O16" s="12">
        <f>IFERROR(__xludf.DUMMYFUNCTION("if(B16=0,""..."",GOOGLEFINANCE(B16,""changepct"")/100)"),-0.002)</f>
        <v>-0.002</v>
      </c>
      <c r="P16" s="10">
        <f>IFERROR(__xludf.DUMMYFUNCTION("if(B16=0,""..."",GOOGLEFINANCE(B16,""change"")*H16)"),-17.25)</f>
        <v>-17.25</v>
      </c>
      <c r="Q16" s="12">
        <f t="shared" si="4"/>
        <v>-0.1686058824</v>
      </c>
      <c r="R16" s="47">
        <f t="shared" si="5"/>
        <v>-21497.25</v>
      </c>
      <c r="S16" s="12">
        <f t="array" ref="S16">IF(B16=0,"...",(N16/IF(E16="ABIERTA",CCL!$E$2,VLOOKUP(F16,{CCL!M:N;CCL!$P:$Q},2,FALSE))/(J16/VLOOKUP(D16,{CCL!M:N;CCL!$P:$Q},2,FALSE))-1))</f>
        <v>-0.2686016417</v>
      </c>
      <c r="T16" s="47">
        <f t="array" ref="T16">IF(B16=0,"...",(N16/IF(E16="ABIERTA",CCL!$E$2,VLOOKUP(F16,{CCL!M:N;CCL!$P:$Q},2,FALSE))-K16))</f>
        <v>-26.34868961</v>
      </c>
      <c r="U16" s="2"/>
      <c r="V16" s="10"/>
      <c r="W16" s="59" t="str">
        <f t="shared" si="6"/>
        <v>...</v>
      </c>
      <c r="X16" s="12" t="str">
        <f t="shared" si="7"/>
        <v/>
      </c>
      <c r="Y16" s="45" t="str">
        <f t="shared" si="8"/>
        <v>...</v>
      </c>
      <c r="Z16" s="45" t="str">
        <f t="shared" si="9"/>
        <v>...</v>
      </c>
      <c r="AA16" s="12" t="str">
        <f t="shared" si="10"/>
        <v>...</v>
      </c>
      <c r="AB16" s="45" t="str">
        <f t="shared" si="11"/>
        <v>...</v>
      </c>
      <c r="AC16" s="45" t="str">
        <f t="shared" si="12"/>
        <v>...</v>
      </c>
      <c r="AD16" s="12" t="str">
        <f t="shared" si="13"/>
        <v>...</v>
      </c>
      <c r="AE16" s="46" t="str">
        <f t="shared" si="14"/>
        <v>...</v>
      </c>
      <c r="AF16" s="2"/>
      <c r="AG16" s="2"/>
      <c r="AH16" s="2"/>
      <c r="AI16" s="2"/>
      <c r="AJ16" s="2"/>
      <c r="AK16" s="2"/>
    </row>
    <row r="17" ht="24.0" customHeight="1">
      <c r="A17" s="4" t="s">
        <v>88</v>
      </c>
      <c r="B17" s="4" t="s">
        <v>119</v>
      </c>
      <c r="C17" s="5" t="str">
        <f>IFERROR(__xludf.DUMMYFUNCTION("if(B17=0,""..."", sparkline(query(GOOGLEFINANCE(""BCBA:""&amp;B17,""price"",today()-$AI$36,today()),""select Col2"",0),{""charttype"",$AI$35}))"),"")</f>
        <v/>
      </c>
      <c r="D17" s="17">
        <v>45866.0</v>
      </c>
      <c r="E17" s="6" t="s">
        <v>24</v>
      </c>
      <c r="F17" s="17"/>
      <c r="G17" s="8">
        <f t="shared" si="1"/>
        <v>251</v>
      </c>
      <c r="H17" s="6">
        <v>12.0</v>
      </c>
      <c r="I17" s="44">
        <v>13875.0</v>
      </c>
      <c r="J17" s="45">
        <f t="shared" si="2"/>
        <v>166500</v>
      </c>
      <c r="K17" s="47">
        <f t="array" ref="K17">IF(B17=0,"...",J17/VLOOKUP(D17,{CCL!M:N;CCL!$P:$Q},2,FALSE))</f>
        <v>128.101558</v>
      </c>
      <c r="L17" s="45">
        <f>IFERROR(__xludf.DUMMYFUNCTION("if(B17=0,""..."",if(E17=""CERRADA"",""Valor Venta"", GOOGLEFINANCE(""BCBA:""&amp;B17)))"),18990.0)</f>
        <v>18990</v>
      </c>
      <c r="M17" s="45">
        <f>if(B17=0,"...",L17*(1-VLOOKUP(A17,Config!$B$3:$C$22,2,FALSE)))</f>
        <v>18857.07</v>
      </c>
      <c r="N17" s="45">
        <f t="shared" si="3"/>
        <v>226284.84</v>
      </c>
      <c r="O17" s="12">
        <f>IFERROR(__xludf.DUMMYFUNCTION("if(B17=0,""..."",GOOGLEFINANCE(B17,""changepct"")/100)"),0.0011)</f>
        <v>0.0011</v>
      </c>
      <c r="P17" s="10">
        <f>IFERROR(__xludf.DUMMYFUNCTION("if(B17=0,""..."",GOOGLEFINANCE(B17,""change"")*H17)"),3.4799999999999995)</f>
        <v>3.48</v>
      </c>
      <c r="Q17" s="12">
        <f t="shared" si="4"/>
        <v>0.3590681081</v>
      </c>
      <c r="R17" s="47">
        <f t="shared" si="5"/>
        <v>59784.84</v>
      </c>
      <c r="S17" s="12">
        <f t="array" ref="S17">IF(B17=0,"...",(N17/IF(E17="ABIERTA",CCL!$E$2,VLOOKUP(F17,{CCL!M:N;CCL!$P:$Q},2,FALSE))/(J17/VLOOKUP(D17,{CCL!M:N;CCL!$P:$Q},2,FALSE))-1))</f>
        <v>0.1956064662</v>
      </c>
      <c r="T17" s="47">
        <f t="array" ref="T17">IF(B17=0,"...",(N17/IF(E17="ABIERTA",CCL!$E$2,VLOOKUP(F17,{CCL!M:N;CCL!$P:$Q},2,FALSE))-K17))</f>
        <v>25.05749308</v>
      </c>
      <c r="U17" s="2"/>
      <c r="V17" s="10"/>
      <c r="W17" s="59"/>
      <c r="X17" s="12" t="str">
        <f t="shared" si="7"/>
        <v/>
      </c>
      <c r="Y17" s="45" t="str">
        <f t="shared" si="8"/>
        <v>...</v>
      </c>
      <c r="Z17" s="45" t="str">
        <f t="shared" si="9"/>
        <v>...</v>
      </c>
      <c r="AA17" s="12" t="str">
        <f t="shared" si="10"/>
        <v>...</v>
      </c>
      <c r="AB17" s="45" t="str">
        <f t="shared" si="11"/>
        <v>...</v>
      </c>
      <c r="AC17" s="45" t="str">
        <f t="shared" si="12"/>
        <v>...</v>
      </c>
      <c r="AD17" s="12" t="str">
        <f t="shared" si="13"/>
        <v>...</v>
      </c>
      <c r="AE17" s="46" t="str">
        <f t="shared" si="14"/>
        <v>...</v>
      </c>
      <c r="AF17" s="2"/>
      <c r="AG17" s="2"/>
      <c r="AH17" s="2"/>
      <c r="AI17" s="2"/>
      <c r="AJ17" s="2"/>
      <c r="AK17" s="2"/>
    </row>
    <row r="18" ht="24.0" customHeight="1">
      <c r="A18" s="4" t="s">
        <v>88</v>
      </c>
      <c r="B18" s="4" t="s">
        <v>121</v>
      </c>
      <c r="C18" s="5" t="str">
        <f>IFERROR(__xludf.DUMMYFUNCTION("if(B18=0,""..."", sparkline(query(GOOGLEFINANCE(""BCBA:""&amp;B18,""price"",today()-$AI$36,today()),""select Col2"",0),{""charttype"",$AI$35}))"),"")</f>
        <v/>
      </c>
      <c r="D18" s="17">
        <v>45870.0</v>
      </c>
      <c r="E18" s="6" t="s">
        <v>22</v>
      </c>
      <c r="F18" s="17">
        <v>45904.0</v>
      </c>
      <c r="G18" s="8">
        <f t="shared" si="1"/>
        <v>34</v>
      </c>
      <c r="H18" s="6">
        <v>62.0</v>
      </c>
      <c r="I18" s="44">
        <v>9549.52</v>
      </c>
      <c r="J18" s="45">
        <f t="shared" si="2"/>
        <v>592070.24</v>
      </c>
      <c r="K18" s="47">
        <f t="array" ref="K18">IF(B18=0,"...",J18/VLOOKUP(D18,{CCL!M:N;CCL!$P:$Q},2,FALSE))</f>
        <v>433.1481747</v>
      </c>
      <c r="L18" s="46">
        <v>10525.0</v>
      </c>
      <c r="M18" s="45">
        <f>if(B18=0,"...",L18*(1-VLOOKUP(A18,Config!$B$3:$C$22,2,FALSE)))</f>
        <v>10451.325</v>
      </c>
      <c r="N18" s="45">
        <f t="shared" si="3"/>
        <v>647982.15</v>
      </c>
      <c r="O18" s="12">
        <f>IFERROR(__xludf.DUMMYFUNCTION("if(B18=0,""..."",GOOGLEFINANCE(B18,""changepct"")/100)"),0.0024)</f>
        <v>0.0024</v>
      </c>
      <c r="P18" s="10">
        <f>IFERROR(__xludf.DUMMYFUNCTION("if(B18=0,""..."",GOOGLEFINANCE(B18,""change"")*H18)"),28.52)</f>
        <v>28.52</v>
      </c>
      <c r="Q18" s="12">
        <f t="shared" si="4"/>
        <v>0.09443458938</v>
      </c>
      <c r="R18" s="47">
        <f t="shared" si="5"/>
        <v>55911.91</v>
      </c>
      <c r="S18" s="12">
        <f t="array" ref="S18">IF(B18=0,"...",(N18/IF(E18="ABIERTA",CCL!$E$2,VLOOKUP(F18,{CCL!M:N;CCL!$P:$Q},2,FALSE))/(J18/VLOOKUP(D18,{CCL!M:N;CCL!$P:$Q},2,FALSE))-1))</f>
        <v>0.08329964172</v>
      </c>
      <c r="T18" s="47">
        <f t="array" ref="T18">IF(B18=0,"...",(N18/IF(E18="ABIERTA",CCL!$E$2,VLOOKUP(F18,{CCL!M:N;CCL!$P:$Q},2,FALSE))-K18))</f>
        <v>36.08108776</v>
      </c>
      <c r="U18" s="2"/>
      <c r="V18" s="10"/>
      <c r="W18" s="59" t="str">
        <f t="shared" ref="W18:W21" si="15">if(V18=0,"...",sumifs($H$2:$H$37,$B$2:$B$37,V18,$E$2:$E$37,"ABIERTA"))</f>
        <v>...</v>
      </c>
      <c r="X18" s="12" t="str">
        <f t="shared" si="7"/>
        <v/>
      </c>
      <c r="Y18" s="45" t="str">
        <f t="shared" si="8"/>
        <v>...</v>
      </c>
      <c r="Z18" s="45" t="str">
        <f t="shared" si="9"/>
        <v>...</v>
      </c>
      <c r="AA18" s="12" t="str">
        <f t="shared" si="10"/>
        <v>...</v>
      </c>
      <c r="AB18" s="45" t="str">
        <f t="shared" si="11"/>
        <v>...</v>
      </c>
      <c r="AC18" s="45" t="str">
        <f t="shared" si="12"/>
        <v>...</v>
      </c>
      <c r="AD18" s="12" t="str">
        <f t="shared" si="13"/>
        <v>...</v>
      </c>
      <c r="AE18" s="46" t="str">
        <f t="shared" si="14"/>
        <v>...</v>
      </c>
      <c r="AF18" s="2"/>
      <c r="AG18" s="2"/>
      <c r="AH18" s="2"/>
      <c r="AI18" s="2"/>
      <c r="AJ18" s="2"/>
      <c r="AK18" s="2"/>
    </row>
    <row r="19" ht="24.0" customHeight="1">
      <c r="A19" s="4" t="s">
        <v>88</v>
      </c>
      <c r="B19" s="4" t="s">
        <v>120</v>
      </c>
      <c r="C19" s="5" t="str">
        <f>IFERROR(__xludf.DUMMYFUNCTION("if(B19=0,""..."", sparkline(query(GOOGLEFINANCE(""BCBA:""&amp;B19,""price"",today()-$AI$36,today()),""select Col2"",0),{""charttype"",$AI$35}))"),"")</f>
        <v/>
      </c>
      <c r="D19" s="17">
        <v>45918.0</v>
      </c>
      <c r="E19" s="6" t="s">
        <v>24</v>
      </c>
      <c r="F19" s="7"/>
      <c r="G19" s="8">
        <f t="shared" si="1"/>
        <v>199</v>
      </c>
      <c r="H19" s="6">
        <v>19.0</v>
      </c>
      <c r="I19" s="44">
        <v>31800.0</v>
      </c>
      <c r="J19" s="45">
        <f t="shared" si="2"/>
        <v>604200</v>
      </c>
      <c r="K19" s="47">
        <f t="array" ref="K19">IF(B19=0,"...",J19/VLOOKUP(D19,{CCL!M:N;CCL!$P:$Q},2,FALSE))</f>
        <v>386.2924365</v>
      </c>
      <c r="L19" s="45">
        <f>IFERROR(__xludf.DUMMYFUNCTION("if(B19=0,""..."",if(E19=""CERRADA"",""Valor Venta"", GOOGLEFINANCE(""BCBA:""&amp;B19)))"),21350.0)</f>
        <v>21350</v>
      </c>
      <c r="M19" s="45">
        <f>if(B19=0,"...",L19*(1-VLOOKUP(A19,Config!$B$3:$C$22,2,FALSE)))</f>
        <v>21200.55</v>
      </c>
      <c r="N19" s="45">
        <f t="shared" si="3"/>
        <v>402810.45</v>
      </c>
      <c r="O19" s="12">
        <f>IFERROR(__xludf.DUMMYFUNCTION("if(B19=0,""..."",GOOGLEFINANCE(B19,""changepct"")/100)"),-0.002)</f>
        <v>-0.002</v>
      </c>
      <c r="P19" s="10">
        <f>IFERROR(__xludf.DUMMYFUNCTION("if(B19=0,""..."",GOOGLEFINANCE(B19,""change"")*H19)"),-65.55)</f>
        <v>-65.55</v>
      </c>
      <c r="Q19" s="12">
        <f t="shared" si="4"/>
        <v>-0.3333160377</v>
      </c>
      <c r="R19" s="47">
        <f t="shared" si="5"/>
        <v>-201389.55</v>
      </c>
      <c r="S19" s="12">
        <f t="array" ref="S19">IF(B19=0,"...",(N19/IF(E19="ABIERTA",CCL!$E$2,VLOOKUP(F19,{CCL!M:N;CCL!$P:$Q},2,FALSE))/(J19/VLOOKUP(D19,{CCL!M:N;CCL!$P:$Q},2,FALSE))-1))</f>
        <v>-0.2942161255</v>
      </c>
      <c r="T19" s="47">
        <f t="array" ref="T19">IF(B19=0,"...",(N19/IF(E19="ABIERTA",CCL!$E$2,VLOOKUP(F19,{CCL!M:N;CCL!$P:$Q},2,FALSE))-K19))</f>
        <v>-113.653464</v>
      </c>
      <c r="U19" s="2"/>
      <c r="V19" s="10"/>
      <c r="W19" s="59" t="str">
        <f t="shared" si="15"/>
        <v>...</v>
      </c>
      <c r="X19" s="12" t="str">
        <f t="shared" si="7"/>
        <v/>
      </c>
      <c r="Y19" s="45" t="str">
        <f t="shared" si="8"/>
        <v>...</v>
      </c>
      <c r="Z19" s="45" t="str">
        <f t="shared" si="9"/>
        <v>...</v>
      </c>
      <c r="AA19" s="12" t="str">
        <f t="shared" si="10"/>
        <v>...</v>
      </c>
      <c r="AB19" s="45" t="str">
        <f t="shared" si="11"/>
        <v>...</v>
      </c>
      <c r="AC19" s="45" t="str">
        <f t="shared" si="12"/>
        <v>...</v>
      </c>
      <c r="AD19" s="12" t="str">
        <f t="shared" si="13"/>
        <v>...</v>
      </c>
      <c r="AE19" s="46" t="str">
        <f t="shared" si="14"/>
        <v>...</v>
      </c>
      <c r="AF19" s="2"/>
      <c r="AG19" s="18" t="s">
        <v>96</v>
      </c>
      <c r="AH19" s="19">
        <f>sumifs(N2:N36,E2:E36,"ABIERTA")</f>
        <v>4971803.401</v>
      </c>
      <c r="AI19" s="18" t="s">
        <v>47</v>
      </c>
      <c r="AJ19" s="19">
        <f>sum(N2:N36)</f>
        <v>8115294.308</v>
      </c>
      <c r="AK19" s="2"/>
    </row>
    <row r="20" ht="24.0" customHeight="1">
      <c r="A20" s="4" t="s">
        <v>88</v>
      </c>
      <c r="B20" s="4" t="s">
        <v>114</v>
      </c>
      <c r="C20" s="5" t="str">
        <f>IFERROR(__xludf.DUMMYFUNCTION("if(B20=0,""..."", sparkline(query(GOOGLEFINANCE(""BCBA:""&amp;B20,""price"",today()-$AI$36,today()),""select Col2"",0),{""charttype"",$AI$35}))"),"")</f>
        <v/>
      </c>
      <c r="D20" s="17">
        <v>45943.0</v>
      </c>
      <c r="E20" s="6" t="s">
        <v>24</v>
      </c>
      <c r="F20" s="17"/>
      <c r="G20" s="8">
        <f t="shared" si="1"/>
        <v>174</v>
      </c>
      <c r="H20" s="6">
        <v>7.0</v>
      </c>
      <c r="I20" s="44">
        <v>29400.0</v>
      </c>
      <c r="J20" s="45">
        <f t="shared" si="2"/>
        <v>205800</v>
      </c>
      <c r="K20" s="47">
        <f t="array" ref="K20">IF(B20=0,"...",J20/VLOOKUP(D20,{CCL!M:N;CCL!$P:$Q},2,FALSE))</f>
        <v>142.9047579</v>
      </c>
      <c r="L20" s="45">
        <f>IFERROR(__xludf.DUMMYFUNCTION("if(B20=0,""..."",if(E20=""CERRADA"",""Valor Venta"", GOOGLEFINANCE(""BCBA:""&amp;B20)))"),29200.0)</f>
        <v>29200</v>
      </c>
      <c r="M20" s="45">
        <f>if(B20=0,"...",L20*(1-VLOOKUP(A20,Config!$B$3:$C$22,2,FALSE)))</f>
        <v>28995.6</v>
      </c>
      <c r="N20" s="45">
        <f t="shared" si="3"/>
        <v>202969.2</v>
      </c>
      <c r="O20" s="12">
        <f>IFERROR(__xludf.DUMMYFUNCTION("if(B20=0,""..."",GOOGLEFINANCE(B20,""changepct"")/100)"),-0.0026)</f>
        <v>-0.0026</v>
      </c>
      <c r="P20" s="10">
        <f>IFERROR(__xludf.DUMMYFUNCTION("if(B20=0,""..."",GOOGLEFINANCE(B20,""change"")*H20)"),-5.46)</f>
        <v>-5.46</v>
      </c>
      <c r="Q20" s="12">
        <f t="shared" si="4"/>
        <v>-0.01375510204</v>
      </c>
      <c r="R20" s="47">
        <f t="shared" si="5"/>
        <v>-2830.8</v>
      </c>
      <c r="S20" s="12">
        <f t="array" ref="S20">IF(B20=0,"...",(N20/IF(E20="ABIERTA",CCL!$E$2,VLOOKUP(F20,{CCL!M:N;CCL!$P:$Q},2,FALSE))/(J20/VLOOKUP(D20,{CCL!M:N;CCL!$P:$Q},2,FALSE))-1))</f>
        <v>-0.03867406515</v>
      </c>
      <c r="T20" s="47">
        <f t="array" ref="T20">IF(B20=0,"...",(N20/IF(E20="ABIERTA",CCL!$E$2,VLOOKUP(F20,{CCL!M:N;CCL!$P:$Q},2,FALSE))-K20))</f>
        <v>-5.526707918</v>
      </c>
      <c r="U20" s="2"/>
      <c r="V20" s="10"/>
      <c r="W20" s="59" t="str">
        <f t="shared" si="15"/>
        <v>...</v>
      </c>
      <c r="X20" s="12" t="str">
        <f t="shared" si="7"/>
        <v/>
      </c>
      <c r="Y20" s="45" t="str">
        <f t="shared" si="8"/>
        <v>...</v>
      </c>
      <c r="Z20" s="45" t="str">
        <f t="shared" si="9"/>
        <v>...</v>
      </c>
      <c r="AA20" s="12" t="str">
        <f t="shared" si="10"/>
        <v>...</v>
      </c>
      <c r="AB20" s="45" t="str">
        <f t="shared" si="11"/>
        <v>...</v>
      </c>
      <c r="AC20" s="45" t="str">
        <f t="shared" si="12"/>
        <v>...</v>
      </c>
      <c r="AD20" s="12" t="str">
        <f t="shared" si="13"/>
        <v>...</v>
      </c>
      <c r="AE20" s="46" t="str">
        <f t="shared" si="14"/>
        <v>...</v>
      </c>
      <c r="AF20" s="2"/>
      <c r="AK20" s="2"/>
    </row>
    <row r="21" ht="24.0" customHeight="1">
      <c r="A21" s="4" t="s">
        <v>88</v>
      </c>
      <c r="B21" s="4" t="s">
        <v>120</v>
      </c>
      <c r="C21" s="5" t="str">
        <f>IFERROR(__xludf.DUMMYFUNCTION("if(B21=0,""..."", sparkline(query(GOOGLEFINANCE(""BCBA:""&amp;B21,""price"",today()-$AI$36,today()),""select Col2"",0),{""charttype"",$AI$35}))"),"")</f>
        <v/>
      </c>
      <c r="D21" s="17">
        <v>45946.0</v>
      </c>
      <c r="E21" s="6" t="s">
        <v>24</v>
      </c>
      <c r="F21" s="17"/>
      <c r="G21" s="8">
        <f t="shared" si="1"/>
        <v>171</v>
      </c>
      <c r="H21" s="6">
        <v>15.0</v>
      </c>
      <c r="I21" s="44">
        <v>25100.0</v>
      </c>
      <c r="J21" s="45">
        <f t="shared" si="2"/>
        <v>376500</v>
      </c>
      <c r="K21" s="47">
        <f t="array" ref="K21">IF(B21=0,"...",J21/VLOOKUP(D21,{CCL!M:N;CCL!$P:$Q},2,FALSE))</f>
        <v>252.4575214</v>
      </c>
      <c r="L21" s="45">
        <f>IFERROR(__xludf.DUMMYFUNCTION("if(B21=0,""..."",if(E21=""CERRADA"",""Valor Venta"", GOOGLEFINANCE(""BCBA:""&amp;B21)))"),21350.0)</f>
        <v>21350</v>
      </c>
      <c r="M21" s="45">
        <f>if(B21=0,"...",L21*(1-VLOOKUP(A21,Config!$B$3:$C$22,2,FALSE)))</f>
        <v>21200.55</v>
      </c>
      <c r="N21" s="45">
        <f t="shared" si="3"/>
        <v>318008.25</v>
      </c>
      <c r="O21" s="12">
        <f>IFERROR(__xludf.DUMMYFUNCTION("if(B21=0,""..."",GOOGLEFINANCE(B21,""changepct"")/100)"),-0.002)</f>
        <v>-0.002</v>
      </c>
      <c r="P21" s="10">
        <f>IFERROR(__xludf.DUMMYFUNCTION("if(B21=0,""..."",GOOGLEFINANCE(B21,""change"")*H21)"),-51.75)</f>
        <v>-51.75</v>
      </c>
      <c r="Q21" s="12">
        <f t="shared" si="4"/>
        <v>-0.1553565737</v>
      </c>
      <c r="R21" s="47">
        <f t="shared" si="5"/>
        <v>-58491.75</v>
      </c>
      <c r="S21" s="12">
        <f t="array" ref="S21">IF(B21=0,"...",(N21/IF(E21="ABIERTA",CCL!$E$2,VLOOKUP(F21,{CCL!M:N;CCL!$P:$Q},2,FALSE))/(J21/VLOOKUP(D21,{CCL!M:N;CCL!$P:$Q},2,FALSE))-1))</f>
        <v>-0.1474157993</v>
      </c>
      <c r="T21" s="47">
        <f t="array" ref="T21">IF(B21=0,"...",(N21/IF(E21="ABIERTA",CCL!$E$2,VLOOKUP(F21,{CCL!M:N;CCL!$P:$Q},2,FALSE))-K21))</f>
        <v>-37.2162273</v>
      </c>
      <c r="U21" s="2"/>
      <c r="V21" s="10"/>
      <c r="W21" s="59" t="str">
        <f t="shared" si="15"/>
        <v>...</v>
      </c>
      <c r="X21" s="12" t="str">
        <f t="shared" si="7"/>
        <v/>
      </c>
      <c r="Y21" s="45" t="str">
        <f t="shared" si="8"/>
        <v>...</v>
      </c>
      <c r="Z21" s="45" t="str">
        <f t="shared" si="9"/>
        <v>...</v>
      </c>
      <c r="AA21" s="12" t="str">
        <f t="shared" si="10"/>
        <v>...</v>
      </c>
      <c r="AB21" s="45" t="str">
        <f t="shared" si="11"/>
        <v>...</v>
      </c>
      <c r="AC21" s="45" t="str">
        <f t="shared" si="12"/>
        <v>...</v>
      </c>
      <c r="AD21" s="12" t="str">
        <f t="shared" si="13"/>
        <v>...</v>
      </c>
      <c r="AE21" s="46" t="str">
        <f t="shared" si="14"/>
        <v>...</v>
      </c>
      <c r="AF21" s="2"/>
      <c r="AG21" s="18" t="s">
        <v>49</v>
      </c>
      <c r="AH21" s="19">
        <f>sumifs(R2:R36,E2:E36,"ABIERTA")</f>
        <v>-176761.5986</v>
      </c>
      <c r="AI21" s="18" t="s">
        <v>50</v>
      </c>
      <c r="AJ21" s="19">
        <f>sum(R2:R36)</f>
        <v>675389.0682</v>
      </c>
      <c r="AK21" s="2"/>
    </row>
    <row r="22" ht="24.0" customHeight="1">
      <c r="A22" s="4" t="s">
        <v>88</v>
      </c>
      <c r="B22" s="4" t="s">
        <v>122</v>
      </c>
      <c r="C22" s="5" t="str">
        <f>IFERROR(__xludf.DUMMYFUNCTION("if(B22=0,""..."", sparkline(query(GOOGLEFINANCE(""BCBA:""&amp;B22,""price"",today()-$AI$36,today()),""select Col2"",0),{""charttype"",$AI$35}))"),"")</f>
        <v/>
      </c>
      <c r="D22" s="17">
        <v>45959.0</v>
      </c>
      <c r="E22" s="6" t="s">
        <v>24</v>
      </c>
      <c r="F22" s="17"/>
      <c r="G22" s="8">
        <f t="shared" si="1"/>
        <v>158</v>
      </c>
      <c r="H22" s="6">
        <v>10.0</v>
      </c>
      <c r="I22" s="44">
        <v>10870.0</v>
      </c>
      <c r="J22" s="45">
        <f t="shared" si="2"/>
        <v>108700</v>
      </c>
      <c r="K22" s="47">
        <f t="array" ref="K22">IF(B22=0,"...",J22/VLOOKUP(D22,{CCL!M:N;CCL!$P:$Q},2,FALSE))</f>
        <v>73.09037117</v>
      </c>
      <c r="L22" s="45">
        <f>IFERROR(__xludf.DUMMYFUNCTION("IF(B22=0,""..."",IF(E22=""CERRADA"",""Valor Venta"", GOOGLEFINANCE(B22)*CCL!$E$2/50))"),12688.636090000002)</f>
        <v>12688.63609</v>
      </c>
      <c r="M22" s="45">
        <f>if(B22=0,"...",L22*(1-VLOOKUP(A22,Config!$B$3:$C$22,2,FALSE)))</f>
        <v>12599.81564</v>
      </c>
      <c r="N22" s="45">
        <f t="shared" si="3"/>
        <v>125998.1564</v>
      </c>
      <c r="O22" s="12">
        <f>IFERROR(__xludf.DUMMYFUNCTION("if(B22=0,""..."",GOOGLEFINANCE(B22,""changepct"")/100)"),-0.0192)</f>
        <v>-0.0192</v>
      </c>
      <c r="P22" s="10">
        <f>IFERROR(__xludf.DUMMYFUNCTION("if(B22=0,""..."",GOOGLEFINANCE(B22,""change"")*H22)"),-84.1)</f>
        <v>-84.1</v>
      </c>
      <c r="Q22" s="12">
        <f t="shared" si="4"/>
        <v>0.1591366732</v>
      </c>
      <c r="R22" s="47">
        <f t="shared" si="5"/>
        <v>17298.15637</v>
      </c>
      <c r="S22" s="12">
        <f t="array" ref="S22">IF(B22=0,"...",(N22/IF(E22="ABIERTA",CCL!$E$2,VLOOKUP(F22,{CCL!M:N;CCL!$P:$Q},2,FALSE))/(J22/VLOOKUP(D22,{CCL!M:N;CCL!$P:$Q},2,FALSE))-1))</f>
        <v>0.1667860573</v>
      </c>
      <c r="T22" s="47">
        <f t="array" ref="T22">IF(B22=0,"...",(N22/IF(E22="ABIERTA",CCL!$E$2,VLOOKUP(F22,{CCL!M:N;CCL!$P:$Q},2,FALSE))-K22))</f>
        <v>12.19045483</v>
      </c>
      <c r="U22" s="2"/>
      <c r="V22" s="10"/>
      <c r="W22" s="59"/>
      <c r="X22" s="12"/>
      <c r="Y22" s="45"/>
      <c r="Z22" s="45"/>
      <c r="AA22" s="12"/>
      <c r="AB22" s="45"/>
      <c r="AC22" s="45"/>
      <c r="AD22" s="12"/>
      <c r="AE22" s="46"/>
      <c r="AF22" s="2"/>
      <c r="AK22" s="2"/>
    </row>
    <row r="23" ht="24.0" customHeight="1">
      <c r="A23" s="4" t="s">
        <v>88</v>
      </c>
      <c r="B23" s="4" t="s">
        <v>123</v>
      </c>
      <c r="C23" s="5" t="str">
        <f>IFERROR(__xludf.DUMMYFUNCTION("if(B23=0,""..."", sparkline(query(GOOGLEFINANCE(""BCBA:""&amp;B23,""price"",today()-$AI$36,today()),""select Col2"",0),{""charttype"",$AI$35}))"),"")</f>
        <v/>
      </c>
      <c r="D23" s="17">
        <v>45965.0</v>
      </c>
      <c r="E23" s="6" t="s">
        <v>24</v>
      </c>
      <c r="F23" s="17"/>
      <c r="G23" s="8">
        <f t="shared" si="1"/>
        <v>152</v>
      </c>
      <c r="H23" s="6">
        <v>5.0</v>
      </c>
      <c r="I23" s="44">
        <v>20690.0</v>
      </c>
      <c r="J23" s="45">
        <f t="shared" si="2"/>
        <v>103450</v>
      </c>
      <c r="K23" s="47">
        <f t="array" ref="K23">IF(B23=0,"...",J23/VLOOKUP(D23,{CCL!M:N;CCL!$P:$Q},2,FALSE))</f>
        <v>68.36279531</v>
      </c>
      <c r="L23" s="45">
        <f>IFERROR(__xludf.DUMMYFUNCTION("if(B23=0,""..."",if(E23=""CERRADA"",""Valor Venta"", GOOGLEFINANCE(""BCBA:""&amp;B23)))"),22670.0)</f>
        <v>22670</v>
      </c>
      <c r="M23" s="45">
        <f>if(B23=0,"...",L23*(1-VLOOKUP(A23,Config!$B$3:$C$22,2,FALSE)))</f>
        <v>22511.31</v>
      </c>
      <c r="N23" s="45">
        <f t="shared" si="3"/>
        <v>112556.55</v>
      </c>
      <c r="O23" s="12">
        <f>IFERROR(__xludf.DUMMYFUNCTION("if(B23=0,""..."",GOOGLEFINANCE(B23,""changepct"")/100)"),0.0084)</f>
        <v>0.0084</v>
      </c>
      <c r="P23" s="10">
        <f>IFERROR(__xludf.DUMMYFUNCTION("if(B23=0,""..."",GOOGLEFINANCE(B23,""change"")*H23)"),3.2)</f>
        <v>3.2</v>
      </c>
      <c r="Q23" s="12">
        <f t="shared" si="4"/>
        <v>0.08802851619</v>
      </c>
      <c r="R23" s="47">
        <f t="shared" si="5"/>
        <v>9106.55</v>
      </c>
      <c r="S23" s="12">
        <f t="array" ref="S23">IF(B23=0,"...",(N23/IF(E23="ABIERTA",CCL!$E$2,VLOOKUP(F23,{CCL!M:N;CCL!$P:$Q},2,FALSE))/(J23/VLOOKUP(D23,{CCL!M:N;CCL!$P:$Q},2,FALSE))-1))</f>
        <v>0.1143924682</v>
      </c>
      <c r="T23" s="47">
        <f t="array" ref="T23">IF(B23=0,"...",(N23/IF(E23="ABIERTA",CCL!$E$2,VLOOKUP(F23,{CCL!M:N;CCL!$P:$Q},2,FALSE))-K23))</f>
        <v>7.820188888</v>
      </c>
      <c r="U23" s="2"/>
      <c r="V23" s="10"/>
      <c r="W23" s="59" t="str">
        <f t="shared" ref="W23:W234" si="16">if(V23=0,"...",sumifs($H$2:$H$37,$B$2:$B$37,V23,$E$2:$E$37,"ABIERTA"))</f>
        <v>...</v>
      </c>
      <c r="X23" s="12" t="str">
        <f t="shared" ref="X23:X234" si="17">if(V23=0,"",Z23/$AH$19)</f>
        <v/>
      </c>
      <c r="Y23" s="45" t="str">
        <f t="shared" ref="Y23:Y234" si="18">if(W23=0,"...",if(V23=0,"...",sumifs($J$2:$J$37,$B$2:$B$37,V23,$E$2:$E$37,"ABIERTA")/W23))</f>
        <v>...</v>
      </c>
      <c r="Z23" s="45" t="str">
        <f t="shared" ref="Z23:Z234" si="19">if(V23=0,"...",sumifs($N$2:$N$37,$B$2:$B$37,V23,$E$2:$E$37,"ABIERTA"))</f>
        <v>...</v>
      </c>
      <c r="AA23" s="12" t="str">
        <f t="shared" ref="AA23:AA234" si="20">if(W23=0,"...",if(V23=0,"...",AB23/(Z23-AB23)))</f>
        <v>...</v>
      </c>
      <c r="AB23" s="45" t="str">
        <f t="shared" ref="AB23:AB234" si="21">if(W23=0,"...",if(V23=0,"...",sumifs($R$2:$R$37,$B$2:$B$37,V23,$E$2:$E$37,"ABIERTA")))</f>
        <v>...</v>
      </c>
      <c r="AC23" s="45" t="str">
        <f t="shared" ref="AC23:AC234" si="22">IF(W23=0,"...",IF(V23=0,"...",SUMIFS($K$2:$K$37,$B$2:$B$37,V23,$E$2:$E$37,"ABIERTA")))</f>
        <v>...</v>
      </c>
      <c r="AD23" s="12" t="str">
        <f t="shared" ref="AD23:AD234" si="23">IF(V23=0,"...",AE23/(AC23+AE23))</f>
        <v>...</v>
      </c>
      <c r="AE23" s="46" t="str">
        <f t="shared" ref="AE23:AE234" si="24">IF(W23=0,"...",if(V23=0,"...",sumifs($T$2:$T$37,$B$2:$B$37,V23,$E$2:$E$37,"ABIERTA")))</f>
        <v>...</v>
      </c>
      <c r="AF23" s="2"/>
      <c r="AK23" s="2"/>
    </row>
    <row r="24" ht="24.0" customHeight="1">
      <c r="A24" s="4" t="s">
        <v>88</v>
      </c>
      <c r="B24" s="4" t="s">
        <v>124</v>
      </c>
      <c r="C24" s="5" t="str">
        <f>IFERROR(__xludf.DUMMYFUNCTION("if(B24=0,""..."", sparkline(query(GOOGLEFINANCE(""BCBA:""&amp;B24,""price"",today()-$AI$36,today()),""select Col2"",0),{""charttype"",$AI$35}))"),"")</f>
        <v/>
      </c>
      <c r="D24" s="17">
        <v>45965.0</v>
      </c>
      <c r="E24" s="6" t="s">
        <v>22</v>
      </c>
      <c r="F24" s="17">
        <v>46059.0</v>
      </c>
      <c r="G24" s="8">
        <f t="shared" si="1"/>
        <v>94</v>
      </c>
      <c r="H24" s="6">
        <v>11.0</v>
      </c>
      <c r="I24" s="44">
        <v>7330.0</v>
      </c>
      <c r="J24" s="45">
        <f t="shared" si="2"/>
        <v>80630</v>
      </c>
      <c r="K24" s="47">
        <f t="array" ref="K24">IF(B24=0,"...",J24/VLOOKUP(D24,{CCL!M:N;CCL!$P:$Q},2,FALSE))</f>
        <v>53.28266975</v>
      </c>
      <c r="L24" s="46">
        <v>6016.86</v>
      </c>
      <c r="M24" s="45">
        <f>if(B24=0,"...",L24*(1-VLOOKUP(A24,Config!$B$3:$C$22,2,FALSE)))</f>
        <v>5974.74198</v>
      </c>
      <c r="N24" s="45">
        <f t="shared" si="3"/>
        <v>65722.16178</v>
      </c>
      <c r="O24" s="12">
        <f>IFERROR(__xludf.DUMMYFUNCTION("if(B24=0,""..."",GOOGLEFINANCE(B24,""changepct"")/100)"),-0.0070999999999999995)</f>
        <v>-0.0071</v>
      </c>
      <c r="P24" s="10">
        <f>IFERROR(__xludf.DUMMYFUNCTION("if(B24=0,""..."",GOOGLEFINANCE(B24,""change"")*H24)"),-26.73)</f>
        <v>-26.73</v>
      </c>
      <c r="Q24" s="12">
        <f t="shared" si="4"/>
        <v>-0.1848919536</v>
      </c>
      <c r="R24" s="47">
        <f t="shared" si="5"/>
        <v>-14907.83822</v>
      </c>
      <c r="S24" s="12">
        <f t="array" ref="S24">IF(B24=0,"...",(N24/IF(E24="ABIERTA",CCL!$E$2,1488.04)/(J24/VLOOKUP(D24,{CCL!M:N;CCL!$P:$Q},2,FALSE))-1))</f>
        <v>-0.1710825978</v>
      </c>
      <c r="T24" s="47">
        <f>IF(B24=0,"...",(N24/IF(E24="ABIERTA",CCL!$E$2,1488.04)-K24))</f>
        <v>-9.115737558</v>
      </c>
      <c r="U24" s="2"/>
      <c r="V24" s="10"/>
      <c r="W24" s="59" t="str">
        <f t="shared" si="16"/>
        <v>...</v>
      </c>
      <c r="X24" s="12" t="str">
        <f t="shared" si="17"/>
        <v/>
      </c>
      <c r="Y24" s="45" t="str">
        <f t="shared" si="18"/>
        <v>...</v>
      </c>
      <c r="Z24" s="45" t="str">
        <f t="shared" si="19"/>
        <v>...</v>
      </c>
      <c r="AA24" s="12" t="str">
        <f t="shared" si="20"/>
        <v>...</v>
      </c>
      <c r="AB24" s="45" t="str">
        <f t="shared" si="21"/>
        <v>...</v>
      </c>
      <c r="AC24" s="45" t="str">
        <f t="shared" si="22"/>
        <v>...</v>
      </c>
      <c r="AD24" s="12" t="str">
        <f t="shared" si="23"/>
        <v>...</v>
      </c>
      <c r="AE24" s="46" t="str">
        <f t="shared" si="24"/>
        <v>...</v>
      </c>
      <c r="AF24" s="2"/>
      <c r="AG24" s="18" t="s">
        <v>53</v>
      </c>
      <c r="AH24" s="22">
        <f>AH21/(AH19-AH21)</f>
        <v>-0.03433220686</v>
      </c>
      <c r="AI24" s="18" t="s">
        <v>53</v>
      </c>
      <c r="AJ24" s="22">
        <f>AJ21/(AJ19-AJ21)</f>
        <v>0.09077925677</v>
      </c>
      <c r="AK24" s="2"/>
    </row>
    <row r="25" ht="24.0" customHeight="1">
      <c r="A25" s="4" t="s">
        <v>88</v>
      </c>
      <c r="B25" s="4" t="s">
        <v>125</v>
      </c>
      <c r="C25" s="5" t="str">
        <f>IFERROR(__xludf.DUMMYFUNCTION("if(B25=0,""..."", sparkline(query(GOOGLEFINANCE(""BCBA:""&amp;B25,""price"",today()-$AI$36,today()),""select Col2"",0),{""charttype"",$AI$35}))"),"")</f>
        <v/>
      </c>
      <c r="D25" s="17">
        <v>45965.0</v>
      </c>
      <c r="E25" s="6" t="s">
        <v>24</v>
      </c>
      <c r="F25" s="17"/>
      <c r="G25" s="8">
        <f t="shared" si="1"/>
        <v>152</v>
      </c>
      <c r="H25" s="6">
        <v>90.0</v>
      </c>
      <c r="I25" s="44">
        <f>34480/10</f>
        <v>3448</v>
      </c>
      <c r="J25" s="45">
        <f t="shared" si="2"/>
        <v>310320</v>
      </c>
      <c r="K25" s="47">
        <f t="array" ref="K25">IF(B25=0,"...",J25/VLOOKUP(D25,{CCL!M:N;CCL!$P:$Q},2,FALSE))</f>
        <v>205.068561</v>
      </c>
      <c r="L25" s="45">
        <f>IFERROR(__xludf.DUMMYFUNCTION("if(B25=0,""..."",if(E25=""CERRADA"",""Valor Venta"", GOOGLEFINANCE(""BCBA:""&amp;B25)))"),2957.5)</f>
        <v>2957.5</v>
      </c>
      <c r="M25" s="45">
        <f>if(B25=0,"...",L25*(1-VLOOKUP(A25,Config!$B$3:$C$22,2,FALSE)))</f>
        <v>2936.7975</v>
      </c>
      <c r="N25" s="45">
        <f t="shared" si="3"/>
        <v>264311.775</v>
      </c>
      <c r="O25" s="12">
        <f>IFERROR(__xludf.DUMMYFUNCTION("if(B25=0,""..."",GOOGLEFINANCE(B25,""changepct"")/100)"),0.0325)</f>
        <v>0.0325</v>
      </c>
      <c r="P25" s="10">
        <f>IFERROR(__xludf.DUMMYFUNCTION("if(B25=0,""..."",GOOGLEFINANCE(B25,""change"")*H25)"),279.9)</f>
        <v>279.9</v>
      </c>
      <c r="Q25" s="12">
        <f t="shared" si="4"/>
        <v>-0.1482605858</v>
      </c>
      <c r="R25" s="47">
        <f t="shared" si="5"/>
        <v>-46008.225</v>
      </c>
      <c r="S25" s="12">
        <f t="array" ref="S25">IF(B25=0,"...",(N25/IF(E25="ABIERTA",CCL!$E$2,VLOOKUP(F25,{CCL!M:N;CCL!$P:$Q},2,FALSE))/(J25/VLOOKUP(D25,{CCL!M:N;CCL!$P:$Q},2,FALSE))-1))</f>
        <v>-0.1276221405</v>
      </c>
      <c r="T25" s="47">
        <f t="array" ref="T25">IF(B25=0,"...",(N25/IF(E25="ABIERTA",CCL!$E$2,VLOOKUP(F25,{CCL!M:N;CCL!$P:$Q},2,FALSE))-K25))</f>
        <v>-26.17128872</v>
      </c>
      <c r="U25" s="2"/>
      <c r="V25" s="10"/>
      <c r="W25" s="59" t="str">
        <f t="shared" si="16"/>
        <v>...</v>
      </c>
      <c r="X25" s="12" t="str">
        <f t="shared" si="17"/>
        <v/>
      </c>
      <c r="Y25" s="45" t="str">
        <f t="shared" si="18"/>
        <v>...</v>
      </c>
      <c r="Z25" s="45" t="str">
        <f t="shared" si="19"/>
        <v>...</v>
      </c>
      <c r="AA25" s="12" t="str">
        <f t="shared" si="20"/>
        <v>...</v>
      </c>
      <c r="AB25" s="45" t="str">
        <f t="shared" si="21"/>
        <v>...</v>
      </c>
      <c r="AC25" s="45" t="str">
        <f t="shared" si="22"/>
        <v>...</v>
      </c>
      <c r="AD25" s="12" t="str">
        <f t="shared" si="23"/>
        <v>...</v>
      </c>
      <c r="AE25" s="46" t="str">
        <f t="shared" si="24"/>
        <v>...</v>
      </c>
      <c r="AF25" s="2"/>
      <c r="AK25" s="2"/>
    </row>
    <row r="26" ht="24.0" customHeight="1">
      <c r="A26" s="4" t="s">
        <v>88</v>
      </c>
      <c r="B26" s="4" t="s">
        <v>120</v>
      </c>
      <c r="C26" s="5" t="str">
        <f>IFERROR(__xludf.DUMMYFUNCTION("if(B26=0,""..."", sparkline(query(GOOGLEFINANCE(""BCBA:""&amp;B26,""price"",today()-$AI$36,today()),""select Col2"",0),{""charttype"",$AI$35}))"),"")</f>
        <v/>
      </c>
      <c r="D26" s="17">
        <v>45978.0</v>
      </c>
      <c r="E26" s="6" t="s">
        <v>24</v>
      </c>
      <c r="F26" s="17"/>
      <c r="G26" s="8">
        <f t="shared" si="1"/>
        <v>139</v>
      </c>
      <c r="H26" s="6">
        <v>19.0</v>
      </c>
      <c r="I26" s="44">
        <v>25580.0</v>
      </c>
      <c r="J26" s="45">
        <f t="shared" si="2"/>
        <v>486020</v>
      </c>
      <c r="K26" s="47">
        <f t="array" ref="K26">IF(B26=0,"...",J26/VLOOKUP(D26,{CCL!M:N;CCL!$P:$Q},2,FALSE))</f>
        <v>325.3015274</v>
      </c>
      <c r="L26" s="45">
        <f>IFERROR(__xludf.DUMMYFUNCTION("if(B26=0,""..."",if(E26=""CERRADA"",""Valor Venta"", GOOGLEFINANCE(""BCBA:""&amp;B26)))"),21350.0)</f>
        <v>21350</v>
      </c>
      <c r="M26" s="45">
        <f>if(B26=0,"...",L26*(1-VLOOKUP(A26,Config!$B$3:$C$22,2,FALSE)))</f>
        <v>21200.55</v>
      </c>
      <c r="N26" s="45">
        <f t="shared" si="3"/>
        <v>402810.45</v>
      </c>
      <c r="O26" s="12">
        <f>IFERROR(__xludf.DUMMYFUNCTION("if(B26=0,""..."",GOOGLEFINANCE(B26,""changepct"")/100)"),-0.002)</f>
        <v>-0.002</v>
      </c>
      <c r="P26" s="10">
        <f>IFERROR(__xludf.DUMMYFUNCTION("if(B26=0,""..."",GOOGLEFINANCE(B26,""change"")*H26)"),-65.55)</f>
        <v>-65.55</v>
      </c>
      <c r="Q26" s="12">
        <f t="shared" si="4"/>
        <v>-0.1712060203</v>
      </c>
      <c r="R26" s="47">
        <f t="shared" si="5"/>
        <v>-83209.55</v>
      </c>
      <c r="S26" s="12">
        <f t="array" ref="S26">IF(B26=0,"...",(N26/IF(E26="ABIERTA",CCL!$E$2,VLOOKUP(F26,{CCL!M:N;CCL!$P:$Q},2,FALSE))/(J26/VLOOKUP(D26,{CCL!M:N;CCL!$P:$Q},2,FALSE))-1))</f>
        <v>-0.1618884339</v>
      </c>
      <c r="T26" s="47">
        <f t="array" ref="T26">IF(B26=0,"...",(N26/IF(E26="ABIERTA",CCL!$E$2,VLOOKUP(F26,{CCL!M:N;CCL!$P:$Q},2,FALSE))-K26))</f>
        <v>-52.66255483</v>
      </c>
      <c r="U26" s="2"/>
      <c r="V26" s="10"/>
      <c r="W26" s="59" t="str">
        <f t="shared" si="16"/>
        <v>...</v>
      </c>
      <c r="X26" s="12" t="str">
        <f t="shared" si="17"/>
        <v/>
      </c>
      <c r="Y26" s="45" t="str">
        <f t="shared" si="18"/>
        <v>...</v>
      </c>
      <c r="Z26" s="45" t="str">
        <f t="shared" si="19"/>
        <v>...</v>
      </c>
      <c r="AA26" s="12" t="str">
        <f t="shared" si="20"/>
        <v>...</v>
      </c>
      <c r="AB26" s="45" t="str">
        <f t="shared" si="21"/>
        <v>...</v>
      </c>
      <c r="AC26" s="45" t="str">
        <f t="shared" si="22"/>
        <v>...</v>
      </c>
      <c r="AD26" s="12" t="str">
        <f t="shared" si="23"/>
        <v>...</v>
      </c>
      <c r="AE26" s="46" t="str">
        <f t="shared" si="24"/>
        <v>...</v>
      </c>
      <c r="AF26" s="2"/>
      <c r="AG26" s="2"/>
      <c r="AH26" s="2"/>
      <c r="AI26" s="2"/>
      <c r="AJ26" s="2"/>
      <c r="AK26" s="2"/>
    </row>
    <row r="27" ht="24.0" customHeight="1">
      <c r="A27" s="4" t="s">
        <v>88</v>
      </c>
      <c r="B27" s="4" t="s">
        <v>121</v>
      </c>
      <c r="C27" s="5" t="str">
        <f>IFERROR(__xludf.DUMMYFUNCTION("if(B27=0,""..."", sparkline(query(GOOGLEFINANCE(""BCBA:""&amp;B27,""price"",today()-$AI$36,today()),""select Col2"",0),{""charttype"",$AI$35}))"),"")</f>
        <v/>
      </c>
      <c r="D27" s="17">
        <v>46024.0</v>
      </c>
      <c r="E27" s="6" t="s">
        <v>22</v>
      </c>
      <c r="F27" s="17">
        <v>46024.0</v>
      </c>
      <c r="G27" s="8">
        <f t="shared" si="1"/>
        <v>0</v>
      </c>
      <c r="H27" s="6">
        <v>18.0</v>
      </c>
      <c r="I27" s="44">
        <v>13770.0</v>
      </c>
      <c r="J27" s="45">
        <f t="shared" si="2"/>
        <v>247860</v>
      </c>
      <c r="K27" s="47">
        <f t="array" ref="K27">IF(B27=0,"...",J27/VLOOKUP(D27,{CCL!M:N;CCL!$P:$Q},2,FALSE))</f>
        <v>160.3379349</v>
      </c>
      <c r="L27" s="46">
        <v>13600.0</v>
      </c>
      <c r="M27" s="45">
        <f>if(B27=0,"...",L27*(1-VLOOKUP(A27,Config!$B$3:$C$22,2,FALSE)))</f>
        <v>13504.8</v>
      </c>
      <c r="N27" s="45">
        <f t="shared" si="3"/>
        <v>243086.4</v>
      </c>
      <c r="O27" s="12">
        <f>IFERROR(__xludf.DUMMYFUNCTION("if(B27=0,""..."",GOOGLEFINANCE(B27,""changepct"")/100)"),0.0024)</f>
        <v>0.0024</v>
      </c>
      <c r="P27" s="10">
        <f>IFERROR(__xludf.DUMMYFUNCTION("if(B27=0,""..."",GOOGLEFINANCE(B27,""change"")*H27)"),8.280000000000001)</f>
        <v>8.28</v>
      </c>
      <c r="Q27" s="12">
        <f t="shared" si="4"/>
        <v>-0.01925925926</v>
      </c>
      <c r="R27" s="47">
        <f t="shared" si="5"/>
        <v>-4773.6</v>
      </c>
      <c r="S27" s="12">
        <f t="array" ref="S27">IF(B27=0,"...",(N27/IF(E27="ABIERTA",CCL!$E$2,VLOOKUP(F27,{CCL!M:N;CCL!$P:$Q},2,FALSE))/(J27/VLOOKUP(D27,{CCL!M:N;CCL!$P:$Q},2,FALSE))-1))</f>
        <v>-0.01925925926</v>
      </c>
      <c r="T27" s="47">
        <f t="array" ref="T27">IF(B27=0,"...",(N27/IF(E27="ABIERTA",CCL!$E$2,VLOOKUP(F27,{CCL!M:N;CCL!$P:$Q},2,FALSE))-K27))</f>
        <v>-3.087989857</v>
      </c>
      <c r="U27" s="2"/>
      <c r="V27" s="10"/>
      <c r="W27" s="59" t="str">
        <f t="shared" si="16"/>
        <v>...</v>
      </c>
      <c r="X27" s="12" t="str">
        <f t="shared" si="17"/>
        <v/>
      </c>
      <c r="Y27" s="45" t="str">
        <f t="shared" si="18"/>
        <v>...</v>
      </c>
      <c r="Z27" s="45" t="str">
        <f t="shared" si="19"/>
        <v>...</v>
      </c>
      <c r="AA27" s="12" t="str">
        <f t="shared" si="20"/>
        <v>...</v>
      </c>
      <c r="AB27" s="45" t="str">
        <f t="shared" si="21"/>
        <v>...</v>
      </c>
      <c r="AC27" s="45" t="str">
        <f t="shared" si="22"/>
        <v>...</v>
      </c>
      <c r="AD27" s="12" t="str">
        <f t="shared" si="23"/>
        <v>...</v>
      </c>
      <c r="AE27" s="46" t="str">
        <f t="shared" si="24"/>
        <v>...</v>
      </c>
      <c r="AF27" s="2"/>
      <c r="AG27" s="18" t="s">
        <v>126</v>
      </c>
      <c r="AH27" s="19">
        <f>SUMIFS(K2:K235,E2:E235,"ABIERTA")</f>
        <v>3660.385957</v>
      </c>
      <c r="AI27" s="18" t="s">
        <v>127</v>
      </c>
      <c r="AJ27" s="19">
        <f>AH27+AH29</f>
        <v>3365.124641</v>
      </c>
      <c r="AK27" s="2"/>
    </row>
    <row r="28" ht="24.0" customHeight="1">
      <c r="A28" s="4" t="s">
        <v>88</v>
      </c>
      <c r="B28" s="4" t="s">
        <v>120</v>
      </c>
      <c r="C28" s="5" t="str">
        <f>IFERROR(__xludf.DUMMYFUNCTION("if(B28=0,""..."", sparkline(query(GOOGLEFINANCE(""BCBA:""&amp;B28,""price"",today()-$AI$36,today()),""select Col2"",0),{""charttype"",$AI$35}))"),"")</f>
        <v/>
      </c>
      <c r="D28" s="17">
        <v>46035.0</v>
      </c>
      <c r="E28" s="6" t="s">
        <v>24</v>
      </c>
      <c r="F28" s="7"/>
      <c r="G28" s="8">
        <f t="shared" si="1"/>
        <v>82</v>
      </c>
      <c r="H28" s="6">
        <v>22.0</v>
      </c>
      <c r="I28" s="44">
        <v>26700.0</v>
      </c>
      <c r="J28" s="45">
        <f t="shared" si="2"/>
        <v>587400</v>
      </c>
      <c r="K28" s="47">
        <f t="array" ref="K28">IF(B28=0,"...",J28/VLOOKUP(D28,{CCL!M:N;CCL!$P:$Q},2,FALSE))</f>
        <v>385.8584266</v>
      </c>
      <c r="L28" s="45">
        <f>IFERROR(__xludf.DUMMYFUNCTION("if(B28=0,""..."",if(E28=""CERRADA"",""Valor Venta"", GOOGLEFINANCE(""BCBA:""&amp;B28)))"),21350.0)</f>
        <v>21350</v>
      </c>
      <c r="M28" s="45">
        <f>if(B28=0,"...",L28*(1-VLOOKUP(A28,Config!$B$3:$C$22,2,FALSE)))</f>
        <v>21200.55</v>
      </c>
      <c r="N28" s="45">
        <f t="shared" si="3"/>
        <v>466412.1</v>
      </c>
      <c r="O28" s="12">
        <f>IFERROR(__xludf.DUMMYFUNCTION("if(B28=0,""..."",GOOGLEFINANCE(B28,""changepct"")/100)"),-0.002)</f>
        <v>-0.002</v>
      </c>
      <c r="P28" s="10">
        <f>IFERROR(__xludf.DUMMYFUNCTION("if(B28=0,""..."",GOOGLEFINANCE(B28,""change"")*H28)"),-75.9)</f>
        <v>-75.9</v>
      </c>
      <c r="Q28" s="12">
        <f t="shared" si="4"/>
        <v>-0.2059719101</v>
      </c>
      <c r="R28" s="47">
        <f t="shared" si="5"/>
        <v>-120987.9</v>
      </c>
      <c r="S28" s="12">
        <f t="array" ref="S28">IF(B28=0,"...",(N28/IF(E28="ABIERTA",CCL!$E$2,VLOOKUP(F28,{CCL!M:N;CCL!$P:$Q},2,FALSE))/(J28/VLOOKUP(D28,{CCL!M:N;CCL!$P:$Q},2,FALSE))-1))</f>
        <v>-0.1818573611</v>
      </c>
      <c r="T28" s="47">
        <f t="array" ref="T28">IF(B28=0,"...",(N28/IF(E28="ABIERTA",CCL!$E$2,VLOOKUP(F28,{CCL!M:N;CCL!$P:$Q},2,FALSE))-K28))</f>
        <v>-70.17119523</v>
      </c>
      <c r="U28" s="2"/>
      <c r="V28" s="10"/>
      <c r="W28" s="59" t="str">
        <f t="shared" si="16"/>
        <v>...</v>
      </c>
      <c r="X28" s="12" t="str">
        <f t="shared" si="17"/>
        <v/>
      </c>
      <c r="Y28" s="45" t="str">
        <f t="shared" si="18"/>
        <v>...</v>
      </c>
      <c r="Z28" s="45" t="str">
        <f t="shared" si="19"/>
        <v>...</v>
      </c>
      <c r="AA28" s="12" t="str">
        <f t="shared" si="20"/>
        <v>...</v>
      </c>
      <c r="AB28" s="45" t="str">
        <f t="shared" si="21"/>
        <v>...</v>
      </c>
      <c r="AC28" s="45" t="str">
        <f t="shared" si="22"/>
        <v>...</v>
      </c>
      <c r="AD28" s="12" t="str">
        <f t="shared" si="23"/>
        <v>...</v>
      </c>
      <c r="AE28" s="46" t="str">
        <f t="shared" si="24"/>
        <v>...</v>
      </c>
      <c r="AF28" s="2"/>
      <c r="AK28" s="2"/>
    </row>
    <row r="29" ht="24.0" customHeight="1">
      <c r="A29" s="4" t="s">
        <v>88</v>
      </c>
      <c r="B29" s="4" t="s">
        <v>119</v>
      </c>
      <c r="C29" s="5" t="str">
        <f>IFERROR(__xludf.DUMMYFUNCTION("if(B29=0,""..."", sparkline(query(GOOGLEFINANCE(""BCBA:""&amp;B29,""price"",today()-$AI$36,today()),""select Col2"",0),{""charttype"",$AI$35}))"),"")</f>
        <v/>
      </c>
      <c r="D29" s="17">
        <v>46044.0</v>
      </c>
      <c r="E29" s="6" t="s">
        <v>24</v>
      </c>
      <c r="F29" s="17"/>
      <c r="G29" s="8">
        <f t="shared" si="1"/>
        <v>73</v>
      </c>
      <c r="H29" s="6">
        <v>16.0</v>
      </c>
      <c r="I29" s="44">
        <v>18850.0</v>
      </c>
      <c r="J29" s="45">
        <f t="shared" si="2"/>
        <v>301600</v>
      </c>
      <c r="K29" s="47">
        <f t="array" ref="K29">IF(B29=0,"...",J29/VLOOKUP(D29,{CCL!M:N;CCL!$P:$Q},2,FALSE))</f>
        <v>200.5172494</v>
      </c>
      <c r="L29" s="45">
        <f>IFERROR(__xludf.DUMMYFUNCTION("if(B29=0,""..."",if(E29=""CERRADA"",""Valor Venta"", GOOGLEFINANCE(""BCBA:""&amp;B29)))"),18990.0)</f>
        <v>18990</v>
      </c>
      <c r="M29" s="45">
        <f>if(B29=0,"...",L29*(1-VLOOKUP(A29,Config!$B$3:$C$22,2,FALSE)))</f>
        <v>18857.07</v>
      </c>
      <c r="N29" s="45">
        <f t="shared" si="3"/>
        <v>301713.12</v>
      </c>
      <c r="O29" s="12">
        <f>IFERROR(__xludf.DUMMYFUNCTION("if(B29=0,""..."",GOOGLEFINANCE(B29,""changepct"")/100)"),0.0011)</f>
        <v>0.0011</v>
      </c>
      <c r="P29" s="10">
        <f>IFERROR(__xludf.DUMMYFUNCTION("if(B29=0,""..."",GOOGLEFINANCE(B29,""change"")*H29)"),4.64)</f>
        <v>4.64</v>
      </c>
      <c r="Q29" s="12">
        <f t="shared" si="4"/>
        <v>0.000375066313</v>
      </c>
      <c r="R29" s="47">
        <f t="shared" si="5"/>
        <v>113.12</v>
      </c>
      <c r="S29" s="12">
        <f t="array" ref="S29">IF(B29=0,"...",(N29/IF(E29="ABIERTA",CCL!$E$2,VLOOKUP(F29,{CCL!M:N;CCL!$P:$Q},2,FALSE))/(J29/VLOOKUP(D29,{CCL!M:N;CCL!$P:$Q},2,FALSE))-1))</f>
        <v>0.01842643811</v>
      </c>
      <c r="T29" s="47">
        <f>IF(B29=0,"...",(N29/IF(E29="ABIERTA",CCL!$E$2,VLOOKUP(F29,CCL!$A$12:$B$773,2,FALSE))-K29))</f>
        <v>3.694818687</v>
      </c>
      <c r="U29" s="2"/>
      <c r="V29" s="10"/>
      <c r="W29" s="59" t="str">
        <f t="shared" si="16"/>
        <v>...</v>
      </c>
      <c r="X29" s="12" t="str">
        <f t="shared" si="17"/>
        <v/>
      </c>
      <c r="Y29" s="45" t="str">
        <f t="shared" si="18"/>
        <v>...</v>
      </c>
      <c r="Z29" s="45" t="str">
        <f t="shared" si="19"/>
        <v>...</v>
      </c>
      <c r="AA29" s="12" t="str">
        <f t="shared" si="20"/>
        <v>...</v>
      </c>
      <c r="AB29" s="45" t="str">
        <f t="shared" si="21"/>
        <v>...</v>
      </c>
      <c r="AC29" s="45" t="str">
        <f t="shared" si="22"/>
        <v>...</v>
      </c>
      <c r="AD29" s="12" t="str">
        <f t="shared" si="23"/>
        <v>...</v>
      </c>
      <c r="AE29" s="46" t="str">
        <f t="shared" si="24"/>
        <v>...</v>
      </c>
      <c r="AF29" s="2"/>
      <c r="AG29" s="18" t="s">
        <v>128</v>
      </c>
      <c r="AH29" s="19">
        <f>sumifs(T2:T235,E2:E235,"ABIERTA")</f>
        <v>-295.2613153</v>
      </c>
      <c r="AI29" s="18" t="s">
        <v>129</v>
      </c>
      <c r="AJ29" s="19">
        <f>SUMIFS(T2:T235,E2:E235,"CERRADA")</f>
        <v>375.5953528</v>
      </c>
      <c r="AK29" s="2"/>
    </row>
    <row r="30" ht="24.0" customHeight="1">
      <c r="A30" s="4" t="s">
        <v>88</v>
      </c>
      <c r="B30" s="4" t="s">
        <v>130</v>
      </c>
      <c r="C30" s="5" t="str">
        <f>IFERROR(__xludf.DUMMYFUNCTION("if(B30=0,""..."", sparkline(query(GOOGLEFINANCE(""BCBA:""&amp;B30,""price"",today()-$AI$36,today()),""select Col2"",0),{""charttype"",$AI$35}))"),"")</f>
        <v/>
      </c>
      <c r="D30" s="17">
        <v>46050.0</v>
      </c>
      <c r="E30" s="6" t="s">
        <v>24</v>
      </c>
      <c r="F30" s="17"/>
      <c r="G30" s="8">
        <f t="shared" si="1"/>
        <v>67</v>
      </c>
      <c r="H30" s="6">
        <v>10.0</v>
      </c>
      <c r="I30" s="44">
        <v>9740.0</v>
      </c>
      <c r="J30" s="45">
        <f t="shared" si="2"/>
        <v>97400</v>
      </c>
      <c r="K30" s="47">
        <f t="array" ref="K30">IF(B30=0,"...",J30/VLOOKUP(D30,{CCL!M:N;CCL!$P:$Q},2,FALSE))</f>
        <v>65.04607987</v>
      </c>
      <c r="L30" s="45">
        <f>IFERROR(__xludf.DUMMYFUNCTION("if(B30=0,""..."",if(E30=""CERRADA"",""Valor Venta"", GOOGLEFINANCE(""BCBA:""&amp;B30)))"),10600.0)</f>
        <v>10600</v>
      </c>
      <c r="M30" s="45">
        <f>if(B30=0,"...",L30*(1-VLOOKUP(A30,Config!$B$3:$C$22,2,FALSE)))</f>
        <v>10525.8</v>
      </c>
      <c r="N30" s="45">
        <f t="shared" si="3"/>
        <v>105258</v>
      </c>
      <c r="O30" s="12">
        <f>IFERROR(__xludf.DUMMYFUNCTION("if(B30=0,""..."",GOOGLEFINANCE(B30,""changepct"")/100)"),-0.008100000000000001)</f>
        <v>-0.0081</v>
      </c>
      <c r="P30" s="10">
        <f>IFERROR(__xludf.DUMMYFUNCTION("if(B30=0,""..."",GOOGLEFINANCE(B30,""change"")*H30)"),-2.3000000000000003)</f>
        <v>-2.3</v>
      </c>
      <c r="Q30" s="12">
        <f t="shared" si="4"/>
        <v>0.08067761807</v>
      </c>
      <c r="R30" s="47">
        <f t="shared" si="5"/>
        <v>7858</v>
      </c>
      <c r="S30" s="12">
        <f t="array" ref="S30">IF(B30=0,"...",(N30/IF(E30="ABIERTA",CCL!$E$2,VLOOKUP(F30,{CCL!M:N;CCL!$P:$Q},2,FALSE))/(J30/VLOOKUP(D30,{CCL!M:N;CCL!$P:$Q},2,FALSE))-1))</f>
        <v>0.09527000257</v>
      </c>
      <c r="T30" s="47">
        <f>IF(B30=0,"...",(N30/IF(E30="ABIERTA",CCL!$E$2,VLOOKUP(F30,CCL!$A$12:$B$773,2,FALSE))-K30))</f>
        <v>6.196940197</v>
      </c>
      <c r="U30" s="2"/>
      <c r="V30" s="10"/>
      <c r="W30" s="59" t="str">
        <f t="shared" si="16"/>
        <v>...</v>
      </c>
      <c r="X30" s="12" t="str">
        <f t="shared" si="17"/>
        <v/>
      </c>
      <c r="Y30" s="45" t="str">
        <f t="shared" si="18"/>
        <v>...</v>
      </c>
      <c r="Z30" s="45" t="str">
        <f t="shared" si="19"/>
        <v>...</v>
      </c>
      <c r="AA30" s="12" t="str">
        <f t="shared" si="20"/>
        <v>...</v>
      </c>
      <c r="AB30" s="45" t="str">
        <f t="shared" si="21"/>
        <v>...</v>
      </c>
      <c r="AC30" s="45" t="str">
        <f t="shared" si="22"/>
        <v>...</v>
      </c>
      <c r="AD30" s="12" t="str">
        <f t="shared" si="23"/>
        <v>...</v>
      </c>
      <c r="AE30" s="46" t="str">
        <f t="shared" si="24"/>
        <v>...</v>
      </c>
      <c r="AF30" s="2"/>
      <c r="AK30" s="2"/>
    </row>
    <row r="31" ht="24.0" customHeight="1">
      <c r="A31" s="4" t="s">
        <v>88</v>
      </c>
      <c r="B31" s="4" t="s">
        <v>131</v>
      </c>
      <c r="C31" s="5" t="str">
        <f>IFERROR(__xludf.DUMMYFUNCTION("if(B31=0,""..."", sparkline(query(GOOGLEFINANCE(""BCBA:""&amp;B31,""price"",today()-$AI$36,today()),""select Col2"",0),{""charttype"",$AI$35}))"),"")</f>
        <v/>
      </c>
      <c r="D31" s="17">
        <v>46050.0</v>
      </c>
      <c r="E31" s="6" t="s">
        <v>24</v>
      </c>
      <c r="F31" s="17"/>
      <c r="G31" s="8">
        <f t="shared" si="1"/>
        <v>67</v>
      </c>
      <c r="H31" s="6">
        <v>9.0</v>
      </c>
      <c r="I31" s="44">
        <v>10300.0</v>
      </c>
      <c r="J31" s="45">
        <f t="shared" si="2"/>
        <v>92700</v>
      </c>
      <c r="K31" s="47">
        <f t="array" ref="K31">IF(B31=0,"...",J31/VLOOKUP(D31,{CCL!M:N;CCL!$P:$Q},2,FALSE))</f>
        <v>61.907306</v>
      </c>
      <c r="L31" s="45">
        <f>IFERROR(__xludf.DUMMYFUNCTION("if(B31=0,""..."",if(E31=""CERRADA"",""Valor Venta"", GOOGLEFINANCE(""BCBA:""&amp;B31)))"),8180.0)</f>
        <v>8180</v>
      </c>
      <c r="M31" s="45">
        <f>if(B31=0,"...",L31*(1-VLOOKUP(A31,Config!$B$3:$C$22,2,FALSE)))</f>
        <v>8122.74</v>
      </c>
      <c r="N31" s="45">
        <f t="shared" si="3"/>
        <v>73104.66</v>
      </c>
      <c r="O31" s="12">
        <f>IFERROR(__xludf.DUMMYFUNCTION("if(B31=0,""..."",GOOGLEFINANCE(B31,""changepct"")/100)"),0.0064)</f>
        <v>0.0064</v>
      </c>
      <c r="P31" s="10">
        <f>IFERROR(__xludf.DUMMYFUNCTION("if(B31=0,""..."",GOOGLEFINANCE(B31,""change"")*H31)"),13.950000000000001)</f>
        <v>13.95</v>
      </c>
      <c r="Q31" s="12">
        <f t="shared" si="4"/>
        <v>-0.211384466</v>
      </c>
      <c r="R31" s="47">
        <f t="shared" si="5"/>
        <v>-19595.34</v>
      </c>
      <c r="S31" s="12">
        <f t="array" ref="S31">IF(B31=0,"...",(N31/IF(E31="ABIERTA",CCL!$E$2,VLOOKUP(F31,{CCL!M:N;CCL!$P:$Q},2,FALSE))/(J31/VLOOKUP(D31,{CCL!M:N;CCL!$P:$Q},2,FALSE))-1))</f>
        <v>-0.2007357944</v>
      </c>
      <c r="T31" s="47">
        <f>IF(B31=0,"...",(N31/IF(E31="ABIERTA",CCL!$E$2,VLOOKUP(F31,CCL!$A$12:$B$773,2,FALSE))-K31))</f>
        <v>-12.42701225</v>
      </c>
      <c r="U31" s="2"/>
      <c r="V31" s="10"/>
      <c r="W31" s="59" t="str">
        <f t="shared" si="16"/>
        <v>...</v>
      </c>
      <c r="X31" s="12" t="str">
        <f t="shared" si="17"/>
        <v/>
      </c>
      <c r="Y31" s="45" t="str">
        <f t="shared" si="18"/>
        <v>...</v>
      </c>
      <c r="Z31" s="45" t="str">
        <f t="shared" si="19"/>
        <v>...</v>
      </c>
      <c r="AA31" s="12" t="str">
        <f t="shared" si="20"/>
        <v>...</v>
      </c>
      <c r="AB31" s="45" t="str">
        <f t="shared" si="21"/>
        <v>...</v>
      </c>
      <c r="AC31" s="45" t="str">
        <f t="shared" si="22"/>
        <v>...</v>
      </c>
      <c r="AD31" s="12" t="str">
        <f t="shared" si="23"/>
        <v>...</v>
      </c>
      <c r="AE31" s="46" t="str">
        <f t="shared" si="24"/>
        <v>...</v>
      </c>
      <c r="AF31" s="2"/>
      <c r="AG31" s="18" t="s">
        <v>132</v>
      </c>
      <c r="AH31" s="22">
        <f>AH29/(AH27-AH29)</f>
        <v>-0.07464298381</v>
      </c>
      <c r="AI31" s="18" t="s">
        <v>132</v>
      </c>
      <c r="AJ31" s="22">
        <f>AJ29/(AJ27-AJ29)</f>
        <v>0.1256369537</v>
      </c>
      <c r="AK31" s="2"/>
    </row>
    <row r="32" ht="24.0" customHeight="1">
      <c r="A32" s="4" t="s">
        <v>88</v>
      </c>
      <c r="B32" s="4" t="s">
        <v>133</v>
      </c>
      <c r="C32" s="5" t="str">
        <f>IFERROR(__xludf.DUMMYFUNCTION("if(B32=0,""..."", sparkline(query(GOOGLEFINANCE(""BCBA:""&amp;B32,""price"",today()-$AI$36,today()),""select Col2"",0),{""charttype"",$AI$35}))"),"")</f>
        <v/>
      </c>
      <c r="D32" s="17">
        <v>46050.0</v>
      </c>
      <c r="E32" s="6" t="s">
        <v>24</v>
      </c>
      <c r="F32" s="17"/>
      <c r="G32" s="8">
        <f t="shared" si="1"/>
        <v>67</v>
      </c>
      <c r="H32" s="6">
        <v>6.0</v>
      </c>
      <c r="I32" s="44">
        <v>14660.0</v>
      </c>
      <c r="J32" s="45">
        <f t="shared" si="2"/>
        <v>87960</v>
      </c>
      <c r="K32" s="47">
        <f t="array" ref="K32">IF(B32=0,"...",J32/VLOOKUP(D32,{CCL!M:N;CCL!$P:$Q},2,FALSE))</f>
        <v>58.74181915</v>
      </c>
      <c r="L32" s="45">
        <f>IFERROR(__xludf.DUMMYFUNCTION("if(B32=0,""..."",if(E32=""CERRADA"",""Valor Venta"", GOOGLEFINANCE(""BCBA:""&amp;B32)))"),14230.0)</f>
        <v>14230</v>
      </c>
      <c r="M32" s="45">
        <f>if(B32=0,"...",L32*(1-VLOOKUP(A32,Config!$B$3:$C$22,2,FALSE)))</f>
        <v>14130.39</v>
      </c>
      <c r="N32" s="45">
        <f t="shared" si="3"/>
        <v>84782.34</v>
      </c>
      <c r="O32" s="12">
        <f>IFERROR(__xludf.DUMMYFUNCTION("if(B32=0,""..."",GOOGLEFINANCE(B32,""changepct"")/100)"),0.0489)</f>
        <v>0.0489</v>
      </c>
      <c r="P32" s="10">
        <f>IFERROR(__xludf.DUMMYFUNCTION("if(B32=0,""..."",GOOGLEFINANCE(B32,""change"")*H32)"),14.100000000000001)</f>
        <v>14.1</v>
      </c>
      <c r="Q32" s="12">
        <f t="shared" si="4"/>
        <v>-0.03612619372</v>
      </c>
      <c r="R32" s="47">
        <f t="shared" si="5"/>
        <v>-3177.66</v>
      </c>
      <c r="S32" s="12">
        <f t="array" ref="S32">IF(B32=0,"...",(N32/IF(E32="ABIERTA",CCL!$E$2,VLOOKUP(F32,{CCL!M:N;CCL!$P:$Q},2,FALSE))/(J32/VLOOKUP(D32,{CCL!M:N;CCL!$P:$Q},2,FALSE))-1))</f>
        <v>-0.02311101051</v>
      </c>
      <c r="T32" s="47">
        <f>IF(B32=0,"...",(N32/IF(E32="ABIERTA",CCL!$E$2,VLOOKUP(F32,CCL!$A$12:$B$773,2,FALSE))-K32))</f>
        <v>-1.3575828</v>
      </c>
      <c r="U32" s="2"/>
      <c r="V32" s="10"/>
      <c r="W32" s="59" t="str">
        <f t="shared" si="16"/>
        <v>...</v>
      </c>
      <c r="X32" s="12" t="str">
        <f t="shared" si="17"/>
        <v/>
      </c>
      <c r="Y32" s="45" t="str">
        <f t="shared" si="18"/>
        <v>...</v>
      </c>
      <c r="Z32" s="45" t="str">
        <f t="shared" si="19"/>
        <v>...</v>
      </c>
      <c r="AA32" s="12" t="str">
        <f t="shared" si="20"/>
        <v>...</v>
      </c>
      <c r="AB32" s="45" t="str">
        <f t="shared" si="21"/>
        <v>...</v>
      </c>
      <c r="AC32" s="45" t="str">
        <f t="shared" si="22"/>
        <v>...</v>
      </c>
      <c r="AD32" s="12" t="str">
        <f t="shared" si="23"/>
        <v>...</v>
      </c>
      <c r="AE32" s="46" t="str">
        <f t="shared" si="24"/>
        <v>...</v>
      </c>
      <c r="AF32" s="2"/>
      <c r="AK32" s="2"/>
    </row>
    <row r="33" ht="24.0" customHeight="1">
      <c r="A33" s="4" t="s">
        <v>88</v>
      </c>
      <c r="B33" s="4" t="s">
        <v>121</v>
      </c>
      <c r="C33" s="5" t="str">
        <f>IFERROR(__xludf.DUMMYFUNCTION("if(B33=0,""..."", sparkline(query(GOOGLEFINANCE(""BCBA:""&amp;B33,""price"",today()-$AI$36,today()),""select Col2"",0),{""charttype"",$AI$35}))"),"")</f>
        <v/>
      </c>
      <c r="D33" s="17">
        <v>46059.0</v>
      </c>
      <c r="E33" s="6" t="s">
        <v>24</v>
      </c>
      <c r="F33" s="17"/>
      <c r="G33" s="8">
        <f t="shared" si="1"/>
        <v>58</v>
      </c>
      <c r="H33" s="6">
        <v>17.0</v>
      </c>
      <c r="I33" s="44">
        <v>13470.0</v>
      </c>
      <c r="J33" s="45">
        <f t="shared" si="2"/>
        <v>228990</v>
      </c>
      <c r="K33" s="47">
        <f>IF(B33=0,"...",J33/1488)</f>
        <v>153.891129</v>
      </c>
      <c r="L33" s="45">
        <f>IFERROR(__xludf.DUMMYFUNCTION("if(B33=0,""..."",if(E33=""CERRADA"",""Valor Venta"", GOOGLEFINANCE(""BCBA:""&amp;B33)))"),11220.0)</f>
        <v>11220</v>
      </c>
      <c r="M33" s="45">
        <f>if(B33=0,"...",L33*(1-VLOOKUP(A33,Config!$B$3:$C$22,2,FALSE)))</f>
        <v>11141.46</v>
      </c>
      <c r="N33" s="45">
        <f t="shared" si="3"/>
        <v>189404.82</v>
      </c>
      <c r="O33" s="12">
        <f>IFERROR(__xludf.DUMMYFUNCTION("if(B33=0,""..."",GOOGLEFINANCE(B33,""changepct"")/100)"),0.0024)</f>
        <v>0.0024</v>
      </c>
      <c r="P33" s="10">
        <f>IFERROR(__xludf.DUMMYFUNCTION("if(B33=0,""..."",GOOGLEFINANCE(B33,""change"")*H33)"),7.82)</f>
        <v>7.82</v>
      </c>
      <c r="Q33" s="12">
        <f t="shared" si="4"/>
        <v>-0.1728685969</v>
      </c>
      <c r="R33" s="47">
        <f t="shared" si="5"/>
        <v>-39585.18</v>
      </c>
      <c r="S33" s="12">
        <f t="array" ref="S33">IF(B33=0,"...",(N33/IF(E33="ABIERTA",CCL!$E$2,VLOOKUP(F33,{CCL!M:N;CCL!$P:$Q},2,FALSE))/(J33/1488)-1))</f>
        <v>-0.1669623149</v>
      </c>
      <c r="T33" s="47">
        <f>IF(B33=0,"...",(N33/IF(E33="ABIERTA",CCL!$E$2,VLOOKUP(F33,CCL!$A$12:$B$773,2,FALSE))-K33))</f>
        <v>-25.69401915</v>
      </c>
      <c r="U33" s="2"/>
      <c r="V33" s="10"/>
      <c r="W33" s="59" t="str">
        <f t="shared" si="16"/>
        <v>...</v>
      </c>
      <c r="X33" s="12" t="str">
        <f t="shared" si="17"/>
        <v/>
      </c>
      <c r="Y33" s="45" t="str">
        <f t="shared" si="18"/>
        <v>...</v>
      </c>
      <c r="Z33" s="45" t="str">
        <f t="shared" si="19"/>
        <v>...</v>
      </c>
      <c r="AA33" s="12" t="str">
        <f t="shared" si="20"/>
        <v>...</v>
      </c>
      <c r="AB33" s="45" t="str">
        <f t="shared" si="21"/>
        <v>...</v>
      </c>
      <c r="AC33" s="45" t="str">
        <f t="shared" si="22"/>
        <v>...</v>
      </c>
      <c r="AD33" s="12" t="str">
        <f t="shared" si="23"/>
        <v>...</v>
      </c>
      <c r="AE33" s="46" t="str">
        <f t="shared" si="24"/>
        <v>...</v>
      </c>
      <c r="AF33" s="2"/>
      <c r="AG33" s="18" t="s">
        <v>134</v>
      </c>
      <c r="AH33" s="60">
        <f>SUMIFS(T2:T235,E2:E235,"CERRADA")</f>
        <v>375.5953528</v>
      </c>
      <c r="AI33" s="2"/>
      <c r="AJ33" s="2"/>
      <c r="AK33" s="2"/>
    </row>
    <row r="34" ht="24.0" customHeight="1">
      <c r="A34" s="4"/>
      <c r="B34" s="4"/>
      <c r="C34" s="5" t="str">
        <f>IFERROR(__xludf.DUMMYFUNCTION("if(B34=0,""..."", sparkline(query(GOOGLEFINANCE(""BCBA:""&amp;B34,""price"",today()-$AI$36,today()),""select Col2"",0),{""charttype"",$AI$35}))"),"...")</f>
        <v>...</v>
      </c>
      <c r="D34" s="17"/>
      <c r="E34" s="31"/>
      <c r="F34" s="17"/>
      <c r="G34" s="8" t="str">
        <f t="shared" si="1"/>
        <v>...</v>
      </c>
      <c r="H34" s="6"/>
      <c r="I34" s="44"/>
      <c r="J34" s="45" t="str">
        <f t="shared" si="2"/>
        <v>...</v>
      </c>
      <c r="K34" s="47" t="str">
        <f t="array" ref="K34">IF(B34=0,"...",J34/VLOOKUP(D34,{CCL!M:N;CCL!$P:$Q},2,FALSE))</f>
        <v>...</v>
      </c>
      <c r="L34" s="45" t="str">
        <f>IFERROR(__xludf.DUMMYFUNCTION("if(B34=0,""..."",if(E34=""CERRADA"",""Valor Venta"", GOOGLEFINANCE(""BCBA:""&amp;B34)))"),"...")</f>
        <v>...</v>
      </c>
      <c r="M34" s="45" t="str">
        <f>if(B34=0,"...",L34*(1-VLOOKUP(A34,Config!$B$3:$C$22,2,FALSE)))</f>
        <v>...</v>
      </c>
      <c r="N34" s="45" t="str">
        <f t="shared" si="3"/>
        <v>...</v>
      </c>
      <c r="O34" s="12" t="str">
        <f>IFERROR(__xludf.DUMMYFUNCTION("if(B34=0,""..."",GOOGLEFINANCE(B34,""changepct"")/100)"),"...")</f>
        <v>...</v>
      </c>
      <c r="P34" s="10" t="str">
        <f>IFERROR(__xludf.DUMMYFUNCTION("if(B34=0,""..."",GOOGLEFINANCE(B34,""change"")*H34)"),"...")</f>
        <v>...</v>
      </c>
      <c r="Q34" s="12" t="str">
        <f t="shared" si="4"/>
        <v>...</v>
      </c>
      <c r="R34" s="47" t="str">
        <f t="shared" si="5"/>
        <v>...</v>
      </c>
      <c r="S34" s="12" t="str">
        <f t="array" ref="S34">IF(B34=0,"...",(N34/IF(E34="ABIERTA",CCL!$E$2,VLOOKUP(F34,{CCL!M:N;CCL!$P:$Q},2,FALSE))/(J34/VLOOKUP(D34,{CCL!M:N;CCL!$P:$Q},2,FALSE))-1))</f>
        <v>...</v>
      </c>
      <c r="T34" s="47" t="str">
        <f>IF(B34=0,"...",(N34/IF(E34="ABIERTA",CCL!$E$2,VLOOKUP(F34,CCL!$A$12:$B$773,2,FALSE))-K34))</f>
        <v>...</v>
      </c>
      <c r="U34" s="2"/>
      <c r="V34" s="11"/>
      <c r="W34" s="59" t="str">
        <f t="shared" si="16"/>
        <v>...</v>
      </c>
      <c r="X34" s="12" t="str">
        <f t="shared" si="17"/>
        <v/>
      </c>
      <c r="Y34" s="45" t="str">
        <f t="shared" si="18"/>
        <v>...</v>
      </c>
      <c r="Z34" s="45" t="str">
        <f t="shared" si="19"/>
        <v>...</v>
      </c>
      <c r="AA34" s="12" t="str">
        <f t="shared" si="20"/>
        <v>...</v>
      </c>
      <c r="AB34" s="45" t="str">
        <f t="shared" si="21"/>
        <v>...</v>
      </c>
      <c r="AC34" s="45" t="str">
        <f t="shared" si="22"/>
        <v>...</v>
      </c>
      <c r="AD34" s="12" t="str">
        <f t="shared" si="23"/>
        <v>...</v>
      </c>
      <c r="AE34" s="46" t="str">
        <f t="shared" si="24"/>
        <v>...</v>
      </c>
      <c r="AF34" s="2"/>
      <c r="AI34" s="2"/>
      <c r="AJ34" s="2"/>
      <c r="AK34" s="2"/>
    </row>
    <row r="35" ht="24.0" customHeight="1">
      <c r="A35" s="4"/>
      <c r="B35" s="4"/>
      <c r="C35" s="5" t="str">
        <f>IFERROR(__xludf.DUMMYFUNCTION("if(B35=0,""..."", sparkline(query(GOOGLEFINANCE(""BCBA:""&amp;B35,""price"",today()-$AI$36,today()),""select Col2"",0),{""charttype"",$AI$35}))"),"...")</f>
        <v>...</v>
      </c>
      <c r="D35" s="17"/>
      <c r="E35" s="31"/>
      <c r="F35" s="7"/>
      <c r="G35" s="8" t="str">
        <f t="shared" si="1"/>
        <v>...</v>
      </c>
      <c r="H35" s="6"/>
      <c r="I35" s="44"/>
      <c r="J35" s="45" t="str">
        <f t="shared" si="2"/>
        <v>...</v>
      </c>
      <c r="K35" s="47" t="str">
        <f t="array" ref="K35">IF(B35=0,"...",J35/VLOOKUP(D35,{CCL!M:N;CCL!$P:$Q},2,FALSE))</f>
        <v>...</v>
      </c>
      <c r="L35" s="45" t="str">
        <f>IFERROR(__xludf.DUMMYFUNCTION("if(B35=0,""..."",if(E35=""CERRADA"",""Valor Venta"", GOOGLEFINANCE(""BCBA:""&amp;B35)))"),"...")</f>
        <v>...</v>
      </c>
      <c r="M35" s="45" t="str">
        <f>if(B35=0,"...",L35*(1-VLOOKUP(A35,Config!$B$3:$C$22,2,FALSE)))</f>
        <v>...</v>
      </c>
      <c r="N35" s="45" t="str">
        <f t="shared" si="3"/>
        <v>...</v>
      </c>
      <c r="O35" s="12" t="str">
        <f>IFERROR(__xludf.DUMMYFUNCTION("if(B35=0,""..."",GOOGLEFINANCE(B35,""changepct"")/100)"),"...")</f>
        <v>...</v>
      </c>
      <c r="P35" s="10" t="str">
        <f>IFERROR(__xludf.DUMMYFUNCTION("if(B35=0,""..."",GOOGLEFINANCE(B35,""change"")*H35)"),"...")</f>
        <v>...</v>
      </c>
      <c r="Q35" s="12" t="str">
        <f t="shared" si="4"/>
        <v>...</v>
      </c>
      <c r="R35" s="47" t="str">
        <f t="shared" si="5"/>
        <v>...</v>
      </c>
      <c r="S35" s="12" t="str">
        <f t="array" ref="S35">IF(B35=0,"...",(N35/IF(E35="ABIERTA",CCL!$E$2,VLOOKUP(F35,{CCL!M:N;CCL!$P:$Q},2,FALSE))/(J35/VLOOKUP(D35,{CCL!M:N;CCL!$P:$Q},2,FALSE))-1))</f>
        <v>...</v>
      </c>
      <c r="T35" s="47" t="str">
        <f>IF(B35=0,"...",(N35/IF(E35="ABIERTA",CCL!$E$2,VLOOKUP(F35,CCL!$A$12:$B$773,2,FALSE))-K35))</f>
        <v>...</v>
      </c>
      <c r="U35" s="2"/>
      <c r="V35" s="10"/>
      <c r="W35" s="59" t="str">
        <f t="shared" si="16"/>
        <v>...</v>
      </c>
      <c r="X35" s="12" t="str">
        <f t="shared" si="17"/>
        <v/>
      </c>
      <c r="Y35" s="45" t="str">
        <f t="shared" si="18"/>
        <v>...</v>
      </c>
      <c r="Z35" s="45" t="str">
        <f t="shared" si="19"/>
        <v>...</v>
      </c>
      <c r="AA35" s="12" t="str">
        <f t="shared" si="20"/>
        <v>...</v>
      </c>
      <c r="AB35" s="45" t="str">
        <f t="shared" si="21"/>
        <v>...</v>
      </c>
      <c r="AC35" s="45" t="str">
        <f t="shared" si="22"/>
        <v>...</v>
      </c>
      <c r="AD35" s="12" t="str">
        <f t="shared" si="23"/>
        <v>...</v>
      </c>
      <c r="AE35" s="46" t="str">
        <f t="shared" si="24"/>
        <v>...</v>
      </c>
      <c r="AF35" s="2"/>
      <c r="AG35" s="23" t="s">
        <v>56</v>
      </c>
      <c r="AH35" s="24" t="s">
        <v>57</v>
      </c>
      <c r="AI35" s="25" t="s">
        <v>58</v>
      </c>
      <c r="AJ35" s="2"/>
      <c r="AK35" s="2"/>
    </row>
    <row r="36" ht="24.0" customHeight="1">
      <c r="A36" s="4"/>
      <c r="B36" s="4"/>
      <c r="C36" s="5" t="str">
        <f>IFERROR(__xludf.DUMMYFUNCTION("if(B36=0,""..."", sparkline(query(GOOGLEFINANCE(""BCBA:""&amp;B36,""price"",today()-$AI$36,today()),""select Col2"",0),{""charttype"",$AI$35}))"),"...")</f>
        <v>...</v>
      </c>
      <c r="D36" s="17"/>
      <c r="E36" s="31"/>
      <c r="F36" s="7"/>
      <c r="G36" s="8" t="str">
        <f t="shared" si="1"/>
        <v>...</v>
      </c>
      <c r="H36" s="6"/>
      <c r="I36" s="44"/>
      <c r="J36" s="45" t="str">
        <f t="shared" si="2"/>
        <v>...</v>
      </c>
      <c r="K36" s="47" t="str">
        <f t="array" ref="K36">IF(B36=0,"...",J36/VLOOKUP(D36,{CCL!M:N;CCL!$P:$Q},2,FALSE))</f>
        <v>...</v>
      </c>
      <c r="L36" s="45" t="str">
        <f>IFERROR(__xludf.DUMMYFUNCTION("if(B36=0,""..."",if(E36=""CERRADA"",""Valor Venta"", GOOGLEFINANCE(""BCBA:""&amp;B36)))"),"...")</f>
        <v>...</v>
      </c>
      <c r="M36" s="45" t="str">
        <f>if(B36=0,"...",L36*(1-VLOOKUP(A36,Config!$B$3:$C$22,2,FALSE)))</f>
        <v>...</v>
      </c>
      <c r="N36" s="45" t="str">
        <f t="shared" si="3"/>
        <v>...</v>
      </c>
      <c r="O36" s="12" t="str">
        <f>IFERROR(__xludf.DUMMYFUNCTION("if(B36=0,""..."",GOOGLEFINANCE(B36,""changepct"")/100)"),"...")</f>
        <v>...</v>
      </c>
      <c r="P36" s="10" t="str">
        <f>IFERROR(__xludf.DUMMYFUNCTION("if(B36=0,""..."",GOOGLEFINANCE(B36,""change"")*H36)"),"...")</f>
        <v>...</v>
      </c>
      <c r="Q36" s="12" t="str">
        <f t="shared" si="4"/>
        <v>...</v>
      </c>
      <c r="R36" s="47" t="str">
        <f t="shared" si="5"/>
        <v>...</v>
      </c>
      <c r="S36" s="12" t="str">
        <f t="array" ref="S36">IF(B36=0,"...",(N36/IF(E36="ABIERTA",CCL!$E$2,VLOOKUP(F36,{CCL!M:N;CCL!$P:$Q},2,FALSE))/(J36/VLOOKUP(D36,{CCL!M:N;CCL!$P:$Q},2,FALSE))-1))</f>
        <v>...</v>
      </c>
      <c r="T36" s="47" t="str">
        <f>IF(B36=0,"...",(N36/IF(E36="ABIERTA",CCL!$E$2,VLOOKUP(F36,CCL!$A$12:$B$773,2,FALSE))-K36))</f>
        <v>...</v>
      </c>
      <c r="U36" s="2"/>
      <c r="V36" s="10"/>
      <c r="W36" s="59" t="str">
        <f t="shared" si="16"/>
        <v>...</v>
      </c>
      <c r="X36" s="12" t="str">
        <f t="shared" si="17"/>
        <v/>
      </c>
      <c r="Y36" s="45" t="str">
        <f t="shared" si="18"/>
        <v>...</v>
      </c>
      <c r="Z36" s="45" t="str">
        <f t="shared" si="19"/>
        <v>...</v>
      </c>
      <c r="AA36" s="12" t="str">
        <f t="shared" si="20"/>
        <v>...</v>
      </c>
      <c r="AB36" s="45" t="str">
        <f t="shared" si="21"/>
        <v>...</v>
      </c>
      <c r="AC36" s="45" t="str">
        <f t="shared" si="22"/>
        <v>...</v>
      </c>
      <c r="AD36" s="12" t="str">
        <f t="shared" si="23"/>
        <v>...</v>
      </c>
      <c r="AE36" s="46" t="str">
        <f t="shared" si="24"/>
        <v>...</v>
      </c>
      <c r="AF36" s="2"/>
      <c r="AG36" s="26"/>
      <c r="AH36" s="24" t="s">
        <v>59</v>
      </c>
      <c r="AI36" s="25">
        <v>14.0</v>
      </c>
      <c r="AJ36" s="2"/>
      <c r="AK36" s="2"/>
    </row>
    <row r="37" ht="24.0" customHeight="1">
      <c r="A37" s="4"/>
      <c r="B37" s="30"/>
      <c r="C37" s="5" t="str">
        <f>IFERROR(__xludf.DUMMYFUNCTION("if(B37=0,""..."", sparkline(query(GOOGLEFINANCE(""BCBA:""&amp;B37,""price"",today()-$AI$36,today()),""select Col2"",0),{""charttype"",$AI$35}))"),"...")</f>
        <v>...</v>
      </c>
      <c r="D37" s="17"/>
      <c r="E37" s="31"/>
      <c r="F37" s="7"/>
      <c r="G37" s="8" t="str">
        <f t="shared" si="1"/>
        <v>...</v>
      </c>
      <c r="H37" s="31"/>
      <c r="I37" s="44"/>
      <c r="J37" s="45" t="str">
        <f t="shared" si="2"/>
        <v>...</v>
      </c>
      <c r="K37" s="47" t="str">
        <f t="array" ref="K37">IF(B37=0,"...",J37/VLOOKUP(D37,{CCL!M:N;CCL!$P:$Q},2,FALSE))</f>
        <v>...</v>
      </c>
      <c r="L37" s="45" t="str">
        <f>IFERROR(__xludf.DUMMYFUNCTION("if(B37=0,""..."",if(E37=""CERRADA"",""Valor Venta"", GOOGLEFINANCE(""BCBA:""&amp;B37)))"),"...")</f>
        <v>...</v>
      </c>
      <c r="M37" s="45" t="str">
        <f>if(B37=0,"...",L37*(1-VLOOKUP(A37,Config!$B$3:$C$22,2,FALSE)))</f>
        <v>...</v>
      </c>
      <c r="N37" s="45" t="str">
        <f t="shared" si="3"/>
        <v>...</v>
      </c>
      <c r="O37" s="12" t="str">
        <f>IFERROR(__xludf.DUMMYFUNCTION("if(B37=0,""..."",GOOGLEFINANCE(B37,""changepct"")/100)"),"...")</f>
        <v>...</v>
      </c>
      <c r="P37" s="10" t="str">
        <f>IFERROR(__xludf.DUMMYFUNCTION("if(B37=0,""..."",GOOGLEFINANCE(B37,""change"")*H37)"),"...")</f>
        <v>...</v>
      </c>
      <c r="Q37" s="12" t="str">
        <f t="shared" si="4"/>
        <v>...</v>
      </c>
      <c r="R37" s="47" t="str">
        <f t="shared" si="5"/>
        <v>...</v>
      </c>
      <c r="S37" s="12" t="str">
        <f t="array" ref="S37">IF(B37=0,"...",(N37/IF(E37="ABIERTA",CCL!$E$2,VLOOKUP(F37,{CCL!M:N;CCL!$P:$Q},2,FALSE))/(J37/VLOOKUP(D37,{CCL!M:N;CCL!$P:$Q},2,FALSE))-1))</f>
        <v>...</v>
      </c>
      <c r="T37" s="47" t="str">
        <f>IF(B37=0,"...",N37/VLOOKUP(IF(E37="ABIERTA",TODAY(),F37),CCL!$A$12:$B$773,2,FALSE)-J37/VLOOKUP(D37,CCL!$A$12:$B235,2,FALSE))</f>
        <v>...</v>
      </c>
      <c r="U37" s="2"/>
      <c r="V37" s="10"/>
      <c r="W37" s="59" t="str">
        <f t="shared" si="16"/>
        <v>...</v>
      </c>
      <c r="X37" s="12" t="str">
        <f t="shared" si="17"/>
        <v/>
      </c>
      <c r="Y37" s="45" t="str">
        <f t="shared" si="18"/>
        <v>...</v>
      </c>
      <c r="Z37" s="45" t="str">
        <f t="shared" si="19"/>
        <v>...</v>
      </c>
      <c r="AA37" s="12" t="str">
        <f t="shared" si="20"/>
        <v>...</v>
      </c>
      <c r="AB37" s="45" t="str">
        <f t="shared" si="21"/>
        <v>...</v>
      </c>
      <c r="AC37" s="45" t="str">
        <f t="shared" si="22"/>
        <v>...</v>
      </c>
      <c r="AD37" s="12" t="str">
        <f t="shared" si="23"/>
        <v>...</v>
      </c>
      <c r="AE37" s="46" t="str">
        <f t="shared" si="24"/>
        <v>...</v>
      </c>
      <c r="AF37" s="2"/>
      <c r="AG37" s="2"/>
      <c r="AH37" s="2"/>
      <c r="AI37" s="2"/>
      <c r="AJ37" s="2"/>
      <c r="AK37" s="2"/>
    </row>
    <row r="38" ht="24.0" customHeight="1">
      <c r="A38" s="4"/>
      <c r="B38" s="30"/>
      <c r="C38" s="5" t="str">
        <f>IFERROR(__xludf.DUMMYFUNCTION("if(B38=0,""..."", sparkline(query(GOOGLEFINANCE(""BCBA:""&amp;B38,""price"",today()-$AI$36,today()),""select Col2"",0),{""charttype"",$AI$35}))"),"...")</f>
        <v>...</v>
      </c>
      <c r="D38" s="17"/>
      <c r="E38" s="31"/>
      <c r="F38" s="7"/>
      <c r="G38" s="8" t="str">
        <f t="shared" si="1"/>
        <v>...</v>
      </c>
      <c r="H38" s="31"/>
      <c r="I38" s="44"/>
      <c r="J38" s="45" t="str">
        <f t="shared" si="2"/>
        <v>...</v>
      </c>
      <c r="K38" s="47" t="str">
        <f t="array" ref="K38">IF(B38=0,"...",J38/VLOOKUP(D38,{CCL!M:N;CCL!$P:$Q},2,FALSE))</f>
        <v>...</v>
      </c>
      <c r="L38" s="45" t="str">
        <f>IFERROR(__xludf.DUMMYFUNCTION("if(B38=0,""..."",if(E38=""CERRADA"",""Valor Venta"", GOOGLEFINANCE(""BCBA:""&amp;B38)))"),"...")</f>
        <v>...</v>
      </c>
      <c r="M38" s="45" t="str">
        <f>if(B38=0,"...",L38*(1-VLOOKUP(A38,Config!$B$3:$C$22,2,FALSE)))</f>
        <v>...</v>
      </c>
      <c r="N38" s="45" t="str">
        <f t="shared" si="3"/>
        <v>...</v>
      </c>
      <c r="O38" s="12" t="str">
        <f>IFERROR(__xludf.DUMMYFUNCTION("if(B38=0,""..."",GOOGLEFINANCE(B38,""changepct"")/100)"),"...")</f>
        <v>...</v>
      </c>
      <c r="P38" s="10" t="str">
        <f>IFERROR(__xludf.DUMMYFUNCTION("if(B38=0,""..."",GOOGLEFINANCE(B38,""change"")*H38)"),"...")</f>
        <v>...</v>
      </c>
      <c r="Q38" s="12" t="str">
        <f t="shared" si="4"/>
        <v>...</v>
      </c>
      <c r="R38" s="47" t="str">
        <f t="shared" si="5"/>
        <v>...</v>
      </c>
      <c r="S38" s="12" t="str">
        <f t="array" ref="S38">IF(B38=0,"...",(N38/IF(E38="ABIERTA",CCL!$E$2,VLOOKUP(F38,{CCL!M:N;CCL!$P:$Q},2,FALSE))/(J38/VLOOKUP(D38,{CCL!M:N;CCL!$P:$Q},2,FALSE))-1))</f>
        <v>...</v>
      </c>
      <c r="T38" s="47" t="str">
        <f>IF(B38=0,"...",N38/VLOOKUP(IF(E38="ABIERTA",TODAY(),F38),CCL!$A$12:$B$773,2,FALSE)-J38/VLOOKUP(D38,CCL!$A$12:$B235,2,FALSE))</f>
        <v>...</v>
      </c>
      <c r="U38" s="2"/>
      <c r="V38" s="10"/>
      <c r="W38" s="59" t="str">
        <f t="shared" si="16"/>
        <v>...</v>
      </c>
      <c r="X38" s="12" t="str">
        <f t="shared" si="17"/>
        <v/>
      </c>
      <c r="Y38" s="45" t="str">
        <f t="shared" si="18"/>
        <v>...</v>
      </c>
      <c r="Z38" s="45" t="str">
        <f t="shared" si="19"/>
        <v>...</v>
      </c>
      <c r="AA38" s="12" t="str">
        <f t="shared" si="20"/>
        <v>...</v>
      </c>
      <c r="AB38" s="45" t="str">
        <f t="shared" si="21"/>
        <v>...</v>
      </c>
      <c r="AC38" s="45" t="str">
        <f t="shared" si="22"/>
        <v>...</v>
      </c>
      <c r="AD38" s="12" t="str">
        <f t="shared" si="23"/>
        <v>...</v>
      </c>
      <c r="AE38" s="46" t="str">
        <f t="shared" si="24"/>
        <v>...</v>
      </c>
      <c r="AF38" s="2"/>
      <c r="AG38" s="2"/>
      <c r="AH38" s="2"/>
      <c r="AI38" s="2"/>
      <c r="AJ38" s="2"/>
      <c r="AK38" s="2"/>
    </row>
    <row r="39" ht="24.0" customHeight="1">
      <c r="A39" s="4"/>
      <c r="B39" s="30"/>
      <c r="C39" s="5" t="str">
        <f>IFERROR(__xludf.DUMMYFUNCTION("if(B39=0,""..."", sparkline(query(GOOGLEFINANCE(""BCBA:""&amp;B39,""price"",today()-$AI$36,today()),""select Col2"",0),{""charttype"",$AI$35}))"),"...")</f>
        <v>...</v>
      </c>
      <c r="D39" s="17"/>
      <c r="E39" s="31"/>
      <c r="F39" s="7"/>
      <c r="G39" s="8" t="str">
        <f t="shared" si="1"/>
        <v>...</v>
      </c>
      <c r="H39" s="31"/>
      <c r="I39" s="44"/>
      <c r="J39" s="45" t="str">
        <f t="shared" si="2"/>
        <v>...</v>
      </c>
      <c r="K39" s="47" t="str">
        <f t="array" ref="K39">IF(B39=0,"...",J39/VLOOKUP(D39,{CCL!M:N;CCL!$P:$Q},2,FALSE))</f>
        <v>...</v>
      </c>
      <c r="L39" s="45" t="str">
        <f>IFERROR(__xludf.DUMMYFUNCTION("if(B39=0,""..."",if(E39=""CERRADA"",""Valor Venta"", GOOGLEFINANCE(""BCBA:""&amp;B39)))"),"...")</f>
        <v>...</v>
      </c>
      <c r="M39" s="45" t="str">
        <f>if(B39=0,"...",L39*(1-VLOOKUP(A39,Config!$B$3:$C$22,2,FALSE)))</f>
        <v>...</v>
      </c>
      <c r="N39" s="45" t="str">
        <f t="shared" si="3"/>
        <v>...</v>
      </c>
      <c r="O39" s="12" t="str">
        <f>IFERROR(__xludf.DUMMYFUNCTION("if(B39=0,""..."",GOOGLEFINANCE(B39,""changepct"")/100)"),"...")</f>
        <v>...</v>
      </c>
      <c r="P39" s="10" t="str">
        <f>IFERROR(__xludf.DUMMYFUNCTION("if(B39=0,""..."",GOOGLEFINANCE(B39,""change"")*H39)"),"...")</f>
        <v>...</v>
      </c>
      <c r="Q39" s="12" t="str">
        <f t="shared" si="4"/>
        <v>...</v>
      </c>
      <c r="R39" s="47" t="str">
        <f t="shared" si="5"/>
        <v>...</v>
      </c>
      <c r="S39" s="12" t="str">
        <f t="array" ref="S39">IF(B39=0,"...",(N39/IF(E39="ABIERTA",CCL!$E$2,VLOOKUP(F39,{CCL!M:N;CCL!$P:$Q},2,FALSE))/(J39/VLOOKUP(D39,{CCL!M:N;CCL!$P:$Q},2,FALSE))-1))</f>
        <v>...</v>
      </c>
      <c r="T39" s="47" t="str">
        <f>IF(B39=0,"...",N39/VLOOKUP(IF(E39="ABIERTA",TODAY(),F39),CCL!$A$12:$B$773,2,FALSE)-J39/VLOOKUP(D39,CCL!$A$12:$B235,2,FALSE))</f>
        <v>...</v>
      </c>
      <c r="U39" s="2"/>
      <c r="V39" s="10"/>
      <c r="W39" s="59" t="str">
        <f t="shared" si="16"/>
        <v>...</v>
      </c>
      <c r="X39" s="12" t="str">
        <f t="shared" si="17"/>
        <v/>
      </c>
      <c r="Y39" s="45" t="str">
        <f t="shared" si="18"/>
        <v>...</v>
      </c>
      <c r="Z39" s="45" t="str">
        <f t="shared" si="19"/>
        <v>...</v>
      </c>
      <c r="AA39" s="12" t="str">
        <f t="shared" si="20"/>
        <v>...</v>
      </c>
      <c r="AB39" s="45" t="str">
        <f t="shared" si="21"/>
        <v>...</v>
      </c>
      <c r="AC39" s="45" t="str">
        <f t="shared" si="22"/>
        <v>...</v>
      </c>
      <c r="AD39" s="12" t="str">
        <f t="shared" si="23"/>
        <v>...</v>
      </c>
      <c r="AE39" s="46" t="str">
        <f t="shared" si="24"/>
        <v>...</v>
      </c>
      <c r="AF39" s="2"/>
      <c r="AG39" s="2"/>
      <c r="AH39" s="2"/>
      <c r="AI39" s="2"/>
      <c r="AJ39" s="2"/>
      <c r="AK39" s="2"/>
    </row>
    <row r="40" ht="24.0" customHeight="1">
      <c r="A40" s="4"/>
      <c r="B40" s="30"/>
      <c r="C40" s="5" t="str">
        <f>IFERROR(__xludf.DUMMYFUNCTION("if(B40=0,""..."", sparkline(query(GOOGLEFINANCE(""BCBA:""&amp;B40,""price"",today()-$AI$36,today()),""select Col2"",0),{""charttype"",$AI$35}))"),"...")</f>
        <v>...</v>
      </c>
      <c r="D40" s="17"/>
      <c r="E40" s="31"/>
      <c r="F40" s="7"/>
      <c r="G40" s="8" t="str">
        <f t="shared" si="1"/>
        <v>...</v>
      </c>
      <c r="H40" s="31"/>
      <c r="I40" s="44"/>
      <c r="J40" s="45" t="str">
        <f t="shared" si="2"/>
        <v>...</v>
      </c>
      <c r="K40" s="47" t="str">
        <f t="array" ref="K40">IF(B40=0,"...",J40/VLOOKUP(D40,{CCL!M:N;CCL!$P:$Q},2,FALSE))</f>
        <v>...</v>
      </c>
      <c r="L40" s="45" t="str">
        <f>IFERROR(__xludf.DUMMYFUNCTION("if(B40=0,""..."",if(E40=""CERRADA"",""Valor Venta"", GOOGLEFINANCE(""BCBA:""&amp;B40)))"),"...")</f>
        <v>...</v>
      </c>
      <c r="M40" s="45" t="str">
        <f>if(B40=0,"...",L40*(1-VLOOKUP(A40,Config!$B$3:$C$22,2,FALSE)))</f>
        <v>...</v>
      </c>
      <c r="N40" s="45" t="str">
        <f t="shared" si="3"/>
        <v>...</v>
      </c>
      <c r="O40" s="12" t="str">
        <f>IFERROR(__xludf.DUMMYFUNCTION("if(B40=0,""..."",GOOGLEFINANCE(B40,""changepct"")/100)"),"...")</f>
        <v>...</v>
      </c>
      <c r="P40" s="10" t="str">
        <f>IFERROR(__xludf.DUMMYFUNCTION("if(B40=0,""..."",GOOGLEFINANCE(B40,""change"")*H40)"),"...")</f>
        <v>...</v>
      </c>
      <c r="Q40" s="12" t="str">
        <f t="shared" si="4"/>
        <v>...</v>
      </c>
      <c r="R40" s="47" t="str">
        <f t="shared" si="5"/>
        <v>...</v>
      </c>
      <c r="S40" s="12" t="str">
        <f t="array" ref="S40">IF(B40=0,"...",(N40/IF(E40="ABIERTA",CCL!$E$2,VLOOKUP(F40,{CCL!M:N;CCL!$P:$Q},2,FALSE))/(J40/VLOOKUP(D40,{CCL!M:N;CCL!$P:$Q},2,FALSE))-1))</f>
        <v>...</v>
      </c>
      <c r="T40" s="47" t="str">
        <f>IF(B40=0,"...",N40/VLOOKUP(IF(E40="ABIERTA",TODAY(),F40),CCL!$A$12:$B$773,2,FALSE)-J40/VLOOKUP(D40,CCL!$A$12:$B235,2,FALSE))</f>
        <v>...</v>
      </c>
      <c r="U40" s="2"/>
      <c r="V40" s="10"/>
      <c r="W40" s="59" t="str">
        <f t="shared" si="16"/>
        <v>...</v>
      </c>
      <c r="X40" s="12" t="str">
        <f t="shared" si="17"/>
        <v/>
      </c>
      <c r="Y40" s="45" t="str">
        <f t="shared" si="18"/>
        <v>...</v>
      </c>
      <c r="Z40" s="45" t="str">
        <f t="shared" si="19"/>
        <v>...</v>
      </c>
      <c r="AA40" s="12" t="str">
        <f t="shared" si="20"/>
        <v>...</v>
      </c>
      <c r="AB40" s="45" t="str">
        <f t="shared" si="21"/>
        <v>...</v>
      </c>
      <c r="AC40" s="45" t="str">
        <f t="shared" si="22"/>
        <v>...</v>
      </c>
      <c r="AD40" s="12" t="str">
        <f t="shared" si="23"/>
        <v>...</v>
      </c>
      <c r="AE40" s="46" t="str">
        <f t="shared" si="24"/>
        <v>...</v>
      </c>
      <c r="AF40" s="2"/>
      <c r="AG40" s="2"/>
      <c r="AH40" s="2"/>
      <c r="AI40" s="2"/>
      <c r="AJ40" s="2"/>
      <c r="AK40" s="2"/>
    </row>
    <row r="41" ht="24.0" customHeight="1">
      <c r="A41" s="4"/>
      <c r="B41" s="30"/>
      <c r="C41" s="5" t="str">
        <f>IFERROR(__xludf.DUMMYFUNCTION("if(B41=0,""..."", sparkline(query(GOOGLEFINANCE(""BCBA:""&amp;B41,""price"",today()-$AI$36,today()),""select Col2"",0),{""charttype"",$AI$35}))"),"...")</f>
        <v>...</v>
      </c>
      <c r="D41" s="17"/>
      <c r="E41" s="31"/>
      <c r="F41" s="7"/>
      <c r="G41" s="8" t="str">
        <f t="shared" si="1"/>
        <v>...</v>
      </c>
      <c r="H41" s="31"/>
      <c r="I41" s="44"/>
      <c r="J41" s="45" t="str">
        <f t="shared" si="2"/>
        <v>...</v>
      </c>
      <c r="K41" s="47" t="str">
        <f t="array" ref="K41">IF(B41=0,"...",J41/VLOOKUP(D41,{CCL!M:N;CCL!$P:$Q},2,FALSE))</f>
        <v>...</v>
      </c>
      <c r="L41" s="45" t="str">
        <f>IFERROR(__xludf.DUMMYFUNCTION("if(B41=0,""..."",if(E41=""CERRADA"",""Valor Venta"", GOOGLEFINANCE(""BCBA:""&amp;B41)))"),"...")</f>
        <v>...</v>
      </c>
      <c r="M41" s="45" t="str">
        <f>if(B41=0,"...",L41*(1-VLOOKUP(A41,Config!$B$3:$C$22,2,FALSE)))</f>
        <v>...</v>
      </c>
      <c r="N41" s="45" t="str">
        <f t="shared" si="3"/>
        <v>...</v>
      </c>
      <c r="O41" s="12" t="str">
        <f>IFERROR(__xludf.DUMMYFUNCTION("if(B41=0,""..."",GOOGLEFINANCE(B41,""changepct"")/100)"),"...")</f>
        <v>...</v>
      </c>
      <c r="P41" s="10" t="str">
        <f>IFERROR(__xludf.DUMMYFUNCTION("if(B41=0,""..."",GOOGLEFINANCE(B41,""change"")*H41)"),"...")</f>
        <v>...</v>
      </c>
      <c r="Q41" s="12" t="str">
        <f t="shared" si="4"/>
        <v>...</v>
      </c>
      <c r="R41" s="47" t="str">
        <f t="shared" si="5"/>
        <v>...</v>
      </c>
      <c r="S41" s="12" t="str">
        <f t="array" ref="S41">IF(B41=0,"...",(N41/IF(E41="ABIERTA",CCL!$E$2,VLOOKUP(F41,{CCL!M:N;CCL!$P:$Q},2,FALSE))/(J41/VLOOKUP(D41,{CCL!M:N;CCL!$P:$Q},2,FALSE))-1))</f>
        <v>...</v>
      </c>
      <c r="T41" s="47" t="str">
        <f>IF(B41=0,"...",N41/VLOOKUP(IF(E41="ABIERTA",TODAY(),F41),CCL!$A$12:$B$773,2,FALSE)-J41/VLOOKUP(D41,CCL!$A$12:$B235,2,FALSE))</f>
        <v>...</v>
      </c>
      <c r="U41" s="2"/>
      <c r="V41" s="10"/>
      <c r="W41" s="59" t="str">
        <f t="shared" si="16"/>
        <v>...</v>
      </c>
      <c r="X41" s="12" t="str">
        <f t="shared" si="17"/>
        <v/>
      </c>
      <c r="Y41" s="45" t="str">
        <f t="shared" si="18"/>
        <v>...</v>
      </c>
      <c r="Z41" s="45" t="str">
        <f t="shared" si="19"/>
        <v>...</v>
      </c>
      <c r="AA41" s="12" t="str">
        <f t="shared" si="20"/>
        <v>...</v>
      </c>
      <c r="AB41" s="45" t="str">
        <f t="shared" si="21"/>
        <v>...</v>
      </c>
      <c r="AC41" s="45" t="str">
        <f t="shared" si="22"/>
        <v>...</v>
      </c>
      <c r="AD41" s="12" t="str">
        <f t="shared" si="23"/>
        <v>...</v>
      </c>
      <c r="AE41" s="46" t="str">
        <f t="shared" si="24"/>
        <v>...</v>
      </c>
      <c r="AF41" s="2"/>
      <c r="AG41" s="2"/>
      <c r="AH41" s="2"/>
      <c r="AI41" s="2"/>
      <c r="AJ41" s="2"/>
      <c r="AK41" s="2"/>
    </row>
    <row r="42" ht="24.0" customHeight="1">
      <c r="A42" s="4"/>
      <c r="B42" s="30"/>
      <c r="C42" s="5" t="str">
        <f>IFERROR(__xludf.DUMMYFUNCTION("if(B42=0,""..."", sparkline(query(GOOGLEFINANCE(""BCBA:""&amp;B42,""price"",today()-$AI$36,today()),""select Col2"",0),{""charttype"",$AI$35}))"),"...")</f>
        <v>...</v>
      </c>
      <c r="D42" s="17"/>
      <c r="E42" s="31"/>
      <c r="F42" s="7"/>
      <c r="G42" s="8" t="str">
        <f t="shared" si="1"/>
        <v>...</v>
      </c>
      <c r="H42" s="31"/>
      <c r="I42" s="44"/>
      <c r="J42" s="45" t="str">
        <f t="shared" si="2"/>
        <v>...</v>
      </c>
      <c r="K42" s="47" t="str">
        <f t="array" ref="K42">IF(B42=0,"...",J42/VLOOKUP(D42,{CCL!M:N;CCL!$P:$Q},2,FALSE))</f>
        <v>...</v>
      </c>
      <c r="L42" s="45" t="str">
        <f>IFERROR(__xludf.DUMMYFUNCTION("if(B42=0,""..."",if(E42=""CERRADA"",""Valor Venta"", GOOGLEFINANCE(""BCBA:""&amp;B42)))"),"...")</f>
        <v>...</v>
      </c>
      <c r="M42" s="45" t="str">
        <f>if(B42=0,"...",L42*(1-VLOOKUP(A42,Config!$B$3:$C$22,2,FALSE)))</f>
        <v>...</v>
      </c>
      <c r="N42" s="45" t="str">
        <f t="shared" si="3"/>
        <v>...</v>
      </c>
      <c r="O42" s="12" t="str">
        <f>IFERROR(__xludf.DUMMYFUNCTION("if(B42=0,""..."",GOOGLEFINANCE(B42,""changepct"")/100)"),"...")</f>
        <v>...</v>
      </c>
      <c r="P42" s="10" t="str">
        <f>IFERROR(__xludf.DUMMYFUNCTION("if(B42=0,""..."",GOOGLEFINANCE(B42,""change"")*H42)"),"...")</f>
        <v>...</v>
      </c>
      <c r="Q42" s="12" t="str">
        <f t="shared" si="4"/>
        <v>...</v>
      </c>
      <c r="R42" s="47" t="str">
        <f t="shared" si="5"/>
        <v>...</v>
      </c>
      <c r="S42" s="12" t="str">
        <f t="array" ref="S42">IF(B42=0,"...",(N42/IF(E42="ABIERTA",CCL!$E$2,VLOOKUP(F42,{CCL!M:N;CCL!$P:$Q},2,FALSE))/(J42/VLOOKUP(D42,{CCL!M:N;CCL!$P:$Q},2,FALSE))-1))</f>
        <v>...</v>
      </c>
      <c r="T42" s="47" t="str">
        <f>IF(B42=0,"...",N42/VLOOKUP(IF(E42="ABIERTA",TODAY(),F42),CCL!$A$12:$B$773,2,FALSE)-J42/VLOOKUP(D42,CCL!$A$12:$B235,2,FALSE))</f>
        <v>...</v>
      </c>
      <c r="U42" s="2"/>
      <c r="V42" s="10"/>
      <c r="W42" s="59" t="str">
        <f t="shared" si="16"/>
        <v>...</v>
      </c>
      <c r="X42" s="12" t="str">
        <f t="shared" si="17"/>
        <v/>
      </c>
      <c r="Y42" s="45" t="str">
        <f t="shared" si="18"/>
        <v>...</v>
      </c>
      <c r="Z42" s="45" t="str">
        <f t="shared" si="19"/>
        <v>...</v>
      </c>
      <c r="AA42" s="12" t="str">
        <f t="shared" si="20"/>
        <v>...</v>
      </c>
      <c r="AB42" s="45" t="str">
        <f t="shared" si="21"/>
        <v>...</v>
      </c>
      <c r="AC42" s="45" t="str">
        <f t="shared" si="22"/>
        <v>...</v>
      </c>
      <c r="AD42" s="12" t="str">
        <f t="shared" si="23"/>
        <v>...</v>
      </c>
      <c r="AE42" s="46" t="str">
        <f t="shared" si="24"/>
        <v>...</v>
      </c>
      <c r="AF42" s="2"/>
      <c r="AG42" s="2"/>
      <c r="AH42" s="2"/>
      <c r="AI42" s="2"/>
      <c r="AJ42" s="2"/>
      <c r="AK42" s="2"/>
    </row>
    <row r="43" ht="24.0" customHeight="1">
      <c r="A43" s="4"/>
      <c r="B43" s="30"/>
      <c r="C43" s="5" t="str">
        <f>IFERROR(__xludf.DUMMYFUNCTION("if(B43=0,""..."", sparkline(query(GOOGLEFINANCE(""BCBA:""&amp;B43,""price"",today()-$AI$36,today()),""select Col2"",0),{""charttype"",$AI$35}))"),"...")</f>
        <v>...</v>
      </c>
      <c r="D43" s="17"/>
      <c r="E43" s="31"/>
      <c r="F43" s="7"/>
      <c r="G43" s="8" t="str">
        <f t="shared" si="1"/>
        <v>...</v>
      </c>
      <c r="H43" s="31"/>
      <c r="I43" s="44"/>
      <c r="J43" s="45" t="str">
        <f t="shared" si="2"/>
        <v>...</v>
      </c>
      <c r="K43" s="47" t="str">
        <f t="array" ref="K43">IF(B43=0,"...",J43/VLOOKUP(D43,{CCL!M:N;CCL!$P:$Q},2,FALSE))</f>
        <v>...</v>
      </c>
      <c r="L43" s="45" t="str">
        <f>IFERROR(__xludf.DUMMYFUNCTION("if(B43=0,""..."",if(E43=""CERRADA"",""Valor Venta"", GOOGLEFINANCE(""BCBA:""&amp;B43)))"),"...")</f>
        <v>...</v>
      </c>
      <c r="M43" s="45" t="str">
        <f>if(B43=0,"...",L43*(1-VLOOKUP(A43,Config!$B$3:$C$22,2,FALSE)))</f>
        <v>...</v>
      </c>
      <c r="N43" s="45" t="str">
        <f t="shared" si="3"/>
        <v>...</v>
      </c>
      <c r="O43" s="12" t="str">
        <f>IFERROR(__xludf.DUMMYFUNCTION("if(B43=0,""..."",GOOGLEFINANCE(B43,""changepct"")/100)"),"...")</f>
        <v>...</v>
      </c>
      <c r="P43" s="10" t="str">
        <f>IFERROR(__xludf.DUMMYFUNCTION("if(B43=0,""..."",GOOGLEFINANCE(B43,""change"")*H43)"),"...")</f>
        <v>...</v>
      </c>
      <c r="Q43" s="12" t="str">
        <f t="shared" si="4"/>
        <v>...</v>
      </c>
      <c r="R43" s="47" t="str">
        <f t="shared" si="5"/>
        <v>...</v>
      </c>
      <c r="S43" s="12" t="str">
        <f t="array" ref="S43">IF(B43=0,"...",(N43/IF(E43="ABIERTA",CCL!$E$2,VLOOKUP(F43,{CCL!M:N;CCL!$P:$Q},2,FALSE))/(J43/VLOOKUP(D43,{CCL!M:N;CCL!$P:$Q},2,FALSE))-1))</f>
        <v>...</v>
      </c>
      <c r="T43" s="47" t="str">
        <f>IF(B43=0,"...",N43/VLOOKUP(IF(E43="ABIERTA",TODAY(),F43),CCL!$A$12:$B$773,2,FALSE)-J43/VLOOKUP(D43,CCL!$A$12:$B235,2,FALSE))</f>
        <v>...</v>
      </c>
      <c r="U43" s="2"/>
      <c r="V43" s="10"/>
      <c r="W43" s="59" t="str">
        <f t="shared" si="16"/>
        <v>...</v>
      </c>
      <c r="X43" s="12" t="str">
        <f t="shared" si="17"/>
        <v/>
      </c>
      <c r="Y43" s="45" t="str">
        <f t="shared" si="18"/>
        <v>...</v>
      </c>
      <c r="Z43" s="45" t="str">
        <f t="shared" si="19"/>
        <v>...</v>
      </c>
      <c r="AA43" s="12" t="str">
        <f t="shared" si="20"/>
        <v>...</v>
      </c>
      <c r="AB43" s="45" t="str">
        <f t="shared" si="21"/>
        <v>...</v>
      </c>
      <c r="AC43" s="45" t="str">
        <f t="shared" si="22"/>
        <v>...</v>
      </c>
      <c r="AD43" s="12" t="str">
        <f t="shared" si="23"/>
        <v>...</v>
      </c>
      <c r="AE43" s="46" t="str">
        <f t="shared" si="24"/>
        <v>...</v>
      </c>
      <c r="AF43" s="2"/>
      <c r="AG43" s="2"/>
      <c r="AH43" s="2"/>
      <c r="AI43" s="2"/>
      <c r="AJ43" s="2"/>
      <c r="AK43" s="2"/>
    </row>
    <row r="44" ht="24.0" customHeight="1">
      <c r="A44" s="4"/>
      <c r="B44" s="30"/>
      <c r="C44" s="5" t="str">
        <f>IFERROR(__xludf.DUMMYFUNCTION("if(B44=0,""..."", sparkline(query(GOOGLEFINANCE(""BCBA:""&amp;B44,""price"",today()-$AI$36,today()),""select Col2"",0),{""charttype"",$AI$35}))"),"...")</f>
        <v>...</v>
      </c>
      <c r="D44" s="17"/>
      <c r="E44" s="31"/>
      <c r="F44" s="7"/>
      <c r="G44" s="8" t="str">
        <f t="shared" si="1"/>
        <v>...</v>
      </c>
      <c r="H44" s="31"/>
      <c r="I44" s="44"/>
      <c r="J44" s="45" t="str">
        <f t="shared" si="2"/>
        <v>...</v>
      </c>
      <c r="K44" s="47" t="str">
        <f t="array" ref="K44">IF(B44=0,"...",J44/VLOOKUP(D44,{CCL!M:N;CCL!$P:$Q},2,FALSE))</f>
        <v>...</v>
      </c>
      <c r="L44" s="45" t="str">
        <f>IFERROR(__xludf.DUMMYFUNCTION("if(B44=0,""..."",if(E44=""CERRADA"",""Valor Venta"", GOOGLEFINANCE(""BCBA:""&amp;B44)))"),"...")</f>
        <v>...</v>
      </c>
      <c r="M44" s="45" t="str">
        <f>if(B44=0,"...",L44*(1-VLOOKUP(A44,Config!$B$3:$C$22,2,FALSE)))</f>
        <v>...</v>
      </c>
      <c r="N44" s="45" t="str">
        <f t="shared" si="3"/>
        <v>...</v>
      </c>
      <c r="O44" s="12" t="str">
        <f>IFERROR(__xludf.DUMMYFUNCTION("if(B44=0,""..."",GOOGLEFINANCE(B44,""changepct"")/100)"),"...")</f>
        <v>...</v>
      </c>
      <c r="P44" s="10" t="str">
        <f>IFERROR(__xludf.DUMMYFUNCTION("if(B44=0,""..."",GOOGLEFINANCE(B44,""change"")*H44)"),"...")</f>
        <v>...</v>
      </c>
      <c r="Q44" s="12" t="str">
        <f t="shared" si="4"/>
        <v>...</v>
      </c>
      <c r="R44" s="47" t="str">
        <f t="shared" si="5"/>
        <v>...</v>
      </c>
      <c r="S44" s="12" t="str">
        <f t="array" ref="S44">IF(B44=0,"...",(N44/IF(E44="ABIERTA",CCL!$E$2,VLOOKUP(F44,{CCL!M:N;CCL!$P:$Q},2,FALSE))/(J44/VLOOKUP(D44,{CCL!M:N;CCL!$P:$Q},2,FALSE))-1))</f>
        <v>...</v>
      </c>
      <c r="T44" s="47" t="str">
        <f>IF(B44=0,"...",N44/VLOOKUP(IF(E44="ABIERTA",TODAY(),F44),CCL!$A$12:$B$773,2,FALSE)-J44/VLOOKUP(D44,CCL!$A$12:$B235,2,FALSE))</f>
        <v>...</v>
      </c>
      <c r="U44" s="2"/>
      <c r="V44" s="10"/>
      <c r="W44" s="59" t="str">
        <f t="shared" si="16"/>
        <v>...</v>
      </c>
      <c r="X44" s="12" t="str">
        <f t="shared" si="17"/>
        <v/>
      </c>
      <c r="Y44" s="45" t="str">
        <f t="shared" si="18"/>
        <v>...</v>
      </c>
      <c r="Z44" s="45" t="str">
        <f t="shared" si="19"/>
        <v>...</v>
      </c>
      <c r="AA44" s="12" t="str">
        <f t="shared" si="20"/>
        <v>...</v>
      </c>
      <c r="AB44" s="45" t="str">
        <f t="shared" si="21"/>
        <v>...</v>
      </c>
      <c r="AC44" s="45" t="str">
        <f t="shared" si="22"/>
        <v>...</v>
      </c>
      <c r="AD44" s="12" t="str">
        <f t="shared" si="23"/>
        <v>...</v>
      </c>
      <c r="AE44" s="46" t="str">
        <f t="shared" si="24"/>
        <v>...</v>
      </c>
      <c r="AF44" s="2"/>
      <c r="AG44" s="2"/>
      <c r="AH44" s="2"/>
      <c r="AI44" s="2"/>
      <c r="AJ44" s="2"/>
      <c r="AK44" s="2"/>
    </row>
    <row r="45" ht="24.0" customHeight="1">
      <c r="A45" s="4"/>
      <c r="B45" s="30"/>
      <c r="C45" s="5" t="str">
        <f>IFERROR(__xludf.DUMMYFUNCTION("if(B45=0,""..."", sparkline(query(GOOGLEFINANCE(""BCBA:""&amp;B45,""price"",today()-$AI$36,today()),""select Col2"",0),{""charttype"",$AI$35}))"),"...")</f>
        <v>...</v>
      </c>
      <c r="D45" s="17"/>
      <c r="E45" s="31"/>
      <c r="F45" s="7"/>
      <c r="G45" s="8" t="str">
        <f t="shared" si="1"/>
        <v>...</v>
      </c>
      <c r="H45" s="31"/>
      <c r="I45" s="44"/>
      <c r="J45" s="45" t="str">
        <f t="shared" si="2"/>
        <v>...</v>
      </c>
      <c r="K45" s="47" t="str">
        <f t="array" ref="K45">IF(B45=0,"...",J45/VLOOKUP(D45,{CCL!M:N;CCL!$P:$Q},2,FALSE))</f>
        <v>...</v>
      </c>
      <c r="L45" s="45" t="str">
        <f>IFERROR(__xludf.DUMMYFUNCTION("if(B45=0,""..."",if(E45=""CERRADA"",""Valor Venta"", GOOGLEFINANCE(""BCBA:""&amp;B45)))"),"...")</f>
        <v>...</v>
      </c>
      <c r="M45" s="45" t="str">
        <f>if(B45=0,"...",L45*(1-VLOOKUP(A45,Config!$B$3:$C$22,2,FALSE)))</f>
        <v>...</v>
      </c>
      <c r="N45" s="45" t="str">
        <f t="shared" si="3"/>
        <v>...</v>
      </c>
      <c r="O45" s="12" t="str">
        <f>IFERROR(__xludf.DUMMYFUNCTION("if(B45=0,""..."",GOOGLEFINANCE(B45,""changepct"")/100)"),"...")</f>
        <v>...</v>
      </c>
      <c r="P45" s="10" t="str">
        <f>IFERROR(__xludf.DUMMYFUNCTION("if(B45=0,""..."",GOOGLEFINANCE(B45,""change"")*H45)"),"...")</f>
        <v>...</v>
      </c>
      <c r="Q45" s="12" t="str">
        <f t="shared" si="4"/>
        <v>...</v>
      </c>
      <c r="R45" s="47" t="str">
        <f t="shared" si="5"/>
        <v>...</v>
      </c>
      <c r="S45" s="12" t="str">
        <f t="array" ref="S45">IF(B45=0,"...",(N45/IF(E45="ABIERTA",CCL!$E$2,VLOOKUP(F45,{CCL!M:N;CCL!$P:$Q},2,FALSE))/(J45/VLOOKUP(D45,{CCL!M:N;CCL!$P:$Q},2,FALSE))-1))</f>
        <v>...</v>
      </c>
      <c r="T45" s="47" t="str">
        <f>IF(B45=0,"...",N45/VLOOKUP(IF(E45="ABIERTA",TODAY(),F45),CCL!$A$12:$B$773,2,FALSE)-J45/VLOOKUP(D45,CCL!$A$12:$B235,2,FALSE))</f>
        <v>...</v>
      </c>
      <c r="U45" s="2"/>
      <c r="V45" s="10"/>
      <c r="W45" s="59" t="str">
        <f t="shared" si="16"/>
        <v>...</v>
      </c>
      <c r="X45" s="12" t="str">
        <f t="shared" si="17"/>
        <v/>
      </c>
      <c r="Y45" s="45" t="str">
        <f t="shared" si="18"/>
        <v>...</v>
      </c>
      <c r="Z45" s="45" t="str">
        <f t="shared" si="19"/>
        <v>...</v>
      </c>
      <c r="AA45" s="12" t="str">
        <f t="shared" si="20"/>
        <v>...</v>
      </c>
      <c r="AB45" s="45" t="str">
        <f t="shared" si="21"/>
        <v>...</v>
      </c>
      <c r="AC45" s="45" t="str">
        <f t="shared" si="22"/>
        <v>...</v>
      </c>
      <c r="AD45" s="12" t="str">
        <f t="shared" si="23"/>
        <v>...</v>
      </c>
      <c r="AE45" s="46" t="str">
        <f t="shared" si="24"/>
        <v>...</v>
      </c>
      <c r="AF45" s="2"/>
      <c r="AG45" s="2"/>
      <c r="AH45" s="2"/>
      <c r="AI45" s="2"/>
      <c r="AJ45" s="2"/>
      <c r="AK45" s="2"/>
    </row>
    <row r="46" ht="24.0" customHeight="1">
      <c r="A46" s="4"/>
      <c r="B46" s="30"/>
      <c r="C46" s="5" t="str">
        <f>IFERROR(__xludf.DUMMYFUNCTION("if(B46=0,""..."", sparkline(query(GOOGLEFINANCE(""BCBA:""&amp;B46,""price"",today()-$AI$36,today()),""select Col2"",0),{""charttype"",$AI$35}))"),"...")</f>
        <v>...</v>
      </c>
      <c r="D46" s="17"/>
      <c r="E46" s="31"/>
      <c r="F46" s="7"/>
      <c r="G46" s="8" t="str">
        <f t="shared" si="1"/>
        <v>...</v>
      </c>
      <c r="H46" s="31"/>
      <c r="I46" s="44"/>
      <c r="J46" s="45" t="str">
        <f t="shared" si="2"/>
        <v>...</v>
      </c>
      <c r="K46" s="47" t="str">
        <f t="array" ref="K46">IF(B46=0,"...",J46/VLOOKUP(D46,{CCL!M:N;CCL!$P:$Q},2,FALSE))</f>
        <v>...</v>
      </c>
      <c r="L46" s="45" t="str">
        <f>IFERROR(__xludf.DUMMYFUNCTION("if(B46=0,""..."",if(E46=""CERRADA"",""Valor Venta"", GOOGLEFINANCE(""BCBA:""&amp;B46)))"),"...")</f>
        <v>...</v>
      </c>
      <c r="M46" s="45" t="str">
        <f>if(B46=0,"...",L46*(1-VLOOKUP(A46,Config!$B$3:$C$22,2,FALSE)))</f>
        <v>...</v>
      </c>
      <c r="N46" s="45" t="str">
        <f t="shared" si="3"/>
        <v>...</v>
      </c>
      <c r="O46" s="12" t="str">
        <f>IFERROR(__xludf.DUMMYFUNCTION("if(B46=0,""..."",GOOGLEFINANCE(B46,""changepct"")/100)"),"...")</f>
        <v>...</v>
      </c>
      <c r="P46" s="10" t="str">
        <f>IFERROR(__xludf.DUMMYFUNCTION("if(B46=0,""..."",GOOGLEFINANCE(B46,""change"")*H46)"),"...")</f>
        <v>...</v>
      </c>
      <c r="Q46" s="12" t="str">
        <f t="shared" si="4"/>
        <v>...</v>
      </c>
      <c r="R46" s="47" t="str">
        <f t="shared" si="5"/>
        <v>...</v>
      </c>
      <c r="S46" s="12" t="str">
        <f t="array" ref="S46">IF(B46=0,"...",(N46/IF(E46="ABIERTA",CCL!$E$2,VLOOKUP(F46,{CCL!M:N;CCL!$P:$Q},2,FALSE))/(J46/VLOOKUP(D46,{CCL!M:N;CCL!$P:$Q},2,FALSE))-1))</f>
        <v>...</v>
      </c>
      <c r="T46" s="47" t="str">
        <f>IF(B46=0,"...",N46/VLOOKUP(IF(E46="ABIERTA",TODAY(),F46),CCL!$A$12:$B$773,2,FALSE)-J46/VLOOKUP(D46,CCL!$A$12:$B235,2,FALSE))</f>
        <v>...</v>
      </c>
      <c r="U46" s="2"/>
      <c r="V46" s="10"/>
      <c r="W46" s="59" t="str">
        <f t="shared" si="16"/>
        <v>...</v>
      </c>
      <c r="X46" s="12" t="str">
        <f t="shared" si="17"/>
        <v/>
      </c>
      <c r="Y46" s="45" t="str">
        <f t="shared" si="18"/>
        <v>...</v>
      </c>
      <c r="Z46" s="45" t="str">
        <f t="shared" si="19"/>
        <v>...</v>
      </c>
      <c r="AA46" s="12" t="str">
        <f t="shared" si="20"/>
        <v>...</v>
      </c>
      <c r="AB46" s="45" t="str">
        <f t="shared" si="21"/>
        <v>...</v>
      </c>
      <c r="AC46" s="45" t="str">
        <f t="shared" si="22"/>
        <v>...</v>
      </c>
      <c r="AD46" s="12" t="str">
        <f t="shared" si="23"/>
        <v>...</v>
      </c>
      <c r="AE46" s="46" t="str">
        <f t="shared" si="24"/>
        <v>...</v>
      </c>
      <c r="AF46" s="2"/>
      <c r="AG46" s="2"/>
      <c r="AH46" s="2"/>
      <c r="AI46" s="2"/>
      <c r="AJ46" s="2"/>
      <c r="AK46" s="2"/>
    </row>
    <row r="47" ht="24.0" customHeight="1">
      <c r="A47" s="4"/>
      <c r="B47" s="30"/>
      <c r="C47" s="5" t="str">
        <f>IFERROR(__xludf.DUMMYFUNCTION("if(B47=0,""..."", sparkline(query(GOOGLEFINANCE(""BCBA:""&amp;B47,""price"",today()-$AI$36,today()),""select Col2"",0),{""charttype"",$AI$35}))"),"...")</f>
        <v>...</v>
      </c>
      <c r="D47" s="17"/>
      <c r="E47" s="31"/>
      <c r="F47" s="7"/>
      <c r="G47" s="8" t="str">
        <f t="shared" si="1"/>
        <v>...</v>
      </c>
      <c r="H47" s="31"/>
      <c r="I47" s="44"/>
      <c r="J47" s="45" t="str">
        <f t="shared" si="2"/>
        <v>...</v>
      </c>
      <c r="K47" s="47" t="str">
        <f t="array" ref="K47">IF(B47=0,"...",J47/VLOOKUP(D47,{CCL!M:N;CCL!$P:$Q},2,FALSE))</f>
        <v>...</v>
      </c>
      <c r="L47" s="45" t="str">
        <f>IFERROR(__xludf.DUMMYFUNCTION("if(B47=0,""..."",if(E47=""CERRADA"",""Valor Venta"", GOOGLEFINANCE(""BCBA:""&amp;B47)))"),"...")</f>
        <v>...</v>
      </c>
      <c r="M47" s="45" t="str">
        <f>if(B47=0,"...",L47*(1-VLOOKUP(A47,Config!$B$3:$C$22,2,FALSE)))</f>
        <v>...</v>
      </c>
      <c r="N47" s="45" t="str">
        <f t="shared" si="3"/>
        <v>...</v>
      </c>
      <c r="O47" s="12" t="str">
        <f>IFERROR(__xludf.DUMMYFUNCTION("if(B47=0,""..."",GOOGLEFINANCE(B47,""changepct"")/100)"),"...")</f>
        <v>...</v>
      </c>
      <c r="P47" s="10" t="str">
        <f>IFERROR(__xludf.DUMMYFUNCTION("if(B47=0,""..."",GOOGLEFINANCE(B47,""change"")*H47)"),"...")</f>
        <v>...</v>
      </c>
      <c r="Q47" s="12" t="str">
        <f t="shared" si="4"/>
        <v>...</v>
      </c>
      <c r="R47" s="47" t="str">
        <f t="shared" si="5"/>
        <v>...</v>
      </c>
      <c r="S47" s="12" t="str">
        <f t="array" ref="S47">IF(B47=0,"...",(N47/IF(E47="ABIERTA",CCL!$E$2,VLOOKUP(F47,{CCL!M:N;CCL!$P:$Q},2,FALSE))/(J47/VLOOKUP(D47,{CCL!M:N;CCL!$P:$Q},2,FALSE))-1))</f>
        <v>...</v>
      </c>
      <c r="T47" s="47" t="str">
        <f>IF(B47=0,"...",N47/VLOOKUP(IF(E47="ABIERTA",TODAY(),F47),CCL!$A$12:$B$773,2,FALSE)-J47/VLOOKUP(D47,CCL!$A$12:$B235,2,FALSE))</f>
        <v>...</v>
      </c>
      <c r="U47" s="2"/>
      <c r="V47" s="10"/>
      <c r="W47" s="59" t="str">
        <f t="shared" si="16"/>
        <v>...</v>
      </c>
      <c r="X47" s="12" t="str">
        <f t="shared" si="17"/>
        <v/>
      </c>
      <c r="Y47" s="45" t="str">
        <f t="shared" si="18"/>
        <v>...</v>
      </c>
      <c r="Z47" s="45" t="str">
        <f t="shared" si="19"/>
        <v>...</v>
      </c>
      <c r="AA47" s="12" t="str">
        <f t="shared" si="20"/>
        <v>...</v>
      </c>
      <c r="AB47" s="45" t="str">
        <f t="shared" si="21"/>
        <v>...</v>
      </c>
      <c r="AC47" s="45" t="str">
        <f t="shared" si="22"/>
        <v>...</v>
      </c>
      <c r="AD47" s="12" t="str">
        <f t="shared" si="23"/>
        <v>...</v>
      </c>
      <c r="AE47" s="46" t="str">
        <f t="shared" si="24"/>
        <v>...</v>
      </c>
      <c r="AF47" s="2"/>
      <c r="AG47" s="2"/>
      <c r="AH47" s="2"/>
      <c r="AI47" s="2"/>
      <c r="AJ47" s="2"/>
      <c r="AK47" s="2"/>
    </row>
    <row r="48" ht="24.0" customHeight="1">
      <c r="A48" s="4"/>
      <c r="B48" s="30"/>
      <c r="C48" s="5" t="str">
        <f>IFERROR(__xludf.DUMMYFUNCTION("if(B48=0,""..."", sparkline(query(GOOGLEFINANCE(""BCBA:""&amp;B48,""price"",today()-$AI$36,today()),""select Col2"",0),{""charttype"",$AI$35}))"),"...")</f>
        <v>...</v>
      </c>
      <c r="D48" s="17"/>
      <c r="E48" s="31"/>
      <c r="F48" s="7"/>
      <c r="G48" s="8" t="str">
        <f t="shared" si="1"/>
        <v>...</v>
      </c>
      <c r="H48" s="31"/>
      <c r="I48" s="44"/>
      <c r="J48" s="45" t="str">
        <f t="shared" si="2"/>
        <v>...</v>
      </c>
      <c r="K48" s="47" t="str">
        <f t="array" ref="K48">IF(B48=0,"...",J48/VLOOKUP(D48,{CCL!M:N;CCL!$P:$Q},2,FALSE))</f>
        <v>...</v>
      </c>
      <c r="L48" s="45" t="str">
        <f>IFERROR(__xludf.DUMMYFUNCTION("if(B48=0,""..."",if(E48=""CERRADA"",""Valor Venta"", GOOGLEFINANCE(""BCBA:""&amp;B48)))"),"...")</f>
        <v>...</v>
      </c>
      <c r="M48" s="45" t="str">
        <f>if(B48=0,"...",L48*(1-VLOOKUP(A48,Config!$B$3:$C$22,2,FALSE)))</f>
        <v>...</v>
      </c>
      <c r="N48" s="45" t="str">
        <f t="shared" si="3"/>
        <v>...</v>
      </c>
      <c r="O48" s="12" t="str">
        <f>IFERROR(__xludf.DUMMYFUNCTION("if(B48=0,""..."",GOOGLEFINANCE(B48,""changepct"")/100)"),"...")</f>
        <v>...</v>
      </c>
      <c r="P48" s="10" t="str">
        <f>IFERROR(__xludf.DUMMYFUNCTION("if(B48=0,""..."",GOOGLEFINANCE(B48,""change"")*H48)"),"...")</f>
        <v>...</v>
      </c>
      <c r="Q48" s="12" t="str">
        <f t="shared" si="4"/>
        <v>...</v>
      </c>
      <c r="R48" s="47" t="str">
        <f t="shared" si="5"/>
        <v>...</v>
      </c>
      <c r="S48" s="12" t="str">
        <f t="array" ref="S48">IF(B48=0,"...",(N48/IF(E48="ABIERTA",CCL!$E$2,VLOOKUP(F48,{CCL!M:N;CCL!$P:$Q},2,FALSE))/(J48/VLOOKUP(D48,{CCL!M:N;CCL!$P:$Q},2,FALSE))-1))</f>
        <v>...</v>
      </c>
      <c r="T48" s="47" t="str">
        <f>IF(B48=0,"...",N48/VLOOKUP(IF(E48="ABIERTA",TODAY(),F48),CCL!$A$12:$B$773,2,FALSE)-J48/VLOOKUP(D48,CCL!$A$12:$B235,2,FALSE))</f>
        <v>...</v>
      </c>
      <c r="U48" s="2"/>
      <c r="V48" s="10"/>
      <c r="W48" s="59" t="str">
        <f t="shared" si="16"/>
        <v>...</v>
      </c>
      <c r="X48" s="12" t="str">
        <f t="shared" si="17"/>
        <v/>
      </c>
      <c r="Y48" s="45" t="str">
        <f t="shared" si="18"/>
        <v>...</v>
      </c>
      <c r="Z48" s="45" t="str">
        <f t="shared" si="19"/>
        <v>...</v>
      </c>
      <c r="AA48" s="12" t="str">
        <f t="shared" si="20"/>
        <v>...</v>
      </c>
      <c r="AB48" s="45" t="str">
        <f t="shared" si="21"/>
        <v>...</v>
      </c>
      <c r="AC48" s="45" t="str">
        <f t="shared" si="22"/>
        <v>...</v>
      </c>
      <c r="AD48" s="12" t="str">
        <f t="shared" si="23"/>
        <v>...</v>
      </c>
      <c r="AE48" s="46" t="str">
        <f t="shared" si="24"/>
        <v>...</v>
      </c>
      <c r="AF48" s="2"/>
      <c r="AG48" s="2"/>
      <c r="AH48" s="2"/>
      <c r="AI48" s="2"/>
      <c r="AJ48" s="2"/>
      <c r="AK48" s="2"/>
    </row>
    <row r="49" ht="24.0" customHeight="1">
      <c r="A49" s="4"/>
      <c r="B49" s="30"/>
      <c r="C49" s="5" t="str">
        <f>IFERROR(__xludf.DUMMYFUNCTION("if(B49=0,""..."", sparkline(query(GOOGLEFINANCE(""BCBA:""&amp;B49,""price"",today()-$AI$36,today()),""select Col2"",0),{""charttype"",$AI$35}))"),"...")</f>
        <v>...</v>
      </c>
      <c r="D49" s="17"/>
      <c r="E49" s="31"/>
      <c r="F49" s="7"/>
      <c r="G49" s="8" t="str">
        <f t="shared" si="1"/>
        <v>...</v>
      </c>
      <c r="H49" s="31"/>
      <c r="I49" s="44"/>
      <c r="J49" s="45" t="str">
        <f t="shared" si="2"/>
        <v>...</v>
      </c>
      <c r="K49" s="47" t="str">
        <f t="array" ref="K49">IF(B49=0,"...",J49/VLOOKUP(D49,{CCL!M:N;CCL!$P:$Q},2,FALSE))</f>
        <v>...</v>
      </c>
      <c r="L49" s="45" t="str">
        <f>IFERROR(__xludf.DUMMYFUNCTION("if(B49=0,""..."",if(E49=""CERRADA"",""Valor Venta"", GOOGLEFINANCE(""BCBA:""&amp;B49)))"),"...")</f>
        <v>...</v>
      </c>
      <c r="M49" s="45" t="str">
        <f>if(B49=0,"...",L49*(1-VLOOKUP(A49,Config!$B$3:$C$22,2,FALSE)))</f>
        <v>...</v>
      </c>
      <c r="N49" s="45" t="str">
        <f t="shared" si="3"/>
        <v>...</v>
      </c>
      <c r="O49" s="12" t="str">
        <f>IFERROR(__xludf.DUMMYFUNCTION("if(B49=0,""..."",GOOGLEFINANCE(B49,""changepct"")/100)"),"...")</f>
        <v>...</v>
      </c>
      <c r="P49" s="10" t="str">
        <f>IFERROR(__xludf.DUMMYFUNCTION("if(B49=0,""..."",GOOGLEFINANCE(B49,""change"")*H49)"),"...")</f>
        <v>...</v>
      </c>
      <c r="Q49" s="12" t="str">
        <f t="shared" si="4"/>
        <v>...</v>
      </c>
      <c r="R49" s="47" t="str">
        <f t="shared" si="5"/>
        <v>...</v>
      </c>
      <c r="S49" s="12" t="str">
        <f t="array" ref="S49">IF(B49=0,"...",(N49/IF(E49="ABIERTA",CCL!$E$2,VLOOKUP(F49,{CCL!M:N;CCL!$P:$Q},2,FALSE))/(J49/VLOOKUP(D49,{CCL!M:N;CCL!$P:$Q},2,FALSE))-1))</f>
        <v>...</v>
      </c>
      <c r="T49" s="47" t="str">
        <f>IF(B49=0,"...",N49/VLOOKUP(IF(E49="ABIERTA",TODAY(),F49),CCL!$A$12:$B$773,2,FALSE)-J49/VLOOKUP(D49,CCL!$A$12:$B235,2,FALSE))</f>
        <v>...</v>
      </c>
      <c r="U49" s="2"/>
      <c r="V49" s="10"/>
      <c r="W49" s="59" t="str">
        <f t="shared" si="16"/>
        <v>...</v>
      </c>
      <c r="X49" s="12" t="str">
        <f t="shared" si="17"/>
        <v/>
      </c>
      <c r="Y49" s="45" t="str">
        <f t="shared" si="18"/>
        <v>...</v>
      </c>
      <c r="Z49" s="45" t="str">
        <f t="shared" si="19"/>
        <v>...</v>
      </c>
      <c r="AA49" s="12" t="str">
        <f t="shared" si="20"/>
        <v>...</v>
      </c>
      <c r="AB49" s="45" t="str">
        <f t="shared" si="21"/>
        <v>...</v>
      </c>
      <c r="AC49" s="45" t="str">
        <f t="shared" si="22"/>
        <v>...</v>
      </c>
      <c r="AD49" s="12" t="str">
        <f t="shared" si="23"/>
        <v>...</v>
      </c>
      <c r="AE49" s="46" t="str">
        <f t="shared" si="24"/>
        <v>...</v>
      </c>
      <c r="AF49" s="2"/>
      <c r="AG49" s="2"/>
      <c r="AH49" s="2"/>
      <c r="AI49" s="2"/>
      <c r="AJ49" s="2"/>
      <c r="AK49" s="2"/>
    </row>
    <row r="50" ht="24.0" customHeight="1">
      <c r="A50" s="4"/>
      <c r="B50" s="30"/>
      <c r="C50" s="5" t="str">
        <f>IFERROR(__xludf.DUMMYFUNCTION("if(B50=0,""..."", sparkline(query(GOOGLEFINANCE(""BCBA:""&amp;B50,""price"",today()-$AI$36,today()),""select Col2"",0),{""charttype"",$AI$35}))"),"...")</f>
        <v>...</v>
      </c>
      <c r="D50" s="17"/>
      <c r="E50" s="31"/>
      <c r="F50" s="7"/>
      <c r="G50" s="8" t="str">
        <f t="shared" si="1"/>
        <v>...</v>
      </c>
      <c r="H50" s="31"/>
      <c r="I50" s="44"/>
      <c r="J50" s="45" t="str">
        <f t="shared" si="2"/>
        <v>...</v>
      </c>
      <c r="K50" s="47" t="str">
        <f t="array" ref="K50">IF(B50=0,"...",J50/VLOOKUP(D50,{CCL!M:N;CCL!$P:$Q},2,FALSE))</f>
        <v>...</v>
      </c>
      <c r="L50" s="45" t="str">
        <f>IFERROR(__xludf.DUMMYFUNCTION("if(B50=0,""..."",if(E50=""CERRADA"",""Valor Venta"", GOOGLEFINANCE(""BCBA:""&amp;B50)))"),"...")</f>
        <v>...</v>
      </c>
      <c r="M50" s="45" t="str">
        <f>if(B50=0,"...",L50*(1-VLOOKUP(A50,Config!$B$3:$C$22,2,FALSE)))</f>
        <v>...</v>
      </c>
      <c r="N50" s="45" t="str">
        <f t="shared" si="3"/>
        <v>...</v>
      </c>
      <c r="O50" s="12" t="str">
        <f>IFERROR(__xludf.DUMMYFUNCTION("if(B50=0,""..."",GOOGLEFINANCE(B50,""changepct"")/100)"),"...")</f>
        <v>...</v>
      </c>
      <c r="P50" s="10" t="str">
        <f>IFERROR(__xludf.DUMMYFUNCTION("if(B50=0,""..."",GOOGLEFINANCE(B50,""change"")*H50)"),"...")</f>
        <v>...</v>
      </c>
      <c r="Q50" s="12" t="str">
        <f t="shared" si="4"/>
        <v>...</v>
      </c>
      <c r="R50" s="47" t="str">
        <f t="shared" si="5"/>
        <v>...</v>
      </c>
      <c r="S50" s="12" t="str">
        <f t="array" ref="S50">IF(B50=0,"...",(N50/IF(E50="ABIERTA",CCL!$E$2,VLOOKUP(F50,{CCL!M:N;CCL!$P:$Q},2,FALSE))/(J50/VLOOKUP(D50,{CCL!M:N;CCL!$P:$Q},2,FALSE))-1))</f>
        <v>...</v>
      </c>
      <c r="T50" s="47" t="str">
        <f>IF(B50=0,"...",N50/VLOOKUP(IF(E50="ABIERTA",TODAY(),F50),CCL!$A$12:$B$773,2,FALSE)-J50/VLOOKUP(D50,CCL!$A$12:$B235,2,FALSE))</f>
        <v>...</v>
      </c>
      <c r="U50" s="2"/>
      <c r="V50" s="10"/>
      <c r="W50" s="59" t="str">
        <f t="shared" si="16"/>
        <v>...</v>
      </c>
      <c r="X50" s="12" t="str">
        <f t="shared" si="17"/>
        <v/>
      </c>
      <c r="Y50" s="45" t="str">
        <f t="shared" si="18"/>
        <v>...</v>
      </c>
      <c r="Z50" s="45" t="str">
        <f t="shared" si="19"/>
        <v>...</v>
      </c>
      <c r="AA50" s="12" t="str">
        <f t="shared" si="20"/>
        <v>...</v>
      </c>
      <c r="AB50" s="45" t="str">
        <f t="shared" si="21"/>
        <v>...</v>
      </c>
      <c r="AC50" s="45" t="str">
        <f t="shared" si="22"/>
        <v>...</v>
      </c>
      <c r="AD50" s="12" t="str">
        <f t="shared" si="23"/>
        <v>...</v>
      </c>
      <c r="AE50" s="46" t="str">
        <f t="shared" si="24"/>
        <v>...</v>
      </c>
      <c r="AF50" s="2"/>
      <c r="AG50" s="2"/>
      <c r="AH50" s="2"/>
      <c r="AI50" s="2"/>
      <c r="AJ50" s="2"/>
      <c r="AK50" s="2"/>
    </row>
    <row r="51" ht="24.0" customHeight="1">
      <c r="A51" s="4"/>
      <c r="B51" s="30"/>
      <c r="C51" s="5" t="str">
        <f>IFERROR(__xludf.DUMMYFUNCTION("if(B51=0,""..."", sparkline(query(GOOGLEFINANCE(""BCBA:""&amp;B51,""price"",today()-$AI$36,today()),""select Col2"",0),{""charttype"",$AI$35}))"),"...")</f>
        <v>...</v>
      </c>
      <c r="D51" s="17"/>
      <c r="E51" s="31"/>
      <c r="F51" s="7"/>
      <c r="G51" s="8" t="str">
        <f t="shared" si="1"/>
        <v>...</v>
      </c>
      <c r="H51" s="31"/>
      <c r="I51" s="44"/>
      <c r="J51" s="45" t="str">
        <f t="shared" si="2"/>
        <v>...</v>
      </c>
      <c r="K51" s="47" t="str">
        <f t="array" ref="K51">IF(B51=0,"...",J51/VLOOKUP(D51,{CCL!M:N;CCL!$P:$Q},2,FALSE))</f>
        <v>...</v>
      </c>
      <c r="L51" s="45" t="str">
        <f>IFERROR(__xludf.DUMMYFUNCTION("if(B51=0,""..."",if(E51=""CERRADA"",""Valor Venta"", GOOGLEFINANCE(""BCBA:""&amp;B51)))"),"...")</f>
        <v>...</v>
      </c>
      <c r="M51" s="45" t="str">
        <f>if(B51=0,"...",L51*(1-VLOOKUP(A51,Config!$B$3:$C$22,2,FALSE)))</f>
        <v>...</v>
      </c>
      <c r="N51" s="45" t="str">
        <f t="shared" si="3"/>
        <v>...</v>
      </c>
      <c r="O51" s="12" t="str">
        <f>IFERROR(__xludf.DUMMYFUNCTION("if(B51=0,""..."",GOOGLEFINANCE(B51,""changepct"")/100)"),"...")</f>
        <v>...</v>
      </c>
      <c r="P51" s="10" t="str">
        <f>IFERROR(__xludf.DUMMYFUNCTION("if(B51=0,""..."",GOOGLEFINANCE(B51,""change"")*H51)"),"...")</f>
        <v>...</v>
      </c>
      <c r="Q51" s="12" t="str">
        <f t="shared" si="4"/>
        <v>...</v>
      </c>
      <c r="R51" s="47" t="str">
        <f t="shared" si="5"/>
        <v>...</v>
      </c>
      <c r="S51" s="12" t="str">
        <f t="array" ref="S51">IF(B51=0,"...",(N51/IF(E51="ABIERTA",CCL!$E$2,VLOOKUP(F51,{CCL!M:N;CCL!$P:$Q},2,FALSE))/(J51/VLOOKUP(D51,{CCL!M:N;CCL!$P:$Q},2,FALSE))-1))</f>
        <v>...</v>
      </c>
      <c r="T51" s="47" t="str">
        <f>IF(B51=0,"...",N51/VLOOKUP(IF(E51="ABIERTA",TODAY(),F51),CCL!$A$12:$B$773,2,FALSE)-J51/VLOOKUP(D51,CCL!$A$12:$B235,2,FALSE))</f>
        <v>...</v>
      </c>
      <c r="U51" s="2"/>
      <c r="V51" s="10"/>
      <c r="W51" s="59" t="str">
        <f t="shared" si="16"/>
        <v>...</v>
      </c>
      <c r="X51" s="12" t="str">
        <f t="shared" si="17"/>
        <v/>
      </c>
      <c r="Y51" s="45" t="str">
        <f t="shared" si="18"/>
        <v>...</v>
      </c>
      <c r="Z51" s="45" t="str">
        <f t="shared" si="19"/>
        <v>...</v>
      </c>
      <c r="AA51" s="12" t="str">
        <f t="shared" si="20"/>
        <v>...</v>
      </c>
      <c r="AB51" s="45" t="str">
        <f t="shared" si="21"/>
        <v>...</v>
      </c>
      <c r="AC51" s="45" t="str">
        <f t="shared" si="22"/>
        <v>...</v>
      </c>
      <c r="AD51" s="12" t="str">
        <f t="shared" si="23"/>
        <v>...</v>
      </c>
      <c r="AE51" s="46" t="str">
        <f t="shared" si="24"/>
        <v>...</v>
      </c>
      <c r="AF51" s="2"/>
      <c r="AG51" s="2"/>
      <c r="AH51" s="2"/>
      <c r="AI51" s="2"/>
      <c r="AJ51" s="2"/>
      <c r="AK51" s="2"/>
    </row>
    <row r="52" ht="24.0" customHeight="1">
      <c r="A52" s="4"/>
      <c r="B52" s="30"/>
      <c r="C52" s="5" t="str">
        <f>IFERROR(__xludf.DUMMYFUNCTION("if(B52=0,""..."", sparkline(query(GOOGLEFINANCE(""BCBA:""&amp;B52,""price"",today()-$AI$36,today()),""select Col2"",0),{""charttype"",$AI$35}))"),"...")</f>
        <v>...</v>
      </c>
      <c r="D52" s="17"/>
      <c r="E52" s="31"/>
      <c r="F52" s="7"/>
      <c r="G52" s="8" t="str">
        <f t="shared" si="1"/>
        <v>...</v>
      </c>
      <c r="H52" s="31"/>
      <c r="I52" s="44"/>
      <c r="J52" s="45" t="str">
        <f t="shared" si="2"/>
        <v>...</v>
      </c>
      <c r="K52" s="47" t="str">
        <f t="array" ref="K52">IF(B52=0,"...",J52/VLOOKUP(D52,{CCL!M:N;CCL!$P:$Q},2,FALSE))</f>
        <v>...</v>
      </c>
      <c r="L52" s="45" t="str">
        <f>IFERROR(__xludf.DUMMYFUNCTION("if(B52=0,""..."",if(E52=""CERRADA"",""Valor Venta"", GOOGLEFINANCE(""BCBA:""&amp;B52)))"),"...")</f>
        <v>...</v>
      </c>
      <c r="M52" s="45" t="str">
        <f>if(B52=0,"...",L52*(1-VLOOKUP(A52,Config!$B$3:$C$22,2,FALSE)))</f>
        <v>...</v>
      </c>
      <c r="N52" s="45" t="str">
        <f t="shared" si="3"/>
        <v>...</v>
      </c>
      <c r="O52" s="12" t="str">
        <f>IFERROR(__xludf.DUMMYFUNCTION("if(B52=0,""..."",GOOGLEFINANCE(B52,""changepct"")/100)"),"...")</f>
        <v>...</v>
      </c>
      <c r="P52" s="10" t="str">
        <f>IFERROR(__xludf.DUMMYFUNCTION("if(B52=0,""..."",GOOGLEFINANCE(B52,""change"")*H52)"),"...")</f>
        <v>...</v>
      </c>
      <c r="Q52" s="12" t="str">
        <f t="shared" si="4"/>
        <v>...</v>
      </c>
      <c r="R52" s="47" t="str">
        <f t="shared" si="5"/>
        <v>...</v>
      </c>
      <c r="S52" s="12" t="str">
        <f t="array" ref="S52">IF(B52=0,"...",(N52/IF(E52="ABIERTA",CCL!$E$2,VLOOKUP(F52,{CCL!M:N;CCL!$P:$Q},2,FALSE))/(J52/VLOOKUP(D52,{CCL!M:N;CCL!$P:$Q},2,FALSE))-1))</f>
        <v>...</v>
      </c>
      <c r="T52" s="47" t="str">
        <f>IF(B52=0,"...",N52/VLOOKUP(IF(E52="ABIERTA",TODAY(),F52),CCL!$A$12:$B$773,2,FALSE)-J52/VLOOKUP(D52,CCL!$A$12:$B235,2,FALSE))</f>
        <v>...</v>
      </c>
      <c r="U52" s="2"/>
      <c r="V52" s="10"/>
      <c r="W52" s="59" t="str">
        <f t="shared" si="16"/>
        <v>...</v>
      </c>
      <c r="X52" s="12" t="str">
        <f t="shared" si="17"/>
        <v/>
      </c>
      <c r="Y52" s="45" t="str">
        <f t="shared" si="18"/>
        <v>...</v>
      </c>
      <c r="Z52" s="45" t="str">
        <f t="shared" si="19"/>
        <v>...</v>
      </c>
      <c r="AA52" s="12" t="str">
        <f t="shared" si="20"/>
        <v>...</v>
      </c>
      <c r="AB52" s="45" t="str">
        <f t="shared" si="21"/>
        <v>...</v>
      </c>
      <c r="AC52" s="45" t="str">
        <f t="shared" si="22"/>
        <v>...</v>
      </c>
      <c r="AD52" s="12" t="str">
        <f t="shared" si="23"/>
        <v>...</v>
      </c>
      <c r="AE52" s="46" t="str">
        <f t="shared" si="24"/>
        <v>...</v>
      </c>
      <c r="AF52" s="2"/>
      <c r="AG52" s="2"/>
      <c r="AH52" s="2"/>
      <c r="AI52" s="2"/>
      <c r="AJ52" s="2"/>
      <c r="AK52" s="2"/>
    </row>
    <row r="53" ht="24.0" customHeight="1">
      <c r="A53" s="4"/>
      <c r="B53" s="30"/>
      <c r="C53" s="5" t="str">
        <f>IFERROR(__xludf.DUMMYFUNCTION("if(B53=0,""..."", sparkline(query(GOOGLEFINANCE(""BCBA:""&amp;B53,""price"",today()-$AI$36,today()),""select Col2"",0),{""charttype"",$AI$35}))"),"...")</f>
        <v>...</v>
      </c>
      <c r="D53" s="17"/>
      <c r="E53" s="31"/>
      <c r="F53" s="7"/>
      <c r="G53" s="8" t="str">
        <f t="shared" si="1"/>
        <v>...</v>
      </c>
      <c r="H53" s="31"/>
      <c r="I53" s="44"/>
      <c r="J53" s="45" t="str">
        <f t="shared" si="2"/>
        <v>...</v>
      </c>
      <c r="K53" s="47" t="str">
        <f t="array" ref="K53">IF(B53=0,"...",J53/VLOOKUP(D53,{CCL!M:N;CCL!$P:$Q},2,FALSE))</f>
        <v>...</v>
      </c>
      <c r="L53" s="45" t="str">
        <f>IFERROR(__xludf.DUMMYFUNCTION("if(B53=0,""..."",if(E53=""CERRADA"",""Valor Venta"", GOOGLEFINANCE(""BCBA:""&amp;B53)))"),"...")</f>
        <v>...</v>
      </c>
      <c r="M53" s="45" t="str">
        <f>if(B53=0,"...",L53*(1-VLOOKUP(A53,Config!$B$3:$C$22,2,FALSE)))</f>
        <v>...</v>
      </c>
      <c r="N53" s="45" t="str">
        <f t="shared" si="3"/>
        <v>...</v>
      </c>
      <c r="O53" s="12" t="str">
        <f>IFERROR(__xludf.DUMMYFUNCTION("if(B53=0,""..."",GOOGLEFINANCE(B53,""changepct"")/100)"),"...")</f>
        <v>...</v>
      </c>
      <c r="P53" s="10" t="str">
        <f>IFERROR(__xludf.DUMMYFUNCTION("if(B53=0,""..."",GOOGLEFINANCE(B53,""change"")*H53)"),"...")</f>
        <v>...</v>
      </c>
      <c r="Q53" s="12" t="str">
        <f t="shared" si="4"/>
        <v>...</v>
      </c>
      <c r="R53" s="47" t="str">
        <f t="shared" si="5"/>
        <v>...</v>
      </c>
      <c r="S53" s="12" t="str">
        <f t="array" ref="S53">IF(B53=0,"...",(N53/IF(E53="ABIERTA",CCL!$E$2,VLOOKUP(F53,{CCL!M:N;CCL!$P:$Q},2,FALSE))/(J53/VLOOKUP(D53,{CCL!M:N;CCL!$P:$Q},2,FALSE))-1))</f>
        <v>...</v>
      </c>
      <c r="T53" s="47" t="str">
        <f>IF(B53=0,"...",N53/VLOOKUP(IF(E53="ABIERTA",TODAY(),F53),CCL!$A$12:$B$773,2,FALSE)-J53/VLOOKUP(D53,CCL!$A$12:$B235,2,FALSE))</f>
        <v>...</v>
      </c>
      <c r="U53" s="2"/>
      <c r="V53" s="10"/>
      <c r="W53" s="59" t="str">
        <f t="shared" si="16"/>
        <v>...</v>
      </c>
      <c r="X53" s="12" t="str">
        <f t="shared" si="17"/>
        <v/>
      </c>
      <c r="Y53" s="45" t="str">
        <f t="shared" si="18"/>
        <v>...</v>
      </c>
      <c r="Z53" s="45" t="str">
        <f t="shared" si="19"/>
        <v>...</v>
      </c>
      <c r="AA53" s="12" t="str">
        <f t="shared" si="20"/>
        <v>...</v>
      </c>
      <c r="AB53" s="45" t="str">
        <f t="shared" si="21"/>
        <v>...</v>
      </c>
      <c r="AC53" s="45" t="str">
        <f t="shared" si="22"/>
        <v>...</v>
      </c>
      <c r="AD53" s="12" t="str">
        <f t="shared" si="23"/>
        <v>...</v>
      </c>
      <c r="AE53" s="46" t="str">
        <f t="shared" si="24"/>
        <v>...</v>
      </c>
      <c r="AF53" s="2"/>
      <c r="AG53" s="2"/>
      <c r="AH53" s="2"/>
      <c r="AI53" s="2"/>
      <c r="AJ53" s="2"/>
      <c r="AK53" s="2"/>
    </row>
    <row r="54" ht="24.0" customHeight="1">
      <c r="A54" s="4"/>
      <c r="B54" s="30"/>
      <c r="C54" s="5" t="str">
        <f>IFERROR(__xludf.DUMMYFUNCTION("if(B54=0,""..."", sparkline(query(GOOGLEFINANCE(""BCBA:""&amp;B54,""price"",today()-$AI$36,today()),""select Col2"",0),{""charttype"",$AI$35}))"),"...")</f>
        <v>...</v>
      </c>
      <c r="D54" s="17"/>
      <c r="E54" s="31"/>
      <c r="F54" s="7"/>
      <c r="G54" s="8" t="str">
        <f t="shared" si="1"/>
        <v>...</v>
      </c>
      <c r="H54" s="31"/>
      <c r="I54" s="44"/>
      <c r="J54" s="45" t="str">
        <f t="shared" si="2"/>
        <v>...</v>
      </c>
      <c r="K54" s="47" t="str">
        <f t="array" ref="K54">IF(B54=0,"...",J54/VLOOKUP(D54,{CCL!M:N;CCL!$P:$Q},2,FALSE))</f>
        <v>...</v>
      </c>
      <c r="L54" s="45" t="str">
        <f>IFERROR(__xludf.DUMMYFUNCTION("if(B54=0,""..."",if(E54=""CERRADA"",""Valor Venta"", GOOGLEFINANCE(""BCBA:""&amp;B54)))"),"...")</f>
        <v>...</v>
      </c>
      <c r="M54" s="45" t="str">
        <f>if(B54=0,"...",L54*(1-VLOOKUP(A54,Config!$B$3:$C$22,2,FALSE)))</f>
        <v>...</v>
      </c>
      <c r="N54" s="45" t="str">
        <f t="shared" si="3"/>
        <v>...</v>
      </c>
      <c r="O54" s="12" t="str">
        <f>IFERROR(__xludf.DUMMYFUNCTION("if(B54=0,""..."",GOOGLEFINANCE(B54,""changepct"")/100)"),"...")</f>
        <v>...</v>
      </c>
      <c r="P54" s="10" t="str">
        <f>IFERROR(__xludf.DUMMYFUNCTION("if(B54=0,""..."",GOOGLEFINANCE(B54,""change"")*H54)"),"...")</f>
        <v>...</v>
      </c>
      <c r="Q54" s="12" t="str">
        <f t="shared" si="4"/>
        <v>...</v>
      </c>
      <c r="R54" s="47" t="str">
        <f t="shared" si="5"/>
        <v>...</v>
      </c>
      <c r="S54" s="12" t="str">
        <f t="array" ref="S54">IF(B54=0,"...",(N54/IF(E54="ABIERTA",CCL!$E$2,VLOOKUP(F54,{CCL!M:N;CCL!$P:$Q},2,FALSE))/(J54/VLOOKUP(D54,{CCL!M:N;CCL!$P:$Q},2,FALSE))-1))</f>
        <v>...</v>
      </c>
      <c r="T54" s="47" t="str">
        <f>IF(B54=0,"...",N54/VLOOKUP(IF(E54="ABIERTA",TODAY(),F54),CCL!$A$12:$B$773,2,FALSE)-J54/VLOOKUP(D54,CCL!$A$12:$B235,2,FALSE))</f>
        <v>...</v>
      </c>
      <c r="U54" s="2"/>
      <c r="V54" s="10"/>
      <c r="W54" s="59" t="str">
        <f t="shared" si="16"/>
        <v>...</v>
      </c>
      <c r="X54" s="12" t="str">
        <f t="shared" si="17"/>
        <v/>
      </c>
      <c r="Y54" s="45" t="str">
        <f t="shared" si="18"/>
        <v>...</v>
      </c>
      <c r="Z54" s="45" t="str">
        <f t="shared" si="19"/>
        <v>...</v>
      </c>
      <c r="AA54" s="12" t="str">
        <f t="shared" si="20"/>
        <v>...</v>
      </c>
      <c r="AB54" s="45" t="str">
        <f t="shared" si="21"/>
        <v>...</v>
      </c>
      <c r="AC54" s="45" t="str">
        <f t="shared" si="22"/>
        <v>...</v>
      </c>
      <c r="AD54" s="12" t="str">
        <f t="shared" si="23"/>
        <v>...</v>
      </c>
      <c r="AE54" s="46" t="str">
        <f t="shared" si="24"/>
        <v>...</v>
      </c>
      <c r="AF54" s="2"/>
      <c r="AG54" s="2"/>
      <c r="AH54" s="2"/>
      <c r="AI54" s="2"/>
      <c r="AJ54" s="2"/>
      <c r="AK54" s="2"/>
    </row>
    <row r="55" ht="24.0" customHeight="1">
      <c r="A55" s="4"/>
      <c r="B55" s="30"/>
      <c r="C55" s="5" t="str">
        <f>IFERROR(__xludf.DUMMYFUNCTION("if(B55=0,""..."", sparkline(query(GOOGLEFINANCE(""BCBA:""&amp;B55,""price"",today()-$AI$36,today()),""select Col2"",0),{""charttype"",$AI$35}))"),"...")</f>
        <v>...</v>
      </c>
      <c r="D55" s="17"/>
      <c r="E55" s="31"/>
      <c r="F55" s="7"/>
      <c r="G55" s="8" t="str">
        <f t="shared" si="1"/>
        <v>...</v>
      </c>
      <c r="H55" s="31"/>
      <c r="I55" s="44"/>
      <c r="J55" s="45" t="str">
        <f t="shared" si="2"/>
        <v>...</v>
      </c>
      <c r="K55" s="47" t="str">
        <f t="array" ref="K55">IF(B55=0,"...",J55/VLOOKUP(D55,{CCL!M:N;CCL!$P:$Q},2,FALSE))</f>
        <v>...</v>
      </c>
      <c r="L55" s="45" t="str">
        <f>IFERROR(__xludf.DUMMYFUNCTION("if(B55=0,""..."",if(E55=""CERRADA"",""Valor Venta"", GOOGLEFINANCE(""BCBA:""&amp;B55)))"),"...")</f>
        <v>...</v>
      </c>
      <c r="M55" s="45" t="str">
        <f>if(B55=0,"...",L55*(1-VLOOKUP(A55,Config!$B$3:$C$22,2,FALSE)))</f>
        <v>...</v>
      </c>
      <c r="N55" s="45" t="str">
        <f t="shared" si="3"/>
        <v>...</v>
      </c>
      <c r="O55" s="12" t="str">
        <f>IFERROR(__xludf.DUMMYFUNCTION("if(B55=0,""..."",GOOGLEFINANCE(B55,""changepct"")/100)"),"...")</f>
        <v>...</v>
      </c>
      <c r="P55" s="10" t="str">
        <f>IFERROR(__xludf.DUMMYFUNCTION("if(B55=0,""..."",GOOGLEFINANCE(B55,""change"")*H55)"),"...")</f>
        <v>...</v>
      </c>
      <c r="Q55" s="12" t="str">
        <f t="shared" si="4"/>
        <v>...</v>
      </c>
      <c r="R55" s="47" t="str">
        <f t="shared" si="5"/>
        <v>...</v>
      </c>
      <c r="S55" s="12" t="str">
        <f t="array" ref="S55">IF(B55=0,"...",(N55/IF(E55="ABIERTA",CCL!$E$2,VLOOKUP(F55,{CCL!M:N;CCL!$P:$Q},2,FALSE))/(J55/VLOOKUP(D55,{CCL!M:N;CCL!$P:$Q},2,FALSE))-1))</f>
        <v>...</v>
      </c>
      <c r="T55" s="47" t="str">
        <f>IF(B55=0,"...",N55/VLOOKUP(IF(E55="ABIERTA",TODAY(),F55),CCL!$A$12:$B$773,2,FALSE)-J55/VLOOKUP(D55,CCL!$A$12:$B235,2,FALSE))</f>
        <v>...</v>
      </c>
      <c r="U55" s="2"/>
      <c r="V55" s="10"/>
      <c r="W55" s="59" t="str">
        <f t="shared" si="16"/>
        <v>...</v>
      </c>
      <c r="X55" s="12" t="str">
        <f t="shared" si="17"/>
        <v/>
      </c>
      <c r="Y55" s="45" t="str">
        <f t="shared" si="18"/>
        <v>...</v>
      </c>
      <c r="Z55" s="45" t="str">
        <f t="shared" si="19"/>
        <v>...</v>
      </c>
      <c r="AA55" s="12" t="str">
        <f t="shared" si="20"/>
        <v>...</v>
      </c>
      <c r="AB55" s="45" t="str">
        <f t="shared" si="21"/>
        <v>...</v>
      </c>
      <c r="AC55" s="45" t="str">
        <f t="shared" si="22"/>
        <v>...</v>
      </c>
      <c r="AD55" s="12" t="str">
        <f t="shared" si="23"/>
        <v>...</v>
      </c>
      <c r="AE55" s="46" t="str">
        <f t="shared" si="24"/>
        <v>...</v>
      </c>
      <c r="AF55" s="2"/>
      <c r="AG55" s="2"/>
      <c r="AH55" s="2"/>
      <c r="AI55" s="2"/>
      <c r="AJ55" s="2"/>
      <c r="AK55" s="2"/>
    </row>
    <row r="56" ht="24.0" customHeight="1">
      <c r="A56" s="4"/>
      <c r="B56" s="30"/>
      <c r="C56" s="5" t="str">
        <f>IFERROR(__xludf.DUMMYFUNCTION("if(B56=0,""..."", sparkline(query(GOOGLEFINANCE(""BCBA:""&amp;B56,""price"",today()-$AI$36,today()),""select Col2"",0),{""charttype"",$AI$35}))"),"...")</f>
        <v>...</v>
      </c>
      <c r="D56" s="17"/>
      <c r="E56" s="31"/>
      <c r="F56" s="7"/>
      <c r="G56" s="8" t="str">
        <f t="shared" si="1"/>
        <v>...</v>
      </c>
      <c r="H56" s="31"/>
      <c r="I56" s="44"/>
      <c r="J56" s="45" t="str">
        <f t="shared" si="2"/>
        <v>...</v>
      </c>
      <c r="K56" s="47" t="str">
        <f t="array" ref="K56">IF(B56=0,"...",J56/VLOOKUP(D56,{CCL!M:N;CCL!$P:$Q},2,FALSE))</f>
        <v>...</v>
      </c>
      <c r="L56" s="45" t="str">
        <f>IFERROR(__xludf.DUMMYFUNCTION("if(B56=0,""..."",if(E56=""CERRADA"",""Valor Venta"", GOOGLEFINANCE(""BCBA:""&amp;B56)))"),"...")</f>
        <v>...</v>
      </c>
      <c r="M56" s="45" t="str">
        <f>if(B56=0,"...",L56*(1-VLOOKUP(A56,Config!$B$3:$C$22,2,FALSE)))</f>
        <v>...</v>
      </c>
      <c r="N56" s="45" t="str">
        <f t="shared" si="3"/>
        <v>...</v>
      </c>
      <c r="O56" s="12" t="str">
        <f>IFERROR(__xludf.DUMMYFUNCTION("if(B56=0,""..."",GOOGLEFINANCE(B56,""changepct"")/100)"),"...")</f>
        <v>...</v>
      </c>
      <c r="P56" s="10" t="str">
        <f>IFERROR(__xludf.DUMMYFUNCTION("if(B56=0,""..."",GOOGLEFINANCE(B56,""change"")*H56)"),"...")</f>
        <v>...</v>
      </c>
      <c r="Q56" s="12" t="str">
        <f t="shared" si="4"/>
        <v>...</v>
      </c>
      <c r="R56" s="47" t="str">
        <f t="shared" si="5"/>
        <v>...</v>
      </c>
      <c r="S56" s="12" t="str">
        <f t="array" ref="S56">IF(B56=0,"...",(N56/IF(E56="ABIERTA",CCL!$E$2,VLOOKUP(F56,{CCL!M:N;CCL!$P:$Q},2,FALSE))/(J56/VLOOKUP(D56,{CCL!M:N;CCL!$P:$Q},2,FALSE))-1))</f>
        <v>...</v>
      </c>
      <c r="T56" s="47" t="str">
        <f>IF(B56=0,"...",N56/VLOOKUP(IF(E56="ABIERTA",TODAY(),F56),CCL!$A$12:$B$773,2,FALSE)-J56/VLOOKUP(D56,CCL!$A$12:$B235,2,FALSE))</f>
        <v>...</v>
      </c>
      <c r="U56" s="2"/>
      <c r="V56" s="10"/>
      <c r="W56" s="59" t="str">
        <f t="shared" si="16"/>
        <v>...</v>
      </c>
      <c r="X56" s="12" t="str">
        <f t="shared" si="17"/>
        <v/>
      </c>
      <c r="Y56" s="45" t="str">
        <f t="shared" si="18"/>
        <v>...</v>
      </c>
      <c r="Z56" s="45" t="str">
        <f t="shared" si="19"/>
        <v>...</v>
      </c>
      <c r="AA56" s="12" t="str">
        <f t="shared" si="20"/>
        <v>...</v>
      </c>
      <c r="AB56" s="45" t="str">
        <f t="shared" si="21"/>
        <v>...</v>
      </c>
      <c r="AC56" s="45" t="str">
        <f t="shared" si="22"/>
        <v>...</v>
      </c>
      <c r="AD56" s="12" t="str">
        <f t="shared" si="23"/>
        <v>...</v>
      </c>
      <c r="AE56" s="46" t="str">
        <f t="shared" si="24"/>
        <v>...</v>
      </c>
      <c r="AF56" s="2"/>
      <c r="AG56" s="2"/>
      <c r="AH56" s="2"/>
      <c r="AI56" s="2"/>
      <c r="AJ56" s="2"/>
      <c r="AK56" s="2"/>
    </row>
    <row r="57" ht="24.0" customHeight="1">
      <c r="A57" s="4"/>
      <c r="B57" s="30"/>
      <c r="C57" s="5" t="str">
        <f>IFERROR(__xludf.DUMMYFUNCTION("if(B57=0,""..."", sparkline(query(GOOGLEFINANCE(""BCBA:""&amp;B57,""price"",today()-$AI$36,today()),""select Col2"",0),{""charttype"",$AI$35}))"),"...")</f>
        <v>...</v>
      </c>
      <c r="D57" s="17"/>
      <c r="E57" s="31"/>
      <c r="F57" s="7"/>
      <c r="G57" s="8" t="str">
        <f t="shared" si="1"/>
        <v>...</v>
      </c>
      <c r="H57" s="31"/>
      <c r="I57" s="44"/>
      <c r="J57" s="45" t="str">
        <f t="shared" si="2"/>
        <v>...</v>
      </c>
      <c r="K57" s="47" t="str">
        <f t="array" ref="K57">IF(B57=0,"...",J57/VLOOKUP(D57,{CCL!M:N;CCL!$P:$Q},2,FALSE))</f>
        <v>...</v>
      </c>
      <c r="L57" s="45" t="str">
        <f>IFERROR(__xludf.DUMMYFUNCTION("if(B57=0,""..."",if(E57=""CERRADA"",""Valor Venta"", GOOGLEFINANCE(""BCBA:""&amp;B57)))"),"...")</f>
        <v>...</v>
      </c>
      <c r="M57" s="45" t="str">
        <f>if(B57=0,"...",L57*(1-VLOOKUP(A57,Config!$B$3:$C$22,2,FALSE)))</f>
        <v>...</v>
      </c>
      <c r="N57" s="45" t="str">
        <f t="shared" si="3"/>
        <v>...</v>
      </c>
      <c r="O57" s="12" t="str">
        <f>IFERROR(__xludf.DUMMYFUNCTION("if(B57=0,""..."",GOOGLEFINANCE(B57,""changepct"")/100)"),"...")</f>
        <v>...</v>
      </c>
      <c r="P57" s="10" t="str">
        <f>IFERROR(__xludf.DUMMYFUNCTION("if(B57=0,""..."",GOOGLEFINANCE(B57,""change"")*H57)"),"...")</f>
        <v>...</v>
      </c>
      <c r="Q57" s="12" t="str">
        <f t="shared" si="4"/>
        <v>...</v>
      </c>
      <c r="R57" s="47" t="str">
        <f t="shared" si="5"/>
        <v>...</v>
      </c>
      <c r="S57" s="12" t="str">
        <f t="array" ref="S57">IF(B57=0,"...",(N57/IF(E57="ABIERTA",CCL!$E$2,VLOOKUP(F57,{CCL!M:N;CCL!$P:$Q},2,FALSE))/(J57/VLOOKUP(D57,{CCL!M:N;CCL!$P:$Q},2,FALSE))-1))</f>
        <v>...</v>
      </c>
      <c r="T57" s="47" t="str">
        <f>IF(B57=0,"...",N57/VLOOKUP(IF(E57="ABIERTA",TODAY(),F57),CCL!$A$12:$B$773,2,FALSE)-J57/VLOOKUP(D57,CCL!$A$12:$B235,2,FALSE))</f>
        <v>...</v>
      </c>
      <c r="U57" s="2"/>
      <c r="V57" s="10"/>
      <c r="W57" s="59" t="str">
        <f t="shared" si="16"/>
        <v>...</v>
      </c>
      <c r="X57" s="12" t="str">
        <f t="shared" si="17"/>
        <v/>
      </c>
      <c r="Y57" s="45" t="str">
        <f t="shared" si="18"/>
        <v>...</v>
      </c>
      <c r="Z57" s="45" t="str">
        <f t="shared" si="19"/>
        <v>...</v>
      </c>
      <c r="AA57" s="12" t="str">
        <f t="shared" si="20"/>
        <v>...</v>
      </c>
      <c r="AB57" s="45" t="str">
        <f t="shared" si="21"/>
        <v>...</v>
      </c>
      <c r="AC57" s="45" t="str">
        <f t="shared" si="22"/>
        <v>...</v>
      </c>
      <c r="AD57" s="12" t="str">
        <f t="shared" si="23"/>
        <v>...</v>
      </c>
      <c r="AE57" s="46" t="str">
        <f t="shared" si="24"/>
        <v>...</v>
      </c>
      <c r="AF57" s="2"/>
      <c r="AG57" s="2"/>
      <c r="AH57" s="2"/>
      <c r="AI57" s="2"/>
      <c r="AJ57" s="2"/>
      <c r="AK57" s="2"/>
    </row>
    <row r="58" ht="24.0" customHeight="1">
      <c r="A58" s="4"/>
      <c r="B58" s="30"/>
      <c r="C58" s="5" t="str">
        <f>IFERROR(__xludf.DUMMYFUNCTION("if(B58=0,""..."", sparkline(query(GOOGLEFINANCE(""BCBA:""&amp;B58,""price"",today()-$AI$36,today()),""select Col2"",0),{""charttype"",$AI$35}))"),"...")</f>
        <v>...</v>
      </c>
      <c r="D58" s="17"/>
      <c r="E58" s="31"/>
      <c r="F58" s="7"/>
      <c r="G58" s="8" t="str">
        <f t="shared" si="1"/>
        <v>...</v>
      </c>
      <c r="H58" s="31"/>
      <c r="I58" s="44"/>
      <c r="J58" s="45" t="str">
        <f t="shared" si="2"/>
        <v>...</v>
      </c>
      <c r="K58" s="47" t="str">
        <f t="array" ref="K58">IF(B58=0,"...",J58/VLOOKUP(D58,{CCL!M:N;CCL!$P:$Q},2,FALSE))</f>
        <v>...</v>
      </c>
      <c r="L58" s="45" t="str">
        <f>IFERROR(__xludf.DUMMYFUNCTION("if(B58=0,""..."",if(E58=""CERRADA"",""Valor Venta"", GOOGLEFINANCE(""BCBA:""&amp;B58)))"),"...")</f>
        <v>...</v>
      </c>
      <c r="M58" s="45" t="str">
        <f>if(B58=0,"...",L58*(1-VLOOKUP(A58,Config!$B$3:$C$22,2,FALSE)))</f>
        <v>...</v>
      </c>
      <c r="N58" s="45" t="str">
        <f t="shared" si="3"/>
        <v>...</v>
      </c>
      <c r="O58" s="12" t="str">
        <f>IFERROR(__xludf.DUMMYFUNCTION("if(B58=0,""..."",GOOGLEFINANCE(B58,""changepct"")/100)"),"...")</f>
        <v>...</v>
      </c>
      <c r="P58" s="10" t="str">
        <f>IFERROR(__xludf.DUMMYFUNCTION("if(B58=0,""..."",GOOGLEFINANCE(B58,""change"")*H58)"),"...")</f>
        <v>...</v>
      </c>
      <c r="Q58" s="12" t="str">
        <f t="shared" si="4"/>
        <v>...</v>
      </c>
      <c r="R58" s="47" t="str">
        <f t="shared" si="5"/>
        <v>...</v>
      </c>
      <c r="S58" s="12" t="str">
        <f t="array" ref="S58">IF(B58=0,"...",(N58/IF(E58="ABIERTA",CCL!$E$2,VLOOKUP(F58,{CCL!M:N;CCL!$P:$Q},2,FALSE))/(J58/VLOOKUP(D58,{CCL!M:N;CCL!$P:$Q},2,FALSE))-1))</f>
        <v>...</v>
      </c>
      <c r="T58" s="47" t="str">
        <f>IF(B58=0,"...",N58/VLOOKUP(IF(E58="ABIERTA",TODAY(),F58),CCL!$A$12:$B$773,2,FALSE)-J58/VLOOKUP(D58,CCL!$A$12:$B235,2,FALSE))</f>
        <v>...</v>
      </c>
      <c r="U58" s="2"/>
      <c r="V58" s="10"/>
      <c r="W58" s="59" t="str">
        <f t="shared" si="16"/>
        <v>...</v>
      </c>
      <c r="X58" s="12" t="str">
        <f t="shared" si="17"/>
        <v/>
      </c>
      <c r="Y58" s="45" t="str">
        <f t="shared" si="18"/>
        <v>...</v>
      </c>
      <c r="Z58" s="45" t="str">
        <f t="shared" si="19"/>
        <v>...</v>
      </c>
      <c r="AA58" s="12" t="str">
        <f t="shared" si="20"/>
        <v>...</v>
      </c>
      <c r="AB58" s="45" t="str">
        <f t="shared" si="21"/>
        <v>...</v>
      </c>
      <c r="AC58" s="45" t="str">
        <f t="shared" si="22"/>
        <v>...</v>
      </c>
      <c r="AD58" s="12" t="str">
        <f t="shared" si="23"/>
        <v>...</v>
      </c>
      <c r="AE58" s="46" t="str">
        <f t="shared" si="24"/>
        <v>...</v>
      </c>
      <c r="AF58" s="2"/>
      <c r="AG58" s="2"/>
      <c r="AH58" s="2"/>
      <c r="AI58" s="2"/>
      <c r="AJ58" s="2"/>
      <c r="AK58" s="2"/>
    </row>
    <row r="59" ht="24.0" customHeight="1">
      <c r="A59" s="4"/>
      <c r="B59" s="30"/>
      <c r="C59" s="5" t="str">
        <f>IFERROR(__xludf.DUMMYFUNCTION("if(B59=0,""..."", sparkline(query(GOOGLEFINANCE(""BCBA:""&amp;B59,""price"",today()-$AI$36,today()),""select Col2"",0),{""charttype"",$AI$35}))"),"...")</f>
        <v>...</v>
      </c>
      <c r="D59" s="17"/>
      <c r="E59" s="31"/>
      <c r="F59" s="7"/>
      <c r="G59" s="8" t="str">
        <f t="shared" si="1"/>
        <v>...</v>
      </c>
      <c r="H59" s="31"/>
      <c r="I59" s="44"/>
      <c r="J59" s="45" t="str">
        <f t="shared" si="2"/>
        <v>...</v>
      </c>
      <c r="K59" s="47" t="str">
        <f t="array" ref="K59">IF(B59=0,"...",J59/VLOOKUP(D59,{CCL!M:N;CCL!$P:$Q},2,FALSE))</f>
        <v>...</v>
      </c>
      <c r="L59" s="45" t="str">
        <f>IFERROR(__xludf.DUMMYFUNCTION("if(B59=0,""..."",if(E59=""CERRADA"",""Valor Venta"", GOOGLEFINANCE(""BCBA:""&amp;B59)))"),"...")</f>
        <v>...</v>
      </c>
      <c r="M59" s="45" t="str">
        <f>if(B59=0,"...",L59*(1-VLOOKUP(A59,Config!$B$3:$C$22,2,FALSE)))</f>
        <v>...</v>
      </c>
      <c r="N59" s="45" t="str">
        <f t="shared" si="3"/>
        <v>...</v>
      </c>
      <c r="O59" s="12" t="str">
        <f>IFERROR(__xludf.DUMMYFUNCTION("if(B59=0,""..."",GOOGLEFINANCE(B59,""changepct"")/100)"),"...")</f>
        <v>...</v>
      </c>
      <c r="P59" s="10" t="str">
        <f>IFERROR(__xludf.DUMMYFUNCTION("if(B59=0,""..."",GOOGLEFINANCE(B59,""change"")*H59)"),"...")</f>
        <v>...</v>
      </c>
      <c r="Q59" s="12" t="str">
        <f t="shared" si="4"/>
        <v>...</v>
      </c>
      <c r="R59" s="47" t="str">
        <f t="shared" si="5"/>
        <v>...</v>
      </c>
      <c r="S59" s="12" t="str">
        <f t="array" ref="S59">IF(B59=0,"...",(N59/IF(E59="ABIERTA",CCL!$E$2,VLOOKUP(F59,{CCL!M:N;CCL!$P:$Q},2,FALSE))/(J59/VLOOKUP(D59,{CCL!M:N;CCL!$P:$Q},2,FALSE))-1))</f>
        <v>...</v>
      </c>
      <c r="T59" s="47" t="str">
        <f>IF(B59=0,"...",N59/VLOOKUP(IF(E59="ABIERTA",TODAY(),F59),CCL!$A$12:$B$773,2,FALSE)-J59/VLOOKUP(D59,CCL!$A$12:$B235,2,FALSE))</f>
        <v>...</v>
      </c>
      <c r="U59" s="2"/>
      <c r="V59" s="10"/>
      <c r="W59" s="59" t="str">
        <f t="shared" si="16"/>
        <v>...</v>
      </c>
      <c r="X59" s="12" t="str">
        <f t="shared" si="17"/>
        <v/>
      </c>
      <c r="Y59" s="45" t="str">
        <f t="shared" si="18"/>
        <v>...</v>
      </c>
      <c r="Z59" s="45" t="str">
        <f t="shared" si="19"/>
        <v>...</v>
      </c>
      <c r="AA59" s="12" t="str">
        <f t="shared" si="20"/>
        <v>...</v>
      </c>
      <c r="AB59" s="45" t="str">
        <f t="shared" si="21"/>
        <v>...</v>
      </c>
      <c r="AC59" s="45" t="str">
        <f t="shared" si="22"/>
        <v>...</v>
      </c>
      <c r="AD59" s="12" t="str">
        <f t="shared" si="23"/>
        <v>...</v>
      </c>
      <c r="AE59" s="46" t="str">
        <f t="shared" si="24"/>
        <v>...</v>
      </c>
      <c r="AF59" s="2"/>
      <c r="AG59" s="2"/>
      <c r="AH59" s="2"/>
      <c r="AI59" s="2"/>
      <c r="AJ59" s="2"/>
      <c r="AK59" s="2"/>
    </row>
    <row r="60" ht="24.0" customHeight="1">
      <c r="A60" s="4"/>
      <c r="B60" s="30"/>
      <c r="C60" s="5" t="str">
        <f>IFERROR(__xludf.DUMMYFUNCTION("if(B60=0,""..."", sparkline(query(GOOGLEFINANCE(""BCBA:""&amp;B60,""price"",today()-$AI$36,today()),""select Col2"",0),{""charttype"",$AI$35}))"),"...")</f>
        <v>...</v>
      </c>
      <c r="D60" s="17"/>
      <c r="E60" s="31"/>
      <c r="F60" s="7"/>
      <c r="G60" s="8" t="str">
        <f t="shared" si="1"/>
        <v>...</v>
      </c>
      <c r="H60" s="31"/>
      <c r="I60" s="44"/>
      <c r="J60" s="45" t="str">
        <f t="shared" si="2"/>
        <v>...</v>
      </c>
      <c r="K60" s="47" t="str">
        <f t="array" ref="K60">IF(B60=0,"...",J60/VLOOKUP(D60,{CCL!M:N;CCL!$P:$Q},2,FALSE))</f>
        <v>...</v>
      </c>
      <c r="L60" s="45" t="str">
        <f>IFERROR(__xludf.DUMMYFUNCTION("if(B60=0,""..."",if(E60=""CERRADA"",""Valor Venta"", GOOGLEFINANCE(""BCBA:""&amp;B60)))"),"...")</f>
        <v>...</v>
      </c>
      <c r="M60" s="45" t="str">
        <f>if(B60=0,"...",L60*(1-VLOOKUP(A60,Config!$B$3:$C$22,2,FALSE)))</f>
        <v>...</v>
      </c>
      <c r="N60" s="45" t="str">
        <f t="shared" si="3"/>
        <v>...</v>
      </c>
      <c r="O60" s="12" t="str">
        <f>IFERROR(__xludf.DUMMYFUNCTION("if(B60=0,""..."",GOOGLEFINANCE(B60,""changepct"")/100)"),"...")</f>
        <v>...</v>
      </c>
      <c r="P60" s="10" t="str">
        <f>IFERROR(__xludf.DUMMYFUNCTION("if(B60=0,""..."",GOOGLEFINANCE(B60,""change"")*H60)"),"...")</f>
        <v>...</v>
      </c>
      <c r="Q60" s="12" t="str">
        <f t="shared" si="4"/>
        <v>...</v>
      </c>
      <c r="R60" s="47" t="str">
        <f t="shared" si="5"/>
        <v>...</v>
      </c>
      <c r="S60" s="12" t="str">
        <f t="array" ref="S60">IF(B60=0,"...",(N60/IF(E60="ABIERTA",CCL!$E$2,VLOOKUP(F60,{CCL!M:N;CCL!$P:$Q},2,FALSE))/(J60/VLOOKUP(D60,{CCL!M:N;CCL!$P:$Q},2,FALSE))-1))</f>
        <v>...</v>
      </c>
      <c r="T60" s="47" t="str">
        <f>IF(B60=0,"...",N60/VLOOKUP(IF(E60="ABIERTA",TODAY(),F60),CCL!$A$12:$B$773,2,FALSE)-J60/VLOOKUP(D60,CCL!$A$12:$B235,2,FALSE))</f>
        <v>...</v>
      </c>
      <c r="U60" s="2"/>
      <c r="V60" s="10"/>
      <c r="W60" s="59" t="str">
        <f t="shared" si="16"/>
        <v>...</v>
      </c>
      <c r="X60" s="12" t="str">
        <f t="shared" si="17"/>
        <v/>
      </c>
      <c r="Y60" s="45" t="str">
        <f t="shared" si="18"/>
        <v>...</v>
      </c>
      <c r="Z60" s="45" t="str">
        <f t="shared" si="19"/>
        <v>...</v>
      </c>
      <c r="AA60" s="12" t="str">
        <f t="shared" si="20"/>
        <v>...</v>
      </c>
      <c r="AB60" s="45" t="str">
        <f t="shared" si="21"/>
        <v>...</v>
      </c>
      <c r="AC60" s="45" t="str">
        <f t="shared" si="22"/>
        <v>...</v>
      </c>
      <c r="AD60" s="12" t="str">
        <f t="shared" si="23"/>
        <v>...</v>
      </c>
      <c r="AE60" s="46" t="str">
        <f t="shared" si="24"/>
        <v>...</v>
      </c>
      <c r="AF60" s="2"/>
      <c r="AG60" s="2"/>
      <c r="AH60" s="2"/>
      <c r="AI60" s="2"/>
      <c r="AJ60" s="2"/>
      <c r="AK60" s="2"/>
    </row>
    <row r="61" ht="24.0" customHeight="1">
      <c r="A61" s="4"/>
      <c r="B61" s="30"/>
      <c r="C61" s="5" t="str">
        <f>IFERROR(__xludf.DUMMYFUNCTION("if(B61=0,""..."", sparkline(query(GOOGLEFINANCE(""BCBA:""&amp;B61,""price"",today()-$AI$36,today()),""select Col2"",0),{""charttype"",$AI$35}))"),"...")</f>
        <v>...</v>
      </c>
      <c r="D61" s="17"/>
      <c r="E61" s="31"/>
      <c r="F61" s="7"/>
      <c r="G61" s="8" t="str">
        <f t="shared" si="1"/>
        <v>...</v>
      </c>
      <c r="H61" s="31"/>
      <c r="I61" s="44"/>
      <c r="J61" s="45" t="str">
        <f t="shared" si="2"/>
        <v>...</v>
      </c>
      <c r="K61" s="47" t="str">
        <f t="array" ref="K61">IF(B61=0,"...",J61/VLOOKUP(D61,{CCL!M:N;CCL!$P:$Q},2,FALSE))</f>
        <v>...</v>
      </c>
      <c r="L61" s="45" t="str">
        <f>IFERROR(__xludf.DUMMYFUNCTION("if(B61=0,""..."",if(E61=""CERRADA"",""Valor Venta"", GOOGLEFINANCE(""BCBA:""&amp;B61)))"),"...")</f>
        <v>...</v>
      </c>
      <c r="M61" s="45" t="str">
        <f>if(B61=0,"...",L61*(1-VLOOKUP(A61,Config!$B$3:$C$22,2,FALSE)))</f>
        <v>...</v>
      </c>
      <c r="N61" s="45" t="str">
        <f t="shared" si="3"/>
        <v>...</v>
      </c>
      <c r="O61" s="12" t="str">
        <f>IFERROR(__xludf.DUMMYFUNCTION("if(B61=0,""..."",GOOGLEFINANCE(B61,""changepct"")/100)"),"...")</f>
        <v>...</v>
      </c>
      <c r="P61" s="10" t="str">
        <f>IFERROR(__xludf.DUMMYFUNCTION("if(B61=0,""..."",GOOGLEFINANCE(B61,""change"")*H61)"),"...")</f>
        <v>...</v>
      </c>
      <c r="Q61" s="12" t="str">
        <f t="shared" si="4"/>
        <v>...</v>
      </c>
      <c r="R61" s="47" t="str">
        <f t="shared" si="5"/>
        <v>...</v>
      </c>
      <c r="S61" s="12" t="str">
        <f t="array" ref="S61">IF(B61=0,"...",(N61/IF(E61="ABIERTA",CCL!$E$2,VLOOKUP(F61,{CCL!M:N;CCL!$P:$Q},2,FALSE))/(J61/VLOOKUP(D61,{CCL!M:N;CCL!$P:$Q},2,FALSE))-1))</f>
        <v>...</v>
      </c>
      <c r="T61" s="47" t="str">
        <f>IF(B61=0,"...",N61/VLOOKUP(IF(E61="ABIERTA",TODAY(),F61),CCL!$A$12:$B$773,2,FALSE)-J61/VLOOKUP(D61,CCL!$A$12:$B235,2,FALSE))</f>
        <v>...</v>
      </c>
      <c r="U61" s="2"/>
      <c r="V61" s="10"/>
      <c r="W61" s="59" t="str">
        <f t="shared" si="16"/>
        <v>...</v>
      </c>
      <c r="X61" s="12" t="str">
        <f t="shared" si="17"/>
        <v/>
      </c>
      <c r="Y61" s="45" t="str">
        <f t="shared" si="18"/>
        <v>...</v>
      </c>
      <c r="Z61" s="45" t="str">
        <f t="shared" si="19"/>
        <v>...</v>
      </c>
      <c r="AA61" s="12" t="str">
        <f t="shared" si="20"/>
        <v>...</v>
      </c>
      <c r="AB61" s="45" t="str">
        <f t="shared" si="21"/>
        <v>...</v>
      </c>
      <c r="AC61" s="45" t="str">
        <f t="shared" si="22"/>
        <v>...</v>
      </c>
      <c r="AD61" s="12" t="str">
        <f t="shared" si="23"/>
        <v>...</v>
      </c>
      <c r="AE61" s="46" t="str">
        <f t="shared" si="24"/>
        <v>...</v>
      </c>
      <c r="AF61" s="2"/>
      <c r="AG61" s="2"/>
      <c r="AH61" s="2"/>
      <c r="AI61" s="2"/>
      <c r="AJ61" s="2"/>
      <c r="AK61" s="2"/>
    </row>
    <row r="62" ht="24.0" customHeight="1">
      <c r="A62" s="4"/>
      <c r="B62" s="30"/>
      <c r="C62" s="5" t="str">
        <f>IFERROR(__xludf.DUMMYFUNCTION("if(B62=0,""..."", sparkline(query(GOOGLEFINANCE(""BCBA:""&amp;B62,""price"",today()-$AI$36,today()),""select Col2"",0),{""charttype"",$AI$35}))"),"...")</f>
        <v>...</v>
      </c>
      <c r="D62" s="17"/>
      <c r="E62" s="31"/>
      <c r="F62" s="7"/>
      <c r="G62" s="8" t="str">
        <f t="shared" si="1"/>
        <v>...</v>
      </c>
      <c r="H62" s="31"/>
      <c r="I62" s="44"/>
      <c r="J62" s="45" t="str">
        <f t="shared" si="2"/>
        <v>...</v>
      </c>
      <c r="K62" s="47" t="str">
        <f t="array" ref="K62">IF(B62=0,"...",J62/VLOOKUP(D62,{CCL!M:N;CCL!$P:$Q},2,FALSE))</f>
        <v>...</v>
      </c>
      <c r="L62" s="45" t="str">
        <f>IFERROR(__xludf.DUMMYFUNCTION("if(B62=0,""..."",if(E62=""CERRADA"",""Valor Venta"", GOOGLEFINANCE(""BCBA:""&amp;B62)))"),"...")</f>
        <v>...</v>
      </c>
      <c r="M62" s="45" t="str">
        <f>if(B62=0,"...",L62*(1-VLOOKUP(A62,Config!$B$3:$C$22,2,FALSE)))</f>
        <v>...</v>
      </c>
      <c r="N62" s="45" t="str">
        <f t="shared" si="3"/>
        <v>...</v>
      </c>
      <c r="O62" s="12" t="str">
        <f>IFERROR(__xludf.DUMMYFUNCTION("if(B62=0,""..."",GOOGLEFINANCE(B62,""changepct"")/100)"),"...")</f>
        <v>...</v>
      </c>
      <c r="P62" s="10" t="str">
        <f>IFERROR(__xludf.DUMMYFUNCTION("if(B62=0,""..."",GOOGLEFINANCE(B62,""change"")*H62)"),"...")</f>
        <v>...</v>
      </c>
      <c r="Q62" s="12" t="str">
        <f t="shared" si="4"/>
        <v>...</v>
      </c>
      <c r="R62" s="47" t="str">
        <f t="shared" si="5"/>
        <v>...</v>
      </c>
      <c r="S62" s="12" t="str">
        <f t="array" ref="S62">IF(B62=0,"...",(N62/IF(E62="ABIERTA",CCL!$E$2,VLOOKUP(F62,{CCL!M:N;CCL!$P:$Q},2,FALSE))/(J62/VLOOKUP(D62,{CCL!M:N;CCL!$P:$Q},2,FALSE))-1))</f>
        <v>...</v>
      </c>
      <c r="T62" s="47" t="str">
        <f>IF(B62=0,"...",N62/VLOOKUP(IF(E62="ABIERTA",TODAY(),F62),CCL!$A$12:$B$773,2,FALSE)-J62/VLOOKUP(D62,CCL!$A$12:$B235,2,FALSE))</f>
        <v>...</v>
      </c>
      <c r="U62" s="2"/>
      <c r="V62" s="10"/>
      <c r="W62" s="59" t="str">
        <f t="shared" si="16"/>
        <v>...</v>
      </c>
      <c r="X62" s="12" t="str">
        <f t="shared" si="17"/>
        <v/>
      </c>
      <c r="Y62" s="45" t="str">
        <f t="shared" si="18"/>
        <v>...</v>
      </c>
      <c r="Z62" s="45" t="str">
        <f t="shared" si="19"/>
        <v>...</v>
      </c>
      <c r="AA62" s="12" t="str">
        <f t="shared" si="20"/>
        <v>...</v>
      </c>
      <c r="AB62" s="45" t="str">
        <f t="shared" si="21"/>
        <v>...</v>
      </c>
      <c r="AC62" s="45" t="str">
        <f t="shared" si="22"/>
        <v>...</v>
      </c>
      <c r="AD62" s="12" t="str">
        <f t="shared" si="23"/>
        <v>...</v>
      </c>
      <c r="AE62" s="46" t="str">
        <f t="shared" si="24"/>
        <v>...</v>
      </c>
      <c r="AF62" s="2"/>
      <c r="AG62" s="2"/>
      <c r="AH62" s="2"/>
      <c r="AI62" s="2"/>
      <c r="AJ62" s="2"/>
      <c r="AK62" s="2"/>
    </row>
    <row r="63" ht="24.0" customHeight="1">
      <c r="A63" s="4"/>
      <c r="B63" s="30"/>
      <c r="C63" s="5" t="str">
        <f>IFERROR(__xludf.DUMMYFUNCTION("if(B63=0,""..."", sparkline(query(GOOGLEFINANCE(""BCBA:""&amp;B63,""price"",today()-$AI$36,today()),""select Col2"",0),{""charttype"",$AI$35}))"),"...")</f>
        <v>...</v>
      </c>
      <c r="D63" s="17"/>
      <c r="E63" s="31"/>
      <c r="F63" s="7"/>
      <c r="G63" s="8" t="str">
        <f t="shared" si="1"/>
        <v>...</v>
      </c>
      <c r="H63" s="31"/>
      <c r="I63" s="44"/>
      <c r="J63" s="45" t="str">
        <f t="shared" si="2"/>
        <v>...</v>
      </c>
      <c r="K63" s="47" t="str">
        <f t="array" ref="K63">IF(B63=0,"...",J63/VLOOKUP(D63,{CCL!M:N;CCL!$P:$Q},2,FALSE))</f>
        <v>...</v>
      </c>
      <c r="L63" s="45" t="str">
        <f>IFERROR(__xludf.DUMMYFUNCTION("if(B63=0,""..."",if(E63=""CERRADA"",""Valor Venta"", GOOGLEFINANCE(""BCBA:""&amp;B63)))"),"...")</f>
        <v>...</v>
      </c>
      <c r="M63" s="45" t="str">
        <f>if(B63=0,"...",L63*(1-VLOOKUP(A63,Config!$B$3:$C$22,2,FALSE)))</f>
        <v>...</v>
      </c>
      <c r="N63" s="45" t="str">
        <f t="shared" si="3"/>
        <v>...</v>
      </c>
      <c r="O63" s="12" t="str">
        <f>IFERROR(__xludf.DUMMYFUNCTION("if(B63=0,""..."",GOOGLEFINANCE(B63,""changepct"")/100)"),"...")</f>
        <v>...</v>
      </c>
      <c r="P63" s="10" t="str">
        <f>IFERROR(__xludf.DUMMYFUNCTION("if(B63=0,""..."",GOOGLEFINANCE(B63,""change"")*H63)"),"...")</f>
        <v>...</v>
      </c>
      <c r="Q63" s="12" t="str">
        <f t="shared" si="4"/>
        <v>...</v>
      </c>
      <c r="R63" s="47" t="str">
        <f t="shared" si="5"/>
        <v>...</v>
      </c>
      <c r="S63" s="12" t="str">
        <f t="array" ref="S63">IF(B63=0,"...",(N63/IF(E63="ABIERTA",CCL!$E$2,VLOOKUP(F63,{CCL!M:N;CCL!$P:$Q},2,FALSE))/(J63/VLOOKUP(D63,{CCL!M:N;CCL!$P:$Q},2,FALSE))-1))</f>
        <v>...</v>
      </c>
      <c r="T63" s="47" t="str">
        <f>IF(B63=0,"...",N63/VLOOKUP(IF(E63="ABIERTA",TODAY(),F63),CCL!$A$12:$B$773,2,FALSE)-J63/VLOOKUP(D63,CCL!$A$12:$B235,2,FALSE))</f>
        <v>...</v>
      </c>
      <c r="U63" s="2"/>
      <c r="V63" s="10"/>
      <c r="W63" s="59" t="str">
        <f t="shared" si="16"/>
        <v>...</v>
      </c>
      <c r="X63" s="12" t="str">
        <f t="shared" si="17"/>
        <v/>
      </c>
      <c r="Y63" s="45" t="str">
        <f t="shared" si="18"/>
        <v>...</v>
      </c>
      <c r="Z63" s="45" t="str">
        <f t="shared" si="19"/>
        <v>...</v>
      </c>
      <c r="AA63" s="12" t="str">
        <f t="shared" si="20"/>
        <v>...</v>
      </c>
      <c r="AB63" s="45" t="str">
        <f t="shared" si="21"/>
        <v>...</v>
      </c>
      <c r="AC63" s="45" t="str">
        <f t="shared" si="22"/>
        <v>...</v>
      </c>
      <c r="AD63" s="12" t="str">
        <f t="shared" si="23"/>
        <v>...</v>
      </c>
      <c r="AE63" s="46" t="str">
        <f t="shared" si="24"/>
        <v>...</v>
      </c>
      <c r="AF63" s="2"/>
      <c r="AG63" s="2"/>
      <c r="AH63" s="2"/>
      <c r="AI63" s="2"/>
      <c r="AJ63" s="2"/>
      <c r="AK63" s="2"/>
    </row>
    <row r="64" ht="24.0" customHeight="1">
      <c r="A64" s="4"/>
      <c r="B64" s="30"/>
      <c r="C64" s="5" t="str">
        <f>IFERROR(__xludf.DUMMYFUNCTION("if(B64=0,""..."", sparkline(query(GOOGLEFINANCE(""BCBA:""&amp;B64,""price"",today()-$AI$36,today()),""select Col2"",0),{""charttype"",$AI$35}))"),"...")</f>
        <v>...</v>
      </c>
      <c r="D64" s="17"/>
      <c r="E64" s="31"/>
      <c r="F64" s="7"/>
      <c r="G64" s="8" t="str">
        <f t="shared" si="1"/>
        <v>...</v>
      </c>
      <c r="H64" s="31"/>
      <c r="I64" s="44"/>
      <c r="J64" s="45" t="str">
        <f t="shared" si="2"/>
        <v>...</v>
      </c>
      <c r="K64" s="47" t="str">
        <f t="array" ref="K64">IF(B64=0,"...",J64/VLOOKUP(D64,{CCL!M:N;CCL!$P:$Q},2,FALSE))</f>
        <v>...</v>
      </c>
      <c r="L64" s="45" t="str">
        <f>IFERROR(__xludf.DUMMYFUNCTION("if(B64=0,""..."",if(E64=""CERRADA"",""Valor Venta"", GOOGLEFINANCE(""BCBA:""&amp;B64)))"),"...")</f>
        <v>...</v>
      </c>
      <c r="M64" s="45" t="str">
        <f>if(B64=0,"...",L64*(1-VLOOKUP(A64,Config!$B$3:$C$22,2,FALSE)))</f>
        <v>...</v>
      </c>
      <c r="N64" s="45" t="str">
        <f t="shared" si="3"/>
        <v>...</v>
      </c>
      <c r="O64" s="12" t="str">
        <f>IFERROR(__xludf.DUMMYFUNCTION("if(B64=0,""..."",GOOGLEFINANCE(B64,""changepct"")/100)"),"...")</f>
        <v>...</v>
      </c>
      <c r="P64" s="10" t="str">
        <f>IFERROR(__xludf.DUMMYFUNCTION("if(B64=0,""..."",GOOGLEFINANCE(B64,""change"")*H64)"),"...")</f>
        <v>...</v>
      </c>
      <c r="Q64" s="12" t="str">
        <f t="shared" si="4"/>
        <v>...</v>
      </c>
      <c r="R64" s="47" t="str">
        <f t="shared" si="5"/>
        <v>...</v>
      </c>
      <c r="S64" s="12" t="str">
        <f t="array" ref="S64">IF(B64=0,"...",(N64/IF(E64="ABIERTA",CCL!$E$2,VLOOKUP(F64,{CCL!M:N;CCL!$P:$Q},2,FALSE))/(J64/VLOOKUP(D64,{CCL!M:N;CCL!$P:$Q},2,FALSE))-1))</f>
        <v>...</v>
      </c>
      <c r="T64" s="47" t="str">
        <f>IF(B64=0,"...",N64/VLOOKUP(IF(E64="ABIERTA",TODAY(),F64),CCL!$A$12:$B$773,2,FALSE)-J64/VLOOKUP(D64,CCL!$A$12:$B235,2,FALSE))</f>
        <v>...</v>
      </c>
      <c r="U64" s="2"/>
      <c r="V64" s="10"/>
      <c r="W64" s="59" t="str">
        <f t="shared" si="16"/>
        <v>...</v>
      </c>
      <c r="X64" s="12" t="str">
        <f t="shared" si="17"/>
        <v/>
      </c>
      <c r="Y64" s="45" t="str">
        <f t="shared" si="18"/>
        <v>...</v>
      </c>
      <c r="Z64" s="45" t="str">
        <f t="shared" si="19"/>
        <v>...</v>
      </c>
      <c r="AA64" s="12" t="str">
        <f t="shared" si="20"/>
        <v>...</v>
      </c>
      <c r="AB64" s="45" t="str">
        <f t="shared" si="21"/>
        <v>...</v>
      </c>
      <c r="AC64" s="45" t="str">
        <f t="shared" si="22"/>
        <v>...</v>
      </c>
      <c r="AD64" s="12" t="str">
        <f t="shared" si="23"/>
        <v>...</v>
      </c>
      <c r="AE64" s="46" t="str">
        <f t="shared" si="24"/>
        <v>...</v>
      </c>
      <c r="AF64" s="2"/>
      <c r="AG64" s="2"/>
      <c r="AH64" s="2"/>
      <c r="AI64" s="2"/>
      <c r="AJ64" s="2"/>
      <c r="AK64" s="2"/>
    </row>
    <row r="65" ht="24.0" customHeight="1">
      <c r="A65" s="4"/>
      <c r="B65" s="30"/>
      <c r="C65" s="5" t="str">
        <f>IFERROR(__xludf.DUMMYFUNCTION("if(B65=0,""..."", sparkline(query(GOOGLEFINANCE(""BCBA:""&amp;B65,""price"",today()-$AI$36,today()),""select Col2"",0),{""charttype"",$AI$35}))"),"...")</f>
        <v>...</v>
      </c>
      <c r="D65" s="17"/>
      <c r="E65" s="31"/>
      <c r="F65" s="7"/>
      <c r="G65" s="8" t="str">
        <f t="shared" si="1"/>
        <v>...</v>
      </c>
      <c r="H65" s="31"/>
      <c r="I65" s="44"/>
      <c r="J65" s="45" t="str">
        <f t="shared" si="2"/>
        <v>...</v>
      </c>
      <c r="K65" s="47" t="str">
        <f t="array" ref="K65">IF(B65=0,"...",J65/VLOOKUP(D65,{CCL!M:N;CCL!$P:$Q},2,FALSE))</f>
        <v>...</v>
      </c>
      <c r="L65" s="45" t="str">
        <f>IFERROR(__xludf.DUMMYFUNCTION("if(B65=0,""..."",if(E65=""CERRADA"",""Valor Venta"", GOOGLEFINANCE(""BCBA:""&amp;B65)))"),"...")</f>
        <v>...</v>
      </c>
      <c r="M65" s="45" t="str">
        <f>if(B65=0,"...",L65*(1-VLOOKUP(A65,Config!$B$3:$C$22,2,FALSE)))</f>
        <v>...</v>
      </c>
      <c r="N65" s="45" t="str">
        <f t="shared" si="3"/>
        <v>...</v>
      </c>
      <c r="O65" s="12" t="str">
        <f>IFERROR(__xludf.DUMMYFUNCTION("if(B65=0,""..."",GOOGLEFINANCE(B65,""changepct"")/100)"),"...")</f>
        <v>...</v>
      </c>
      <c r="P65" s="10" t="str">
        <f>IFERROR(__xludf.DUMMYFUNCTION("if(B65=0,""..."",GOOGLEFINANCE(B65,""change"")*H65)"),"...")</f>
        <v>...</v>
      </c>
      <c r="Q65" s="12" t="str">
        <f t="shared" si="4"/>
        <v>...</v>
      </c>
      <c r="R65" s="47" t="str">
        <f t="shared" si="5"/>
        <v>...</v>
      </c>
      <c r="S65" s="12" t="str">
        <f t="array" ref="S65">IF(B65=0,"...",(N65/IF(E65="ABIERTA",CCL!$E$2,VLOOKUP(F65,{CCL!M:N;CCL!$P:$Q},2,FALSE))/(J65/VLOOKUP(D65,{CCL!M:N;CCL!$P:$Q},2,FALSE))-1))</f>
        <v>...</v>
      </c>
      <c r="T65" s="47" t="str">
        <f>IF(B65=0,"...",N65/VLOOKUP(IF(E65="ABIERTA",TODAY(),F65),CCL!$A$12:$B$773,2,FALSE)-J65/VLOOKUP(D65,CCL!$A$12:$B235,2,FALSE))</f>
        <v>...</v>
      </c>
      <c r="U65" s="2"/>
      <c r="V65" s="10"/>
      <c r="W65" s="59" t="str">
        <f t="shared" si="16"/>
        <v>...</v>
      </c>
      <c r="X65" s="12" t="str">
        <f t="shared" si="17"/>
        <v/>
      </c>
      <c r="Y65" s="45" t="str">
        <f t="shared" si="18"/>
        <v>...</v>
      </c>
      <c r="Z65" s="45" t="str">
        <f t="shared" si="19"/>
        <v>...</v>
      </c>
      <c r="AA65" s="12" t="str">
        <f t="shared" si="20"/>
        <v>...</v>
      </c>
      <c r="AB65" s="45" t="str">
        <f t="shared" si="21"/>
        <v>...</v>
      </c>
      <c r="AC65" s="45" t="str">
        <f t="shared" si="22"/>
        <v>...</v>
      </c>
      <c r="AD65" s="12" t="str">
        <f t="shared" si="23"/>
        <v>...</v>
      </c>
      <c r="AE65" s="46" t="str">
        <f t="shared" si="24"/>
        <v>...</v>
      </c>
      <c r="AF65" s="2"/>
      <c r="AG65" s="2"/>
      <c r="AH65" s="2"/>
      <c r="AI65" s="2"/>
      <c r="AJ65" s="2"/>
      <c r="AK65" s="2"/>
    </row>
    <row r="66" ht="24.0" customHeight="1">
      <c r="A66" s="4"/>
      <c r="B66" s="30"/>
      <c r="C66" s="5" t="str">
        <f>IFERROR(__xludf.DUMMYFUNCTION("if(B66=0,""..."", sparkline(query(GOOGLEFINANCE(""BCBA:""&amp;B66,""price"",today()-$AI$36,today()),""select Col2"",0),{""charttype"",$AI$35}))"),"...")</f>
        <v>...</v>
      </c>
      <c r="D66" s="17"/>
      <c r="E66" s="31"/>
      <c r="F66" s="7"/>
      <c r="G66" s="8" t="str">
        <f t="shared" si="1"/>
        <v>...</v>
      </c>
      <c r="H66" s="31"/>
      <c r="I66" s="52"/>
      <c r="J66" s="45" t="str">
        <f t="shared" si="2"/>
        <v>...</v>
      </c>
      <c r="K66" s="47" t="str">
        <f t="array" ref="K66">IF(B66=0,"...",J66/VLOOKUP(D66,{CCL!M:N;CCL!$P:$Q},2,FALSE))</f>
        <v>...</v>
      </c>
      <c r="L66" s="45" t="str">
        <f>IFERROR(__xludf.DUMMYFUNCTION("if(B66=0,""..."",if(E66=""CERRADA"",""Valor Venta"", GOOGLEFINANCE(""BCBA:""&amp;B66)))"),"...")</f>
        <v>...</v>
      </c>
      <c r="M66" s="45" t="str">
        <f>if(B66=0,"...",L66*(1-VLOOKUP(A66,Config!$B$3:$C$22,2,FALSE)))</f>
        <v>...</v>
      </c>
      <c r="N66" s="45" t="str">
        <f t="shared" si="3"/>
        <v>...</v>
      </c>
      <c r="O66" s="12" t="str">
        <f>IFERROR(__xludf.DUMMYFUNCTION("if(B66=0,""..."",GOOGLEFINANCE(B66,""changepct"")/100)"),"...")</f>
        <v>...</v>
      </c>
      <c r="P66" s="10" t="str">
        <f>IFERROR(__xludf.DUMMYFUNCTION("if(B66=0,""..."",GOOGLEFINANCE(B66,""change"")*H66)"),"...")</f>
        <v>...</v>
      </c>
      <c r="Q66" s="12" t="str">
        <f t="shared" si="4"/>
        <v>...</v>
      </c>
      <c r="R66" s="47" t="str">
        <f t="shared" si="5"/>
        <v>...</v>
      </c>
      <c r="S66" s="12" t="str">
        <f t="array" ref="S66">IF(B66=0,"...",(N66/IF(E66="ABIERTA",CCL!$E$2,VLOOKUP(F66,{CCL!M:N;CCL!$P:$Q},2,FALSE))/(J66/VLOOKUP(D66,{CCL!M:N;CCL!$P:$Q},2,FALSE))-1))</f>
        <v>...</v>
      </c>
      <c r="T66" s="47" t="str">
        <f>IF(B66=0,"...",N66/VLOOKUP(IF(E66="ABIERTA",TODAY(),F66),CCL!$A$12:$B$773,2,FALSE)-J66/VLOOKUP(D66,CCL!$A$12:$B235,2,FALSE))</f>
        <v>...</v>
      </c>
      <c r="U66" s="2"/>
      <c r="V66" s="10"/>
      <c r="W66" s="59" t="str">
        <f t="shared" si="16"/>
        <v>...</v>
      </c>
      <c r="X66" s="12" t="str">
        <f t="shared" si="17"/>
        <v/>
      </c>
      <c r="Y66" s="45" t="str">
        <f t="shared" si="18"/>
        <v>...</v>
      </c>
      <c r="Z66" s="45" t="str">
        <f t="shared" si="19"/>
        <v>...</v>
      </c>
      <c r="AA66" s="12" t="str">
        <f t="shared" si="20"/>
        <v>...</v>
      </c>
      <c r="AB66" s="45" t="str">
        <f t="shared" si="21"/>
        <v>...</v>
      </c>
      <c r="AC66" s="45" t="str">
        <f t="shared" si="22"/>
        <v>...</v>
      </c>
      <c r="AD66" s="12" t="str">
        <f t="shared" si="23"/>
        <v>...</v>
      </c>
      <c r="AE66" s="46" t="str">
        <f t="shared" si="24"/>
        <v>...</v>
      </c>
      <c r="AF66" s="2"/>
      <c r="AG66" s="2"/>
      <c r="AH66" s="2"/>
      <c r="AI66" s="2"/>
      <c r="AJ66" s="2"/>
      <c r="AK66" s="2"/>
    </row>
    <row r="67" ht="24.0" customHeight="1">
      <c r="A67" s="4"/>
      <c r="B67" s="30"/>
      <c r="C67" s="5" t="str">
        <f>IFERROR(__xludf.DUMMYFUNCTION("if(B67=0,""..."", sparkline(query(GOOGLEFINANCE(""BCBA:""&amp;B67,""price"",today()-$AI$36,today()),""select Col2"",0),{""charttype"",$AI$35}))"),"...")</f>
        <v>...</v>
      </c>
      <c r="D67" s="17"/>
      <c r="E67" s="31"/>
      <c r="F67" s="7"/>
      <c r="G67" s="8" t="str">
        <f t="shared" si="1"/>
        <v>...</v>
      </c>
      <c r="H67" s="31"/>
      <c r="I67" s="52"/>
      <c r="J67" s="45" t="str">
        <f t="shared" si="2"/>
        <v>...</v>
      </c>
      <c r="K67" s="47" t="str">
        <f t="array" ref="K67">IF(B67=0,"...",J67/VLOOKUP(D67,{CCL!M:N;CCL!$P:$Q},2,FALSE))</f>
        <v>...</v>
      </c>
      <c r="L67" s="45" t="str">
        <f>IFERROR(__xludf.DUMMYFUNCTION("if(B67=0,""..."",if(E67=""CERRADA"",""Valor Venta"", GOOGLEFINANCE(""BCBA:""&amp;B67)))"),"...")</f>
        <v>...</v>
      </c>
      <c r="M67" s="45" t="str">
        <f>if(B67=0,"...",L67*(1-VLOOKUP(A67,Config!$B$3:$C$22,2,FALSE)))</f>
        <v>...</v>
      </c>
      <c r="N67" s="45" t="str">
        <f t="shared" si="3"/>
        <v>...</v>
      </c>
      <c r="O67" s="12" t="str">
        <f>IFERROR(__xludf.DUMMYFUNCTION("if(B67=0,""..."",GOOGLEFINANCE(B67,""changepct"")/100)"),"...")</f>
        <v>...</v>
      </c>
      <c r="P67" s="10" t="str">
        <f>IFERROR(__xludf.DUMMYFUNCTION("if(B67=0,""..."",GOOGLEFINANCE(B67,""change"")*H67)"),"...")</f>
        <v>...</v>
      </c>
      <c r="Q67" s="12" t="str">
        <f t="shared" si="4"/>
        <v>...</v>
      </c>
      <c r="R67" s="47" t="str">
        <f t="shared" si="5"/>
        <v>...</v>
      </c>
      <c r="S67" s="12" t="str">
        <f t="array" ref="S67">IF(B67=0,"...",(N67/IF(E67="ABIERTA",CCL!$E$2,VLOOKUP(F67,{CCL!M:N;CCL!$P:$Q},2,FALSE))/(J67/VLOOKUP(D67,{CCL!M:N;CCL!$P:$Q},2,FALSE))-1))</f>
        <v>...</v>
      </c>
      <c r="T67" s="47" t="str">
        <f>IF(B67=0,"...",N67/VLOOKUP(IF(E67="ABIERTA",TODAY(),F67),CCL!$A$12:$B$773,2,FALSE)-J67/VLOOKUP(D67,CCL!$A$12:$B235,2,FALSE))</f>
        <v>...</v>
      </c>
      <c r="U67" s="2"/>
      <c r="V67" s="10"/>
      <c r="W67" s="59" t="str">
        <f t="shared" si="16"/>
        <v>...</v>
      </c>
      <c r="X67" s="12" t="str">
        <f t="shared" si="17"/>
        <v/>
      </c>
      <c r="Y67" s="45" t="str">
        <f t="shared" si="18"/>
        <v>...</v>
      </c>
      <c r="Z67" s="45" t="str">
        <f t="shared" si="19"/>
        <v>...</v>
      </c>
      <c r="AA67" s="12" t="str">
        <f t="shared" si="20"/>
        <v>...</v>
      </c>
      <c r="AB67" s="45" t="str">
        <f t="shared" si="21"/>
        <v>...</v>
      </c>
      <c r="AC67" s="45" t="str">
        <f t="shared" si="22"/>
        <v>...</v>
      </c>
      <c r="AD67" s="12" t="str">
        <f t="shared" si="23"/>
        <v>...</v>
      </c>
      <c r="AE67" s="46" t="str">
        <f t="shared" si="24"/>
        <v>...</v>
      </c>
      <c r="AF67" s="2"/>
      <c r="AG67" s="2"/>
      <c r="AH67" s="2"/>
      <c r="AI67" s="2"/>
      <c r="AJ67" s="2"/>
      <c r="AK67" s="2"/>
    </row>
    <row r="68" ht="24.0" customHeight="1">
      <c r="A68" s="4"/>
      <c r="B68" s="30"/>
      <c r="C68" s="5" t="str">
        <f>IFERROR(__xludf.DUMMYFUNCTION("if(B68=0,""..."", sparkline(query(GOOGLEFINANCE(""BCBA:""&amp;B68,""price"",today()-$AI$36,today()),""select Col2"",0),{""charttype"",$AI$35}))"),"...")</f>
        <v>...</v>
      </c>
      <c r="D68" s="17"/>
      <c r="E68" s="31"/>
      <c r="F68" s="7"/>
      <c r="G68" s="8" t="str">
        <f t="shared" si="1"/>
        <v>...</v>
      </c>
      <c r="H68" s="31"/>
      <c r="I68" s="52"/>
      <c r="J68" s="45" t="str">
        <f t="shared" si="2"/>
        <v>...</v>
      </c>
      <c r="K68" s="47" t="str">
        <f t="array" ref="K68">IF(B68=0,"...",J68/VLOOKUP(D68,{CCL!M:N;CCL!$P:$Q},2,FALSE))</f>
        <v>...</v>
      </c>
      <c r="L68" s="45" t="str">
        <f>IFERROR(__xludf.DUMMYFUNCTION("if(B68=0,""..."",if(E68=""CERRADA"",""Valor Venta"", GOOGLEFINANCE(""BCBA:""&amp;B68)))"),"...")</f>
        <v>...</v>
      </c>
      <c r="M68" s="45" t="str">
        <f>if(B68=0,"...",L68*(1-VLOOKUP(A68,Config!$B$3:$C$22,2,FALSE)))</f>
        <v>...</v>
      </c>
      <c r="N68" s="45" t="str">
        <f t="shared" si="3"/>
        <v>...</v>
      </c>
      <c r="O68" s="12" t="str">
        <f>IFERROR(__xludf.DUMMYFUNCTION("if(B68=0,""..."",GOOGLEFINANCE(B68,""changepct"")/100)"),"...")</f>
        <v>...</v>
      </c>
      <c r="P68" s="10" t="str">
        <f>IFERROR(__xludf.DUMMYFUNCTION("if(B68=0,""..."",GOOGLEFINANCE(B68,""change"")*H68)"),"...")</f>
        <v>...</v>
      </c>
      <c r="Q68" s="12" t="str">
        <f t="shared" si="4"/>
        <v>...</v>
      </c>
      <c r="R68" s="47" t="str">
        <f t="shared" si="5"/>
        <v>...</v>
      </c>
      <c r="S68" s="12" t="str">
        <f t="array" ref="S68">IF(B68=0,"...",(N68/IF(E68="ABIERTA",CCL!$E$2,VLOOKUP(F68,{CCL!M:N;CCL!$P:$Q},2,FALSE))/(J68/VLOOKUP(D68,{CCL!M:N;CCL!$P:$Q},2,FALSE))-1))</f>
        <v>...</v>
      </c>
      <c r="T68" s="47" t="str">
        <f>IF(B68=0,"...",N68/VLOOKUP(IF(E68="ABIERTA",TODAY(),F68),CCL!$A$12:$B$773,2,FALSE)-J68/VLOOKUP(D68,CCL!$A$12:$B235,2,FALSE))</f>
        <v>...</v>
      </c>
      <c r="U68" s="2"/>
      <c r="V68" s="10"/>
      <c r="W68" s="59" t="str">
        <f t="shared" si="16"/>
        <v>...</v>
      </c>
      <c r="X68" s="12" t="str">
        <f t="shared" si="17"/>
        <v/>
      </c>
      <c r="Y68" s="45" t="str">
        <f t="shared" si="18"/>
        <v>...</v>
      </c>
      <c r="Z68" s="45" t="str">
        <f t="shared" si="19"/>
        <v>...</v>
      </c>
      <c r="AA68" s="12" t="str">
        <f t="shared" si="20"/>
        <v>...</v>
      </c>
      <c r="AB68" s="45" t="str">
        <f t="shared" si="21"/>
        <v>...</v>
      </c>
      <c r="AC68" s="45" t="str">
        <f t="shared" si="22"/>
        <v>...</v>
      </c>
      <c r="AD68" s="12" t="str">
        <f t="shared" si="23"/>
        <v>...</v>
      </c>
      <c r="AE68" s="46" t="str">
        <f t="shared" si="24"/>
        <v>...</v>
      </c>
      <c r="AF68" s="2"/>
      <c r="AG68" s="2"/>
      <c r="AH68" s="2"/>
      <c r="AI68" s="2"/>
      <c r="AJ68" s="2"/>
      <c r="AK68" s="2"/>
    </row>
    <row r="69" ht="24.0" customHeight="1">
      <c r="A69" s="4"/>
      <c r="B69" s="30"/>
      <c r="C69" s="5" t="str">
        <f>IFERROR(__xludf.DUMMYFUNCTION("if(B69=0,""..."", sparkline(query(GOOGLEFINANCE(""BCBA:""&amp;B69,""price"",today()-$AI$36,today()),""select Col2"",0),{""charttype"",$AI$35}))"),"...")</f>
        <v>...</v>
      </c>
      <c r="D69" s="17"/>
      <c r="E69" s="31"/>
      <c r="F69" s="7"/>
      <c r="G69" s="8" t="str">
        <f t="shared" si="1"/>
        <v>...</v>
      </c>
      <c r="H69" s="31"/>
      <c r="I69" s="52"/>
      <c r="J69" s="45" t="str">
        <f t="shared" si="2"/>
        <v>...</v>
      </c>
      <c r="K69" s="47" t="str">
        <f t="array" ref="K69">IF(B69=0,"...",J69/VLOOKUP(D69,{CCL!M:N;CCL!$P:$Q},2,FALSE))</f>
        <v>...</v>
      </c>
      <c r="L69" s="45" t="str">
        <f>IFERROR(__xludf.DUMMYFUNCTION("if(B69=0,""..."",if(E69=""CERRADA"",""Valor Venta"", GOOGLEFINANCE(""BCBA:""&amp;B69)))"),"...")</f>
        <v>...</v>
      </c>
      <c r="M69" s="45" t="str">
        <f>if(B69=0,"...",L69*(1-VLOOKUP(A69,Config!$B$3:$C$22,2,FALSE)))</f>
        <v>...</v>
      </c>
      <c r="N69" s="45" t="str">
        <f t="shared" si="3"/>
        <v>...</v>
      </c>
      <c r="O69" s="12" t="str">
        <f>IFERROR(__xludf.DUMMYFUNCTION("if(B69=0,""..."",GOOGLEFINANCE(B69,""changepct"")/100)"),"...")</f>
        <v>...</v>
      </c>
      <c r="P69" s="10" t="str">
        <f>IFERROR(__xludf.DUMMYFUNCTION("if(B69=0,""..."",GOOGLEFINANCE(B69,""change"")*H69)"),"...")</f>
        <v>...</v>
      </c>
      <c r="Q69" s="12" t="str">
        <f t="shared" si="4"/>
        <v>...</v>
      </c>
      <c r="R69" s="47" t="str">
        <f t="shared" si="5"/>
        <v>...</v>
      </c>
      <c r="S69" s="12" t="str">
        <f t="array" ref="S69">IF(B69=0,"...",(N69/IF(E69="ABIERTA",CCL!$E$2,VLOOKUP(F69,{CCL!M:N;CCL!$P:$Q},2,FALSE))/(J69/VLOOKUP(D69,{CCL!M:N;CCL!$P:$Q},2,FALSE))-1))</f>
        <v>...</v>
      </c>
      <c r="T69" s="47" t="str">
        <f>IF(B69=0,"...",N69/VLOOKUP(IF(E69="ABIERTA",TODAY(),F69),CCL!$A$12:$B$773,2,FALSE)-J69/VLOOKUP(D69,CCL!$A$12:$B235,2,FALSE))</f>
        <v>...</v>
      </c>
      <c r="U69" s="2"/>
      <c r="V69" s="10"/>
      <c r="W69" s="59" t="str">
        <f t="shared" si="16"/>
        <v>...</v>
      </c>
      <c r="X69" s="12" t="str">
        <f t="shared" si="17"/>
        <v/>
      </c>
      <c r="Y69" s="45" t="str">
        <f t="shared" si="18"/>
        <v>...</v>
      </c>
      <c r="Z69" s="45" t="str">
        <f t="shared" si="19"/>
        <v>...</v>
      </c>
      <c r="AA69" s="12" t="str">
        <f t="shared" si="20"/>
        <v>...</v>
      </c>
      <c r="AB69" s="45" t="str">
        <f t="shared" si="21"/>
        <v>...</v>
      </c>
      <c r="AC69" s="45" t="str">
        <f t="shared" si="22"/>
        <v>...</v>
      </c>
      <c r="AD69" s="12" t="str">
        <f t="shared" si="23"/>
        <v>...</v>
      </c>
      <c r="AE69" s="46" t="str">
        <f t="shared" si="24"/>
        <v>...</v>
      </c>
      <c r="AF69" s="2"/>
      <c r="AG69" s="2"/>
      <c r="AH69" s="2"/>
      <c r="AI69" s="2"/>
      <c r="AJ69" s="2"/>
      <c r="AK69" s="2"/>
    </row>
    <row r="70" ht="24.0" customHeight="1">
      <c r="A70" s="4"/>
      <c r="B70" s="30"/>
      <c r="C70" s="5" t="str">
        <f>IFERROR(__xludf.DUMMYFUNCTION("if(B70=0,""..."", sparkline(query(GOOGLEFINANCE(""BCBA:""&amp;B70,""price"",today()-$AI$36,today()),""select Col2"",0),{""charttype"",$AI$35}))"),"...")</f>
        <v>...</v>
      </c>
      <c r="D70" s="17"/>
      <c r="E70" s="31"/>
      <c r="F70" s="7"/>
      <c r="G70" s="8" t="str">
        <f t="shared" si="1"/>
        <v>...</v>
      </c>
      <c r="H70" s="31"/>
      <c r="I70" s="52"/>
      <c r="J70" s="45" t="str">
        <f t="shared" si="2"/>
        <v>...</v>
      </c>
      <c r="K70" s="47" t="str">
        <f t="array" ref="K70">IF(B70=0,"...",J70/VLOOKUP(D70,{CCL!M:N;CCL!$P:$Q},2,FALSE))</f>
        <v>...</v>
      </c>
      <c r="L70" s="45" t="str">
        <f>IFERROR(__xludf.DUMMYFUNCTION("if(B70=0,""..."",if(E70=""CERRADA"",""Valor Venta"", GOOGLEFINANCE(""BCBA:""&amp;B70)))"),"...")</f>
        <v>...</v>
      </c>
      <c r="M70" s="45" t="str">
        <f>if(B70=0,"...",L70*(1-VLOOKUP(A70,Config!$B$3:$C$22,2,FALSE)))</f>
        <v>...</v>
      </c>
      <c r="N70" s="45" t="str">
        <f t="shared" si="3"/>
        <v>...</v>
      </c>
      <c r="O70" s="12" t="str">
        <f>IFERROR(__xludf.DUMMYFUNCTION("if(B70=0,""..."",GOOGLEFINANCE(B70,""changepct"")/100)"),"...")</f>
        <v>...</v>
      </c>
      <c r="P70" s="10" t="str">
        <f>IFERROR(__xludf.DUMMYFUNCTION("if(B70=0,""..."",GOOGLEFINANCE(B70,""change"")*H70)"),"...")</f>
        <v>...</v>
      </c>
      <c r="Q70" s="12" t="str">
        <f t="shared" si="4"/>
        <v>...</v>
      </c>
      <c r="R70" s="47" t="str">
        <f t="shared" si="5"/>
        <v>...</v>
      </c>
      <c r="S70" s="12" t="str">
        <f t="array" ref="S70">IF(B70=0,"...",(N70/IF(E70="ABIERTA",CCL!$E$2,VLOOKUP(F70,{CCL!M:N;CCL!$P:$Q},2,FALSE))/(J70/VLOOKUP(D70,{CCL!M:N;CCL!$P:$Q},2,FALSE))-1))</f>
        <v>...</v>
      </c>
      <c r="T70" s="47" t="str">
        <f>IF(B70=0,"...",N70/VLOOKUP(IF(E70="ABIERTA",TODAY(),F70),CCL!$A$12:$B$773,2,FALSE)-J70/VLOOKUP(D70,CCL!$A$12:$B235,2,FALSE))</f>
        <v>...</v>
      </c>
      <c r="U70" s="2"/>
      <c r="V70" s="10"/>
      <c r="W70" s="59" t="str">
        <f t="shared" si="16"/>
        <v>...</v>
      </c>
      <c r="X70" s="12" t="str">
        <f t="shared" si="17"/>
        <v/>
      </c>
      <c r="Y70" s="45" t="str">
        <f t="shared" si="18"/>
        <v>...</v>
      </c>
      <c r="Z70" s="45" t="str">
        <f t="shared" si="19"/>
        <v>...</v>
      </c>
      <c r="AA70" s="12" t="str">
        <f t="shared" si="20"/>
        <v>...</v>
      </c>
      <c r="AB70" s="45" t="str">
        <f t="shared" si="21"/>
        <v>...</v>
      </c>
      <c r="AC70" s="45" t="str">
        <f t="shared" si="22"/>
        <v>...</v>
      </c>
      <c r="AD70" s="12" t="str">
        <f t="shared" si="23"/>
        <v>...</v>
      </c>
      <c r="AE70" s="46" t="str">
        <f t="shared" si="24"/>
        <v>...</v>
      </c>
      <c r="AF70" s="2"/>
      <c r="AG70" s="2"/>
      <c r="AH70" s="2"/>
      <c r="AI70" s="2"/>
      <c r="AJ70" s="2"/>
      <c r="AK70" s="2"/>
    </row>
    <row r="71" ht="24.0" customHeight="1">
      <c r="A71" s="4"/>
      <c r="B71" s="30"/>
      <c r="C71" s="5" t="str">
        <f>IFERROR(__xludf.DUMMYFUNCTION("if(B71=0,""..."", sparkline(query(GOOGLEFINANCE(""BCBA:""&amp;B71,""price"",today()-$AI$36,today()),""select Col2"",0),{""charttype"",$AI$35}))"),"...")</f>
        <v>...</v>
      </c>
      <c r="D71" s="17"/>
      <c r="E71" s="31"/>
      <c r="F71" s="7"/>
      <c r="G71" s="8" t="str">
        <f t="shared" si="1"/>
        <v>...</v>
      </c>
      <c r="H71" s="31"/>
      <c r="I71" s="52"/>
      <c r="J71" s="45" t="str">
        <f t="shared" si="2"/>
        <v>...</v>
      </c>
      <c r="K71" s="47" t="str">
        <f t="array" ref="K71">IF(B71=0,"...",J71/VLOOKUP(D71,{CCL!M:N;CCL!$P:$Q},2,FALSE))</f>
        <v>...</v>
      </c>
      <c r="L71" s="45" t="str">
        <f>IFERROR(__xludf.DUMMYFUNCTION("if(B71=0,""..."",if(E71=""CERRADA"",""Valor Venta"", GOOGLEFINANCE(""BCBA:""&amp;B71)))"),"...")</f>
        <v>...</v>
      </c>
      <c r="M71" s="45" t="str">
        <f>if(B71=0,"...",L71*(1-VLOOKUP(A71,Config!$B$3:$C$22,2,FALSE)))</f>
        <v>...</v>
      </c>
      <c r="N71" s="45" t="str">
        <f t="shared" si="3"/>
        <v>...</v>
      </c>
      <c r="O71" s="12" t="str">
        <f>IFERROR(__xludf.DUMMYFUNCTION("if(B71=0,""..."",GOOGLEFINANCE(B71,""changepct"")/100)"),"...")</f>
        <v>...</v>
      </c>
      <c r="P71" s="10" t="str">
        <f>IFERROR(__xludf.DUMMYFUNCTION("if(B71=0,""..."",GOOGLEFINANCE(B71,""change"")*H71)"),"...")</f>
        <v>...</v>
      </c>
      <c r="Q71" s="12" t="str">
        <f t="shared" si="4"/>
        <v>...</v>
      </c>
      <c r="R71" s="47" t="str">
        <f t="shared" si="5"/>
        <v>...</v>
      </c>
      <c r="S71" s="12" t="str">
        <f t="array" ref="S71">IF(B71=0,"...",(N71/IF(E71="ABIERTA",CCL!$E$2,VLOOKUP(F71,{CCL!M:N;CCL!$P:$Q},2,FALSE))/(J71/VLOOKUP(D71,{CCL!M:N;CCL!$P:$Q},2,FALSE))-1))</f>
        <v>...</v>
      </c>
      <c r="T71" s="47" t="str">
        <f>IF(B71=0,"...",N71/VLOOKUP(IF(E71="ABIERTA",TODAY(),F71),CCL!$A$12:$B$773,2,FALSE)-J71/VLOOKUP(D71,CCL!$A$12:$B235,2,FALSE))</f>
        <v>...</v>
      </c>
      <c r="U71" s="2"/>
      <c r="V71" s="10"/>
      <c r="W71" s="59" t="str">
        <f t="shared" si="16"/>
        <v>...</v>
      </c>
      <c r="X71" s="12" t="str">
        <f t="shared" si="17"/>
        <v/>
      </c>
      <c r="Y71" s="45" t="str">
        <f t="shared" si="18"/>
        <v>...</v>
      </c>
      <c r="Z71" s="45" t="str">
        <f t="shared" si="19"/>
        <v>...</v>
      </c>
      <c r="AA71" s="12" t="str">
        <f t="shared" si="20"/>
        <v>...</v>
      </c>
      <c r="AB71" s="45" t="str">
        <f t="shared" si="21"/>
        <v>...</v>
      </c>
      <c r="AC71" s="45" t="str">
        <f t="shared" si="22"/>
        <v>...</v>
      </c>
      <c r="AD71" s="12" t="str">
        <f t="shared" si="23"/>
        <v>...</v>
      </c>
      <c r="AE71" s="46" t="str">
        <f t="shared" si="24"/>
        <v>...</v>
      </c>
      <c r="AF71" s="2"/>
      <c r="AG71" s="2"/>
      <c r="AH71" s="2"/>
      <c r="AI71" s="2"/>
      <c r="AJ71" s="2"/>
      <c r="AK71" s="2"/>
    </row>
    <row r="72" ht="24.0" customHeight="1">
      <c r="A72" s="4"/>
      <c r="B72" s="30"/>
      <c r="C72" s="5" t="str">
        <f>IFERROR(__xludf.DUMMYFUNCTION("if(B72=0,""..."", sparkline(query(GOOGLEFINANCE(""BCBA:""&amp;B72,""price"",today()-$AI$36,today()),""select Col2"",0),{""charttype"",$AI$35}))"),"...")</f>
        <v>...</v>
      </c>
      <c r="D72" s="17"/>
      <c r="E72" s="31"/>
      <c r="F72" s="7"/>
      <c r="G72" s="8" t="str">
        <f t="shared" si="1"/>
        <v>...</v>
      </c>
      <c r="H72" s="31"/>
      <c r="I72" s="52"/>
      <c r="J72" s="45" t="str">
        <f t="shared" si="2"/>
        <v>...</v>
      </c>
      <c r="K72" s="47" t="str">
        <f t="array" ref="K72">IF(B72=0,"...",J72/VLOOKUP(D72,{CCL!M:N;CCL!$P:$Q},2,FALSE))</f>
        <v>...</v>
      </c>
      <c r="L72" s="45" t="str">
        <f>IFERROR(__xludf.DUMMYFUNCTION("if(B72=0,""..."",if(E72=""CERRADA"",""Valor Venta"", GOOGLEFINANCE(""BCBA:""&amp;B72)))"),"...")</f>
        <v>...</v>
      </c>
      <c r="M72" s="45" t="str">
        <f>if(B72=0,"...",L72*(1-VLOOKUP(A72,Config!$B$3:$C$22,2,FALSE)))</f>
        <v>...</v>
      </c>
      <c r="N72" s="45" t="str">
        <f t="shared" si="3"/>
        <v>...</v>
      </c>
      <c r="O72" s="12" t="str">
        <f>IFERROR(__xludf.DUMMYFUNCTION("if(B72=0,""..."",GOOGLEFINANCE(B72,""changepct"")/100)"),"...")</f>
        <v>...</v>
      </c>
      <c r="P72" s="10" t="str">
        <f>IFERROR(__xludf.DUMMYFUNCTION("if(B72=0,""..."",GOOGLEFINANCE(B72,""change"")*H72)"),"...")</f>
        <v>...</v>
      </c>
      <c r="Q72" s="12" t="str">
        <f t="shared" si="4"/>
        <v>...</v>
      </c>
      <c r="R72" s="47" t="str">
        <f t="shared" si="5"/>
        <v>...</v>
      </c>
      <c r="S72" s="12" t="str">
        <f t="array" ref="S72">IF(B72=0,"...",(N72/IF(E72="ABIERTA",CCL!$E$2,VLOOKUP(F72,{CCL!M:N;CCL!$P:$Q},2,FALSE))/(J72/VLOOKUP(D72,{CCL!M:N;CCL!$P:$Q},2,FALSE))-1))</f>
        <v>...</v>
      </c>
      <c r="T72" s="47" t="str">
        <f>IF(B72=0,"...",N72/VLOOKUP(IF(E72="ABIERTA",TODAY(),F72),CCL!$A$12:$B$773,2,FALSE)-J72/VLOOKUP(D72,CCL!$A$12:$B235,2,FALSE))</f>
        <v>...</v>
      </c>
      <c r="U72" s="2"/>
      <c r="V72" s="10"/>
      <c r="W72" s="59" t="str">
        <f t="shared" si="16"/>
        <v>...</v>
      </c>
      <c r="X72" s="12" t="str">
        <f t="shared" si="17"/>
        <v/>
      </c>
      <c r="Y72" s="45" t="str">
        <f t="shared" si="18"/>
        <v>...</v>
      </c>
      <c r="Z72" s="45" t="str">
        <f t="shared" si="19"/>
        <v>...</v>
      </c>
      <c r="AA72" s="12" t="str">
        <f t="shared" si="20"/>
        <v>...</v>
      </c>
      <c r="AB72" s="45" t="str">
        <f t="shared" si="21"/>
        <v>...</v>
      </c>
      <c r="AC72" s="45" t="str">
        <f t="shared" si="22"/>
        <v>...</v>
      </c>
      <c r="AD72" s="12" t="str">
        <f t="shared" si="23"/>
        <v>...</v>
      </c>
      <c r="AE72" s="46" t="str">
        <f t="shared" si="24"/>
        <v>...</v>
      </c>
      <c r="AF72" s="2"/>
      <c r="AG72" s="2"/>
      <c r="AH72" s="2"/>
      <c r="AI72" s="2"/>
      <c r="AJ72" s="2"/>
      <c r="AK72" s="2"/>
    </row>
    <row r="73" ht="24.0" customHeight="1">
      <c r="A73" s="4"/>
      <c r="B73" s="30"/>
      <c r="C73" s="5" t="str">
        <f>IFERROR(__xludf.DUMMYFUNCTION("if(B73=0,""..."", sparkline(query(GOOGLEFINANCE(""BCBA:""&amp;B73,""price"",today()-$AI$36,today()),""select Col2"",0),{""charttype"",$AI$35}))"),"...")</f>
        <v>...</v>
      </c>
      <c r="D73" s="17"/>
      <c r="E73" s="31"/>
      <c r="F73" s="7"/>
      <c r="G73" s="8" t="str">
        <f t="shared" si="1"/>
        <v>...</v>
      </c>
      <c r="H73" s="31"/>
      <c r="I73" s="52"/>
      <c r="J73" s="45" t="str">
        <f t="shared" si="2"/>
        <v>...</v>
      </c>
      <c r="K73" s="47" t="str">
        <f t="array" ref="K73">IF(B73=0,"...",J73/VLOOKUP(D73,{CCL!M:N;CCL!$P:$Q},2,FALSE))</f>
        <v>...</v>
      </c>
      <c r="L73" s="45" t="str">
        <f>IFERROR(__xludf.DUMMYFUNCTION("if(B73=0,""..."",if(E73=""CERRADA"",""Valor Venta"", GOOGLEFINANCE(""BCBA:""&amp;B73)))"),"...")</f>
        <v>...</v>
      </c>
      <c r="M73" s="45" t="str">
        <f>if(B73=0,"...",L73*(1-VLOOKUP(A73,Config!$B$3:$C$22,2,FALSE)))</f>
        <v>...</v>
      </c>
      <c r="N73" s="45" t="str">
        <f t="shared" si="3"/>
        <v>...</v>
      </c>
      <c r="O73" s="12" t="str">
        <f>IFERROR(__xludf.DUMMYFUNCTION("if(B73=0,""..."",GOOGLEFINANCE(B73,""changepct"")/100)"),"...")</f>
        <v>...</v>
      </c>
      <c r="P73" s="10" t="str">
        <f>IFERROR(__xludf.DUMMYFUNCTION("if(B73=0,""..."",GOOGLEFINANCE(B73,""change"")*H73)"),"...")</f>
        <v>...</v>
      </c>
      <c r="Q73" s="12" t="str">
        <f t="shared" si="4"/>
        <v>...</v>
      </c>
      <c r="R73" s="47" t="str">
        <f t="shared" si="5"/>
        <v>...</v>
      </c>
      <c r="S73" s="12" t="str">
        <f t="array" ref="S73">IF(B73=0,"...",(N73/IF(E73="ABIERTA",CCL!$E$2,VLOOKUP(F73,{CCL!M:N;CCL!$P:$Q},2,FALSE))/(J73/VLOOKUP(D73,{CCL!M:N;CCL!$P:$Q},2,FALSE))-1))</f>
        <v>...</v>
      </c>
      <c r="T73" s="47" t="str">
        <f>IF(B73=0,"...",N73/VLOOKUP(IF(E73="ABIERTA",TODAY(),F73),CCL!$A$12:$B$773,2,FALSE)-J73/VLOOKUP(D73,CCL!$A$12:$B235,2,FALSE))</f>
        <v>...</v>
      </c>
      <c r="U73" s="2"/>
      <c r="V73" s="10"/>
      <c r="W73" s="59" t="str">
        <f t="shared" si="16"/>
        <v>...</v>
      </c>
      <c r="X73" s="12" t="str">
        <f t="shared" si="17"/>
        <v/>
      </c>
      <c r="Y73" s="45" t="str">
        <f t="shared" si="18"/>
        <v>...</v>
      </c>
      <c r="Z73" s="45" t="str">
        <f t="shared" si="19"/>
        <v>...</v>
      </c>
      <c r="AA73" s="12" t="str">
        <f t="shared" si="20"/>
        <v>...</v>
      </c>
      <c r="AB73" s="45" t="str">
        <f t="shared" si="21"/>
        <v>...</v>
      </c>
      <c r="AC73" s="45" t="str">
        <f t="shared" si="22"/>
        <v>...</v>
      </c>
      <c r="AD73" s="12" t="str">
        <f t="shared" si="23"/>
        <v>...</v>
      </c>
      <c r="AE73" s="46" t="str">
        <f t="shared" si="24"/>
        <v>...</v>
      </c>
      <c r="AF73" s="2"/>
      <c r="AG73" s="2"/>
      <c r="AH73" s="2"/>
      <c r="AI73" s="2"/>
      <c r="AJ73" s="2"/>
      <c r="AK73" s="2"/>
    </row>
    <row r="74" ht="24.0" customHeight="1">
      <c r="A74" s="4"/>
      <c r="B74" s="30"/>
      <c r="C74" s="5" t="str">
        <f>IFERROR(__xludf.DUMMYFUNCTION("if(B74=0,""..."", sparkline(query(GOOGLEFINANCE(""BCBA:""&amp;B74,""price"",today()-$AI$36,today()),""select Col2"",0),{""charttype"",$AI$35}))"),"...")</f>
        <v>...</v>
      </c>
      <c r="D74" s="17"/>
      <c r="E74" s="31"/>
      <c r="F74" s="7"/>
      <c r="G74" s="8" t="str">
        <f t="shared" si="1"/>
        <v>...</v>
      </c>
      <c r="H74" s="31"/>
      <c r="I74" s="52"/>
      <c r="J74" s="45" t="str">
        <f t="shared" si="2"/>
        <v>...</v>
      </c>
      <c r="K74" s="47" t="str">
        <f t="array" ref="K74">IF(B74=0,"...",J74/VLOOKUP(D74,{CCL!M:N;CCL!$P:$Q},2,FALSE))</f>
        <v>...</v>
      </c>
      <c r="L74" s="45" t="str">
        <f>IFERROR(__xludf.DUMMYFUNCTION("if(B74=0,""..."",if(E74=""CERRADA"",""Valor Venta"", GOOGLEFINANCE(""BCBA:""&amp;B74)))"),"...")</f>
        <v>...</v>
      </c>
      <c r="M74" s="45" t="str">
        <f>if(B74=0,"...",L74*(1-VLOOKUP(A74,Config!$B$3:$C$22,2,FALSE)))</f>
        <v>...</v>
      </c>
      <c r="N74" s="45" t="str">
        <f t="shared" si="3"/>
        <v>...</v>
      </c>
      <c r="O74" s="12" t="str">
        <f>IFERROR(__xludf.DUMMYFUNCTION("if(B74=0,""..."",GOOGLEFINANCE(B74,""changepct"")/100)"),"...")</f>
        <v>...</v>
      </c>
      <c r="P74" s="10" t="str">
        <f>IFERROR(__xludf.DUMMYFUNCTION("if(B74=0,""..."",GOOGLEFINANCE(B74,""change"")*H74)"),"...")</f>
        <v>...</v>
      </c>
      <c r="Q74" s="12" t="str">
        <f t="shared" si="4"/>
        <v>...</v>
      </c>
      <c r="R74" s="47" t="str">
        <f t="shared" si="5"/>
        <v>...</v>
      </c>
      <c r="S74" s="12" t="str">
        <f t="array" ref="S74">IF(B74=0,"...",(N74/IF(E74="ABIERTA",CCL!$E$2,VLOOKUP(F74,{CCL!M:N;CCL!$P:$Q},2,FALSE))/(J74/VLOOKUP(D74,{CCL!M:N;CCL!$P:$Q},2,FALSE))-1))</f>
        <v>...</v>
      </c>
      <c r="T74" s="47" t="str">
        <f>IF(B74=0,"...",N74/VLOOKUP(IF(E74="ABIERTA",TODAY(),F74),CCL!$A$12:$B$773,2,FALSE)-J74/VLOOKUP(D74,CCL!$A$12:$B235,2,FALSE))</f>
        <v>...</v>
      </c>
      <c r="U74" s="2"/>
      <c r="V74" s="10"/>
      <c r="W74" s="59" t="str">
        <f t="shared" si="16"/>
        <v>...</v>
      </c>
      <c r="X74" s="12" t="str">
        <f t="shared" si="17"/>
        <v/>
      </c>
      <c r="Y74" s="45" t="str">
        <f t="shared" si="18"/>
        <v>...</v>
      </c>
      <c r="Z74" s="45" t="str">
        <f t="shared" si="19"/>
        <v>...</v>
      </c>
      <c r="AA74" s="12" t="str">
        <f t="shared" si="20"/>
        <v>...</v>
      </c>
      <c r="AB74" s="45" t="str">
        <f t="shared" si="21"/>
        <v>...</v>
      </c>
      <c r="AC74" s="45" t="str">
        <f t="shared" si="22"/>
        <v>...</v>
      </c>
      <c r="AD74" s="12" t="str">
        <f t="shared" si="23"/>
        <v>...</v>
      </c>
      <c r="AE74" s="46" t="str">
        <f t="shared" si="24"/>
        <v>...</v>
      </c>
      <c r="AF74" s="2"/>
      <c r="AG74" s="2"/>
      <c r="AH74" s="2"/>
      <c r="AI74" s="2"/>
      <c r="AJ74" s="2"/>
      <c r="AK74" s="2"/>
    </row>
    <row r="75" ht="24.0" customHeight="1">
      <c r="A75" s="4"/>
      <c r="B75" s="30"/>
      <c r="C75" s="5" t="str">
        <f>IFERROR(__xludf.DUMMYFUNCTION("if(B75=0,""..."", sparkline(query(GOOGLEFINANCE(""BCBA:""&amp;B75,""price"",today()-$AI$36,today()),""select Col2"",0),{""charttype"",$AI$35}))"),"...")</f>
        <v>...</v>
      </c>
      <c r="D75" s="17"/>
      <c r="E75" s="31"/>
      <c r="F75" s="7"/>
      <c r="G75" s="8" t="str">
        <f t="shared" si="1"/>
        <v>...</v>
      </c>
      <c r="H75" s="31"/>
      <c r="I75" s="52"/>
      <c r="J75" s="45" t="str">
        <f t="shared" si="2"/>
        <v>...</v>
      </c>
      <c r="K75" s="47" t="str">
        <f t="array" ref="K75">IF(B75=0,"...",J75/VLOOKUP(D75,{CCL!M:N;CCL!$P:$Q},2,FALSE))</f>
        <v>...</v>
      </c>
      <c r="L75" s="45" t="str">
        <f>IFERROR(__xludf.DUMMYFUNCTION("if(B75=0,""..."",if(E75=""CERRADA"",""Valor Venta"", GOOGLEFINANCE(""BCBA:""&amp;B75)))"),"...")</f>
        <v>...</v>
      </c>
      <c r="M75" s="45" t="str">
        <f>if(B75=0,"...",L75*(1-VLOOKUP(A75,Config!$B$3:$C$22,2,FALSE)))</f>
        <v>...</v>
      </c>
      <c r="N75" s="45" t="str">
        <f t="shared" si="3"/>
        <v>...</v>
      </c>
      <c r="O75" s="12" t="str">
        <f>IFERROR(__xludf.DUMMYFUNCTION("if(B75=0,""..."",GOOGLEFINANCE(B75,""changepct"")/100)"),"...")</f>
        <v>...</v>
      </c>
      <c r="P75" s="10" t="str">
        <f>IFERROR(__xludf.DUMMYFUNCTION("if(B75=0,""..."",GOOGLEFINANCE(B75,""change"")*H75)"),"...")</f>
        <v>...</v>
      </c>
      <c r="Q75" s="12" t="str">
        <f t="shared" si="4"/>
        <v>...</v>
      </c>
      <c r="R75" s="47" t="str">
        <f t="shared" si="5"/>
        <v>...</v>
      </c>
      <c r="S75" s="12" t="str">
        <f t="array" ref="S75">IF(B75=0,"...",(N75/IF(E75="ABIERTA",CCL!$E$2,VLOOKUP(F75,{CCL!M:N;CCL!$P:$Q},2,FALSE))/(J75/VLOOKUP(D75,{CCL!M:N;CCL!$P:$Q},2,FALSE))-1))</f>
        <v>...</v>
      </c>
      <c r="T75" s="47" t="str">
        <f>IF(B75=0,"...",N75/VLOOKUP(IF(E75="ABIERTA",TODAY(),F75),CCL!$A$12:$B$773,2,FALSE)-J75/VLOOKUP(D75,CCL!$A$12:$B235,2,FALSE))</f>
        <v>...</v>
      </c>
      <c r="U75" s="2"/>
      <c r="V75" s="10"/>
      <c r="W75" s="59" t="str">
        <f t="shared" si="16"/>
        <v>...</v>
      </c>
      <c r="X75" s="12" t="str">
        <f t="shared" si="17"/>
        <v/>
      </c>
      <c r="Y75" s="45" t="str">
        <f t="shared" si="18"/>
        <v>...</v>
      </c>
      <c r="Z75" s="45" t="str">
        <f t="shared" si="19"/>
        <v>...</v>
      </c>
      <c r="AA75" s="12" t="str">
        <f t="shared" si="20"/>
        <v>...</v>
      </c>
      <c r="AB75" s="45" t="str">
        <f t="shared" si="21"/>
        <v>...</v>
      </c>
      <c r="AC75" s="45" t="str">
        <f t="shared" si="22"/>
        <v>...</v>
      </c>
      <c r="AD75" s="12" t="str">
        <f t="shared" si="23"/>
        <v>...</v>
      </c>
      <c r="AE75" s="46" t="str">
        <f t="shared" si="24"/>
        <v>...</v>
      </c>
      <c r="AF75" s="2"/>
      <c r="AG75" s="2"/>
      <c r="AH75" s="2"/>
      <c r="AI75" s="2"/>
      <c r="AJ75" s="2"/>
      <c r="AK75" s="2"/>
    </row>
    <row r="76" ht="24.0" customHeight="1">
      <c r="A76" s="4"/>
      <c r="B76" s="30"/>
      <c r="C76" s="5" t="str">
        <f>IFERROR(__xludf.DUMMYFUNCTION("if(B76=0,""..."", sparkline(query(GOOGLEFINANCE(""BCBA:""&amp;B76,""price"",today()-$AI$36,today()),""select Col2"",0),{""charttype"",$AI$35}))"),"...")</f>
        <v>...</v>
      </c>
      <c r="D76" s="17"/>
      <c r="E76" s="31"/>
      <c r="F76" s="7"/>
      <c r="G76" s="8" t="str">
        <f t="shared" si="1"/>
        <v>...</v>
      </c>
      <c r="H76" s="31"/>
      <c r="I76" s="52"/>
      <c r="J76" s="45" t="str">
        <f t="shared" si="2"/>
        <v>...</v>
      </c>
      <c r="K76" s="47" t="str">
        <f t="array" ref="K76">IF(B76=0,"...",J76/VLOOKUP(D76,{CCL!M:N;CCL!$P:$Q},2,FALSE))</f>
        <v>...</v>
      </c>
      <c r="L76" s="45" t="str">
        <f>IFERROR(__xludf.DUMMYFUNCTION("if(B76=0,""..."",if(E76=""CERRADA"",""Valor Venta"", GOOGLEFINANCE(""BCBA:""&amp;B76)))"),"...")</f>
        <v>...</v>
      </c>
      <c r="M76" s="45" t="str">
        <f>if(B76=0,"...",L76*(1-VLOOKUP(A76,Config!$B$3:$C$22,2,FALSE)))</f>
        <v>...</v>
      </c>
      <c r="N76" s="45" t="str">
        <f t="shared" si="3"/>
        <v>...</v>
      </c>
      <c r="O76" s="12" t="str">
        <f>IFERROR(__xludf.DUMMYFUNCTION("if(B76=0,""..."",GOOGLEFINANCE(B76,""changepct"")/100)"),"...")</f>
        <v>...</v>
      </c>
      <c r="P76" s="10" t="str">
        <f>IFERROR(__xludf.DUMMYFUNCTION("if(B76=0,""..."",GOOGLEFINANCE(B76,""change"")*H76)"),"...")</f>
        <v>...</v>
      </c>
      <c r="Q76" s="12" t="str">
        <f t="shared" si="4"/>
        <v>...</v>
      </c>
      <c r="R76" s="47" t="str">
        <f t="shared" si="5"/>
        <v>...</v>
      </c>
      <c r="S76" s="12" t="str">
        <f t="array" ref="S76">IF(B76=0,"...",(N76/IF(E76="ABIERTA",CCL!$E$2,VLOOKUP(F76,{CCL!M:N;CCL!$P:$Q},2,FALSE))/(J76/VLOOKUP(D76,{CCL!M:N;CCL!$P:$Q},2,FALSE))-1))</f>
        <v>...</v>
      </c>
      <c r="T76" s="47" t="str">
        <f>IF(B76=0,"...",N76/VLOOKUP(IF(E76="ABIERTA",TODAY(),F76),CCL!$A$12:$B$773,2,FALSE)-J76/VLOOKUP(D76,CCL!$A$12:$B235,2,FALSE))</f>
        <v>...</v>
      </c>
      <c r="U76" s="2"/>
      <c r="V76" s="10"/>
      <c r="W76" s="59" t="str">
        <f t="shared" si="16"/>
        <v>...</v>
      </c>
      <c r="X76" s="12" t="str">
        <f t="shared" si="17"/>
        <v/>
      </c>
      <c r="Y76" s="45" t="str">
        <f t="shared" si="18"/>
        <v>...</v>
      </c>
      <c r="Z76" s="45" t="str">
        <f t="shared" si="19"/>
        <v>...</v>
      </c>
      <c r="AA76" s="12" t="str">
        <f t="shared" si="20"/>
        <v>...</v>
      </c>
      <c r="AB76" s="45" t="str">
        <f t="shared" si="21"/>
        <v>...</v>
      </c>
      <c r="AC76" s="45" t="str">
        <f t="shared" si="22"/>
        <v>...</v>
      </c>
      <c r="AD76" s="12" t="str">
        <f t="shared" si="23"/>
        <v>...</v>
      </c>
      <c r="AE76" s="46" t="str">
        <f t="shared" si="24"/>
        <v>...</v>
      </c>
      <c r="AF76" s="2"/>
      <c r="AG76" s="2"/>
      <c r="AH76" s="2"/>
      <c r="AI76" s="2"/>
      <c r="AJ76" s="2"/>
      <c r="AK76" s="2"/>
    </row>
    <row r="77" ht="24.0" customHeight="1">
      <c r="A77" s="4"/>
      <c r="B77" s="30"/>
      <c r="C77" s="5" t="str">
        <f>IFERROR(__xludf.DUMMYFUNCTION("if(B77=0,""..."", sparkline(query(GOOGLEFINANCE(""BCBA:""&amp;B77,""price"",today()-$AI$36,today()),""select Col2"",0),{""charttype"",$AI$35}))"),"...")</f>
        <v>...</v>
      </c>
      <c r="D77" s="17"/>
      <c r="E77" s="31"/>
      <c r="F77" s="7"/>
      <c r="G77" s="8" t="str">
        <f t="shared" si="1"/>
        <v>...</v>
      </c>
      <c r="H77" s="31"/>
      <c r="I77" s="52"/>
      <c r="J77" s="45" t="str">
        <f t="shared" si="2"/>
        <v>...</v>
      </c>
      <c r="K77" s="47" t="str">
        <f t="array" ref="K77">IF(B77=0,"...",J77/VLOOKUP(D77,{CCL!M:N;CCL!$P:$Q},2,FALSE))</f>
        <v>...</v>
      </c>
      <c r="L77" s="45" t="str">
        <f>IFERROR(__xludf.DUMMYFUNCTION("if(B77=0,""..."",if(E77=""CERRADA"",""Valor Venta"", GOOGLEFINANCE(""BCBA:""&amp;B77)))"),"...")</f>
        <v>...</v>
      </c>
      <c r="M77" s="45" t="str">
        <f>if(B77=0,"...",L77*(1-VLOOKUP(A77,Config!$B$3:$C$22,2,FALSE)))</f>
        <v>...</v>
      </c>
      <c r="N77" s="45" t="str">
        <f t="shared" si="3"/>
        <v>...</v>
      </c>
      <c r="O77" s="12" t="str">
        <f>IFERROR(__xludf.DUMMYFUNCTION("if(B77=0,""..."",GOOGLEFINANCE(B77,""changepct"")/100)"),"...")</f>
        <v>...</v>
      </c>
      <c r="P77" s="10" t="str">
        <f>IFERROR(__xludf.DUMMYFUNCTION("if(B77=0,""..."",GOOGLEFINANCE(B77,""change"")*H77)"),"...")</f>
        <v>...</v>
      </c>
      <c r="Q77" s="12" t="str">
        <f t="shared" si="4"/>
        <v>...</v>
      </c>
      <c r="R77" s="47" t="str">
        <f t="shared" si="5"/>
        <v>...</v>
      </c>
      <c r="S77" s="12" t="str">
        <f t="array" ref="S77">IF(B77=0,"...",(N77/IF(E77="ABIERTA",CCL!$E$2,VLOOKUP(F77,{CCL!M:N;CCL!$P:$Q},2,FALSE))/(J77/VLOOKUP(D77,{CCL!M:N;CCL!$P:$Q},2,FALSE))-1))</f>
        <v>...</v>
      </c>
      <c r="T77" s="47" t="str">
        <f>IF(B77=0,"...",N77/VLOOKUP(IF(E77="ABIERTA",TODAY(),F77),CCL!$A$12:$B$773,2,FALSE)-J77/VLOOKUP(D77,CCL!$A$12:$B235,2,FALSE))</f>
        <v>...</v>
      </c>
      <c r="U77" s="2"/>
      <c r="V77" s="10"/>
      <c r="W77" s="59" t="str">
        <f t="shared" si="16"/>
        <v>...</v>
      </c>
      <c r="X77" s="12" t="str">
        <f t="shared" si="17"/>
        <v/>
      </c>
      <c r="Y77" s="45" t="str">
        <f t="shared" si="18"/>
        <v>...</v>
      </c>
      <c r="Z77" s="45" t="str">
        <f t="shared" si="19"/>
        <v>...</v>
      </c>
      <c r="AA77" s="12" t="str">
        <f t="shared" si="20"/>
        <v>...</v>
      </c>
      <c r="AB77" s="45" t="str">
        <f t="shared" si="21"/>
        <v>...</v>
      </c>
      <c r="AC77" s="45" t="str">
        <f t="shared" si="22"/>
        <v>...</v>
      </c>
      <c r="AD77" s="12" t="str">
        <f t="shared" si="23"/>
        <v>...</v>
      </c>
      <c r="AE77" s="46" t="str">
        <f t="shared" si="24"/>
        <v>...</v>
      </c>
      <c r="AF77" s="2"/>
      <c r="AG77" s="2"/>
      <c r="AH77" s="2"/>
      <c r="AI77" s="2"/>
      <c r="AJ77" s="2"/>
      <c r="AK77" s="2"/>
    </row>
    <row r="78" ht="24.0" customHeight="1">
      <c r="A78" s="4"/>
      <c r="B78" s="30"/>
      <c r="C78" s="5" t="str">
        <f>IFERROR(__xludf.DUMMYFUNCTION("if(B78=0,""..."", sparkline(query(GOOGLEFINANCE(""BCBA:""&amp;B78,""price"",today()-$AI$36,today()),""select Col2"",0),{""charttype"",$AI$35}))"),"...")</f>
        <v>...</v>
      </c>
      <c r="D78" s="17"/>
      <c r="E78" s="31"/>
      <c r="F78" s="7"/>
      <c r="G78" s="8" t="str">
        <f t="shared" si="1"/>
        <v>...</v>
      </c>
      <c r="H78" s="31"/>
      <c r="I78" s="52"/>
      <c r="J78" s="45" t="str">
        <f t="shared" si="2"/>
        <v>...</v>
      </c>
      <c r="K78" s="47" t="str">
        <f t="array" ref="K78">IF(B78=0,"...",J78/VLOOKUP(D78,{CCL!M:N;CCL!$P:$Q},2,FALSE))</f>
        <v>...</v>
      </c>
      <c r="L78" s="45" t="str">
        <f>IFERROR(__xludf.DUMMYFUNCTION("if(B78=0,""..."",if(E78=""CERRADA"",""Valor Venta"", GOOGLEFINANCE(""BCBA:""&amp;B78)))"),"...")</f>
        <v>...</v>
      </c>
      <c r="M78" s="45" t="str">
        <f>if(B78=0,"...",L78*(1-VLOOKUP(A78,Config!$B$3:$C$22,2,FALSE)))</f>
        <v>...</v>
      </c>
      <c r="N78" s="45" t="str">
        <f t="shared" si="3"/>
        <v>...</v>
      </c>
      <c r="O78" s="12" t="str">
        <f>IFERROR(__xludf.DUMMYFUNCTION("if(B78=0,""..."",GOOGLEFINANCE(B78,""changepct"")/100)"),"...")</f>
        <v>...</v>
      </c>
      <c r="P78" s="10" t="str">
        <f>IFERROR(__xludf.DUMMYFUNCTION("if(B78=0,""..."",GOOGLEFINANCE(B78,""change"")*H78)"),"...")</f>
        <v>...</v>
      </c>
      <c r="Q78" s="12" t="str">
        <f t="shared" si="4"/>
        <v>...</v>
      </c>
      <c r="R78" s="47" t="str">
        <f t="shared" si="5"/>
        <v>...</v>
      </c>
      <c r="S78" s="12" t="str">
        <f t="array" ref="S78">IF(B78=0,"...",(N78/IF(E78="ABIERTA",CCL!$E$2,VLOOKUP(F78,{CCL!M:N;CCL!$P:$Q},2,FALSE))/(J78/VLOOKUP(D78,{CCL!M:N;CCL!$P:$Q},2,FALSE))-1))</f>
        <v>...</v>
      </c>
      <c r="T78" s="47" t="str">
        <f>IF(B78=0,"...",N78/VLOOKUP(IF(E78="ABIERTA",TODAY(),F78),CCL!$A$12:$B$773,2,FALSE)-J78/VLOOKUP(D78,CCL!$A$12:$B235,2,FALSE))</f>
        <v>...</v>
      </c>
      <c r="U78" s="2"/>
      <c r="V78" s="10"/>
      <c r="W78" s="59" t="str">
        <f t="shared" si="16"/>
        <v>...</v>
      </c>
      <c r="X78" s="12" t="str">
        <f t="shared" si="17"/>
        <v/>
      </c>
      <c r="Y78" s="45" t="str">
        <f t="shared" si="18"/>
        <v>...</v>
      </c>
      <c r="Z78" s="45" t="str">
        <f t="shared" si="19"/>
        <v>...</v>
      </c>
      <c r="AA78" s="12" t="str">
        <f t="shared" si="20"/>
        <v>...</v>
      </c>
      <c r="AB78" s="45" t="str">
        <f t="shared" si="21"/>
        <v>...</v>
      </c>
      <c r="AC78" s="45" t="str">
        <f t="shared" si="22"/>
        <v>...</v>
      </c>
      <c r="AD78" s="12" t="str">
        <f t="shared" si="23"/>
        <v>...</v>
      </c>
      <c r="AE78" s="46" t="str">
        <f t="shared" si="24"/>
        <v>...</v>
      </c>
      <c r="AF78" s="2"/>
      <c r="AG78" s="2"/>
      <c r="AH78" s="2"/>
      <c r="AI78" s="2"/>
      <c r="AJ78" s="2"/>
      <c r="AK78" s="2"/>
    </row>
    <row r="79" ht="24.0" customHeight="1">
      <c r="A79" s="4"/>
      <c r="B79" s="30"/>
      <c r="C79" s="5" t="str">
        <f>IFERROR(__xludf.DUMMYFUNCTION("if(B79=0,""..."", sparkline(query(GOOGLEFINANCE(""BCBA:""&amp;B79,""price"",today()-$AI$36,today()),""select Col2"",0),{""charttype"",$AI$35}))"),"...")</f>
        <v>...</v>
      </c>
      <c r="D79" s="17"/>
      <c r="E79" s="31"/>
      <c r="F79" s="7"/>
      <c r="G79" s="8" t="str">
        <f t="shared" si="1"/>
        <v>...</v>
      </c>
      <c r="H79" s="31"/>
      <c r="I79" s="52"/>
      <c r="J79" s="45" t="str">
        <f t="shared" si="2"/>
        <v>...</v>
      </c>
      <c r="K79" s="47" t="str">
        <f t="array" ref="K79">IF(B79=0,"...",J79/VLOOKUP(D79,{CCL!M:N;CCL!$P:$Q},2,FALSE))</f>
        <v>...</v>
      </c>
      <c r="L79" s="45" t="str">
        <f>IFERROR(__xludf.DUMMYFUNCTION("if(B79=0,""..."",if(E79=""CERRADA"",""Valor Venta"", GOOGLEFINANCE(""BCBA:""&amp;B79)))"),"...")</f>
        <v>...</v>
      </c>
      <c r="M79" s="45" t="str">
        <f>if(B79=0,"...",L79*(1-VLOOKUP(A79,Config!$B$3:$C$22,2,FALSE)))</f>
        <v>...</v>
      </c>
      <c r="N79" s="45" t="str">
        <f t="shared" si="3"/>
        <v>...</v>
      </c>
      <c r="O79" s="12" t="str">
        <f>IFERROR(__xludf.DUMMYFUNCTION("if(B79=0,""..."",GOOGLEFINANCE(B79,""changepct"")/100)"),"...")</f>
        <v>...</v>
      </c>
      <c r="P79" s="10" t="str">
        <f>IFERROR(__xludf.DUMMYFUNCTION("if(B79=0,""..."",GOOGLEFINANCE(B79,""change"")*H79)"),"...")</f>
        <v>...</v>
      </c>
      <c r="Q79" s="12" t="str">
        <f t="shared" si="4"/>
        <v>...</v>
      </c>
      <c r="R79" s="47" t="str">
        <f t="shared" si="5"/>
        <v>...</v>
      </c>
      <c r="S79" s="12" t="str">
        <f t="array" ref="S79">IF(B79=0,"...",(N79/IF(E79="ABIERTA",CCL!$E$2,VLOOKUP(F79,{CCL!M:N;CCL!$P:$Q},2,FALSE))/(J79/VLOOKUP(D79,{CCL!M:N;CCL!$P:$Q},2,FALSE))-1))</f>
        <v>...</v>
      </c>
      <c r="T79" s="47" t="str">
        <f>IF(B79=0,"...",N79/VLOOKUP(IF(E79="ABIERTA",TODAY(),F79),CCL!$A$12:$B$773,2,FALSE)-J79/VLOOKUP(D79,CCL!$A$12:$B235,2,FALSE))</f>
        <v>...</v>
      </c>
      <c r="U79" s="2"/>
      <c r="V79" s="10"/>
      <c r="W79" s="59" t="str">
        <f t="shared" si="16"/>
        <v>...</v>
      </c>
      <c r="X79" s="12" t="str">
        <f t="shared" si="17"/>
        <v/>
      </c>
      <c r="Y79" s="45" t="str">
        <f t="shared" si="18"/>
        <v>...</v>
      </c>
      <c r="Z79" s="45" t="str">
        <f t="shared" si="19"/>
        <v>...</v>
      </c>
      <c r="AA79" s="12" t="str">
        <f t="shared" si="20"/>
        <v>...</v>
      </c>
      <c r="AB79" s="45" t="str">
        <f t="shared" si="21"/>
        <v>...</v>
      </c>
      <c r="AC79" s="45" t="str">
        <f t="shared" si="22"/>
        <v>...</v>
      </c>
      <c r="AD79" s="12" t="str">
        <f t="shared" si="23"/>
        <v>...</v>
      </c>
      <c r="AE79" s="46" t="str">
        <f t="shared" si="24"/>
        <v>...</v>
      </c>
      <c r="AF79" s="2"/>
      <c r="AG79" s="2"/>
      <c r="AH79" s="2"/>
      <c r="AI79" s="2"/>
      <c r="AJ79" s="2"/>
      <c r="AK79" s="2"/>
    </row>
    <row r="80" ht="24.0" customHeight="1">
      <c r="A80" s="4"/>
      <c r="B80" s="30"/>
      <c r="C80" s="5" t="str">
        <f>IFERROR(__xludf.DUMMYFUNCTION("if(B80=0,""..."", sparkline(query(GOOGLEFINANCE(""BCBA:""&amp;B80,""price"",today()-$AI$36,today()),""select Col2"",0),{""charttype"",$AI$35}))"),"...")</f>
        <v>...</v>
      </c>
      <c r="D80" s="17"/>
      <c r="E80" s="31"/>
      <c r="F80" s="7"/>
      <c r="G80" s="8" t="str">
        <f t="shared" si="1"/>
        <v>...</v>
      </c>
      <c r="H80" s="31"/>
      <c r="I80" s="52"/>
      <c r="J80" s="45" t="str">
        <f t="shared" si="2"/>
        <v>...</v>
      </c>
      <c r="K80" s="47" t="str">
        <f t="array" ref="K80">IF(B80=0,"...",J80/VLOOKUP(D80,{CCL!M:N;CCL!$P:$Q},2,FALSE))</f>
        <v>...</v>
      </c>
      <c r="L80" s="45" t="str">
        <f>IFERROR(__xludf.DUMMYFUNCTION("if(B80=0,""..."",if(E80=""CERRADA"",""Valor Venta"", GOOGLEFINANCE(""BCBA:""&amp;B80)))"),"...")</f>
        <v>...</v>
      </c>
      <c r="M80" s="45" t="str">
        <f>if(B80=0,"...",L80*(1-VLOOKUP(A80,Config!$B$3:$C$22,2,FALSE)))</f>
        <v>...</v>
      </c>
      <c r="N80" s="45" t="str">
        <f t="shared" si="3"/>
        <v>...</v>
      </c>
      <c r="O80" s="12" t="str">
        <f>IFERROR(__xludf.DUMMYFUNCTION("if(B80=0,""..."",GOOGLEFINANCE(B80,""changepct"")/100)"),"...")</f>
        <v>...</v>
      </c>
      <c r="P80" s="10" t="str">
        <f>IFERROR(__xludf.DUMMYFUNCTION("if(B80=0,""..."",GOOGLEFINANCE(B80,""change"")*H80)"),"...")</f>
        <v>...</v>
      </c>
      <c r="Q80" s="12" t="str">
        <f t="shared" si="4"/>
        <v>...</v>
      </c>
      <c r="R80" s="47" t="str">
        <f t="shared" si="5"/>
        <v>...</v>
      </c>
      <c r="S80" s="12" t="str">
        <f t="array" ref="S80">IF(B80=0,"...",(N80/IF(E80="ABIERTA",CCL!$E$2,VLOOKUP(F80,{CCL!M:N;CCL!$P:$Q},2,FALSE))/(J80/VLOOKUP(D80,{CCL!M:N;CCL!$P:$Q},2,FALSE))-1))</f>
        <v>...</v>
      </c>
      <c r="T80" s="47" t="str">
        <f>IF(B80=0,"...",N80/VLOOKUP(IF(E80="ABIERTA",TODAY(),F80),CCL!$A$12:$B$773,2,FALSE)-J80/VLOOKUP(D80,CCL!$A$12:$B235,2,FALSE))</f>
        <v>...</v>
      </c>
      <c r="U80" s="2"/>
      <c r="V80" s="10"/>
      <c r="W80" s="59" t="str">
        <f t="shared" si="16"/>
        <v>...</v>
      </c>
      <c r="X80" s="12" t="str">
        <f t="shared" si="17"/>
        <v/>
      </c>
      <c r="Y80" s="45" t="str">
        <f t="shared" si="18"/>
        <v>...</v>
      </c>
      <c r="Z80" s="45" t="str">
        <f t="shared" si="19"/>
        <v>...</v>
      </c>
      <c r="AA80" s="12" t="str">
        <f t="shared" si="20"/>
        <v>...</v>
      </c>
      <c r="AB80" s="45" t="str">
        <f t="shared" si="21"/>
        <v>...</v>
      </c>
      <c r="AC80" s="45" t="str">
        <f t="shared" si="22"/>
        <v>...</v>
      </c>
      <c r="AD80" s="12" t="str">
        <f t="shared" si="23"/>
        <v>...</v>
      </c>
      <c r="AE80" s="46" t="str">
        <f t="shared" si="24"/>
        <v>...</v>
      </c>
      <c r="AF80" s="2"/>
      <c r="AG80" s="2"/>
      <c r="AH80" s="2"/>
      <c r="AI80" s="2"/>
      <c r="AJ80" s="2"/>
      <c r="AK80" s="2"/>
    </row>
    <row r="81" ht="24.0" customHeight="1">
      <c r="A81" s="4"/>
      <c r="B81" s="30"/>
      <c r="C81" s="5" t="str">
        <f>IFERROR(__xludf.DUMMYFUNCTION("if(B81=0,""..."", sparkline(query(GOOGLEFINANCE(""BCBA:""&amp;B81,""price"",today()-$AI$36,today()),""select Col2"",0),{""charttype"",$AI$35}))"),"...")</f>
        <v>...</v>
      </c>
      <c r="D81" s="17"/>
      <c r="E81" s="31"/>
      <c r="F81" s="7"/>
      <c r="G81" s="8" t="str">
        <f t="shared" si="1"/>
        <v>...</v>
      </c>
      <c r="H81" s="31"/>
      <c r="I81" s="52"/>
      <c r="J81" s="45" t="str">
        <f t="shared" si="2"/>
        <v>...</v>
      </c>
      <c r="K81" s="47" t="str">
        <f t="array" ref="K81">IF(B81=0,"...",J81/VLOOKUP(D81,{CCL!M:N;CCL!$P:$Q},2,FALSE))</f>
        <v>...</v>
      </c>
      <c r="L81" s="45" t="str">
        <f>IFERROR(__xludf.DUMMYFUNCTION("if(B81=0,""..."",if(E81=""CERRADA"",""Valor Venta"", GOOGLEFINANCE(""BCBA:""&amp;B81)))"),"...")</f>
        <v>...</v>
      </c>
      <c r="M81" s="45" t="str">
        <f>if(B81=0,"...",L81*(1-VLOOKUP(A81,Config!$B$3:$C$22,2,FALSE)))</f>
        <v>...</v>
      </c>
      <c r="N81" s="45" t="str">
        <f t="shared" si="3"/>
        <v>...</v>
      </c>
      <c r="O81" s="12" t="str">
        <f>IFERROR(__xludf.DUMMYFUNCTION("if(B81=0,""..."",GOOGLEFINANCE(B81,""changepct"")/100)"),"...")</f>
        <v>...</v>
      </c>
      <c r="P81" s="10" t="str">
        <f>IFERROR(__xludf.DUMMYFUNCTION("if(B81=0,""..."",GOOGLEFINANCE(B81,""change"")*H81)"),"...")</f>
        <v>...</v>
      </c>
      <c r="Q81" s="12" t="str">
        <f t="shared" si="4"/>
        <v>...</v>
      </c>
      <c r="R81" s="47" t="str">
        <f t="shared" si="5"/>
        <v>...</v>
      </c>
      <c r="S81" s="12" t="str">
        <f t="array" ref="S81">IF(B81=0,"...",(N81/IF(E81="ABIERTA",CCL!$E$2,VLOOKUP(F81,{CCL!M:N;CCL!$P:$Q},2,FALSE))/(J81/VLOOKUP(D81,{CCL!M:N;CCL!$P:$Q},2,FALSE))-1))</f>
        <v>...</v>
      </c>
      <c r="T81" s="47" t="str">
        <f>IF(B81=0,"...",N81/VLOOKUP(IF(E81="ABIERTA",TODAY(),F81),CCL!$A$12:$B$773,2,FALSE)-J81/VLOOKUP(D81,CCL!$A$12:$B235,2,FALSE))</f>
        <v>...</v>
      </c>
      <c r="U81" s="2"/>
      <c r="V81" s="10"/>
      <c r="W81" s="59" t="str">
        <f t="shared" si="16"/>
        <v>...</v>
      </c>
      <c r="X81" s="12" t="str">
        <f t="shared" si="17"/>
        <v/>
      </c>
      <c r="Y81" s="45" t="str">
        <f t="shared" si="18"/>
        <v>...</v>
      </c>
      <c r="Z81" s="45" t="str">
        <f t="shared" si="19"/>
        <v>...</v>
      </c>
      <c r="AA81" s="12" t="str">
        <f t="shared" si="20"/>
        <v>...</v>
      </c>
      <c r="AB81" s="45" t="str">
        <f t="shared" si="21"/>
        <v>...</v>
      </c>
      <c r="AC81" s="45" t="str">
        <f t="shared" si="22"/>
        <v>...</v>
      </c>
      <c r="AD81" s="12" t="str">
        <f t="shared" si="23"/>
        <v>...</v>
      </c>
      <c r="AE81" s="46" t="str">
        <f t="shared" si="24"/>
        <v>...</v>
      </c>
      <c r="AF81" s="2"/>
      <c r="AG81" s="2"/>
      <c r="AH81" s="2"/>
      <c r="AI81" s="2"/>
      <c r="AJ81" s="2"/>
      <c r="AK81" s="2"/>
    </row>
    <row r="82" ht="24.0" customHeight="1">
      <c r="A82" s="4"/>
      <c r="B82" s="30"/>
      <c r="C82" s="5" t="str">
        <f>IFERROR(__xludf.DUMMYFUNCTION("if(B82=0,""..."", sparkline(query(GOOGLEFINANCE(""BCBA:""&amp;B82,""price"",today()-$AI$36,today()),""select Col2"",0),{""charttype"",$AI$35}))"),"...")</f>
        <v>...</v>
      </c>
      <c r="D82" s="17"/>
      <c r="E82" s="31"/>
      <c r="F82" s="7"/>
      <c r="G82" s="8" t="str">
        <f t="shared" si="1"/>
        <v>...</v>
      </c>
      <c r="H82" s="31"/>
      <c r="I82" s="52"/>
      <c r="J82" s="45" t="str">
        <f t="shared" si="2"/>
        <v>...</v>
      </c>
      <c r="K82" s="47" t="str">
        <f t="array" ref="K82">IF(B82=0,"...",J82/VLOOKUP(D82,{CCL!M:N;CCL!$P:$Q},2,FALSE))</f>
        <v>...</v>
      </c>
      <c r="L82" s="45" t="str">
        <f>IFERROR(__xludf.DUMMYFUNCTION("if(B82=0,""..."",if(E82=""CERRADA"",""Valor Venta"", GOOGLEFINANCE(""BCBA:""&amp;B82)))"),"...")</f>
        <v>...</v>
      </c>
      <c r="M82" s="45" t="str">
        <f>if(B82=0,"...",L82*(1-VLOOKUP(A82,Config!$B$3:$C$22,2,FALSE)))</f>
        <v>...</v>
      </c>
      <c r="N82" s="45" t="str">
        <f t="shared" si="3"/>
        <v>...</v>
      </c>
      <c r="O82" s="12" t="str">
        <f>IFERROR(__xludf.DUMMYFUNCTION("if(B82=0,""..."",GOOGLEFINANCE(B82,""changepct"")/100)"),"...")</f>
        <v>...</v>
      </c>
      <c r="P82" s="10" t="str">
        <f>IFERROR(__xludf.DUMMYFUNCTION("if(B82=0,""..."",GOOGLEFINANCE(B82,""change"")*H82)"),"...")</f>
        <v>...</v>
      </c>
      <c r="Q82" s="12" t="str">
        <f t="shared" si="4"/>
        <v>...</v>
      </c>
      <c r="R82" s="47" t="str">
        <f t="shared" si="5"/>
        <v>...</v>
      </c>
      <c r="S82" s="12" t="str">
        <f t="array" ref="S82">IF(B82=0,"...",(N82/IF(E82="ABIERTA",CCL!$E$2,VLOOKUP(F82,{CCL!M:N;CCL!$P:$Q},2,FALSE))/(J82/VLOOKUP(D82,{CCL!M:N;CCL!$P:$Q},2,FALSE))-1))</f>
        <v>...</v>
      </c>
      <c r="T82" s="47" t="str">
        <f>IF(B82=0,"...",N82/VLOOKUP(IF(E82="ABIERTA",TODAY(),F82),CCL!$A$12:$B$773,2,FALSE)-J82/VLOOKUP(D82,CCL!$A$12:$B235,2,FALSE))</f>
        <v>...</v>
      </c>
      <c r="U82" s="2"/>
      <c r="V82" s="10"/>
      <c r="W82" s="59" t="str">
        <f t="shared" si="16"/>
        <v>...</v>
      </c>
      <c r="X82" s="12" t="str">
        <f t="shared" si="17"/>
        <v/>
      </c>
      <c r="Y82" s="45" t="str">
        <f t="shared" si="18"/>
        <v>...</v>
      </c>
      <c r="Z82" s="45" t="str">
        <f t="shared" si="19"/>
        <v>...</v>
      </c>
      <c r="AA82" s="12" t="str">
        <f t="shared" si="20"/>
        <v>...</v>
      </c>
      <c r="AB82" s="45" t="str">
        <f t="shared" si="21"/>
        <v>...</v>
      </c>
      <c r="AC82" s="45" t="str">
        <f t="shared" si="22"/>
        <v>...</v>
      </c>
      <c r="AD82" s="12" t="str">
        <f t="shared" si="23"/>
        <v>...</v>
      </c>
      <c r="AE82" s="46" t="str">
        <f t="shared" si="24"/>
        <v>...</v>
      </c>
      <c r="AF82" s="2"/>
      <c r="AG82" s="2"/>
      <c r="AH82" s="2"/>
      <c r="AI82" s="2"/>
      <c r="AJ82" s="2"/>
      <c r="AK82" s="2"/>
    </row>
    <row r="83" ht="24.0" customHeight="1">
      <c r="A83" s="4"/>
      <c r="B83" s="30"/>
      <c r="C83" s="5" t="str">
        <f>IFERROR(__xludf.DUMMYFUNCTION("if(B83=0,""..."", sparkline(query(GOOGLEFINANCE(""BCBA:""&amp;B83,""price"",today()-$AI$36,today()),""select Col2"",0),{""charttype"",$AI$35}))"),"...")</f>
        <v>...</v>
      </c>
      <c r="D83" s="17"/>
      <c r="E83" s="31"/>
      <c r="F83" s="7"/>
      <c r="G83" s="8" t="str">
        <f t="shared" si="1"/>
        <v>...</v>
      </c>
      <c r="H83" s="31"/>
      <c r="I83" s="52"/>
      <c r="J83" s="45" t="str">
        <f t="shared" si="2"/>
        <v>...</v>
      </c>
      <c r="K83" s="47" t="str">
        <f t="array" ref="K83">IF(B83=0,"...",J83/VLOOKUP(D83,{CCL!M:N;CCL!$P:$Q},2,FALSE))</f>
        <v>...</v>
      </c>
      <c r="L83" s="45" t="str">
        <f>IFERROR(__xludf.DUMMYFUNCTION("if(B83=0,""..."",if(E83=""CERRADA"",""Valor Venta"", GOOGLEFINANCE(""BCBA:""&amp;B83)))"),"...")</f>
        <v>...</v>
      </c>
      <c r="M83" s="45" t="str">
        <f>if(B83=0,"...",L83*(1-VLOOKUP(A83,Config!$B$3:$C$22,2,FALSE)))</f>
        <v>...</v>
      </c>
      <c r="N83" s="45" t="str">
        <f t="shared" si="3"/>
        <v>...</v>
      </c>
      <c r="O83" s="12" t="str">
        <f>IFERROR(__xludf.DUMMYFUNCTION("if(B83=0,""..."",GOOGLEFINANCE(B83,""changepct"")/100)"),"...")</f>
        <v>...</v>
      </c>
      <c r="P83" s="10" t="str">
        <f>IFERROR(__xludf.DUMMYFUNCTION("if(B83=0,""..."",GOOGLEFINANCE(B83,""change"")*H83)"),"...")</f>
        <v>...</v>
      </c>
      <c r="Q83" s="12" t="str">
        <f t="shared" si="4"/>
        <v>...</v>
      </c>
      <c r="R83" s="47" t="str">
        <f t="shared" si="5"/>
        <v>...</v>
      </c>
      <c r="S83" s="12" t="str">
        <f t="array" ref="S83">IF(B83=0,"...",(N83/IF(E83="ABIERTA",CCL!$E$2,VLOOKUP(F83,{CCL!M:N;CCL!$P:$Q},2,FALSE))/(J83/VLOOKUP(D83,{CCL!M:N;CCL!$P:$Q},2,FALSE))-1))</f>
        <v>...</v>
      </c>
      <c r="T83" s="47" t="str">
        <f>IF(B83=0,"...",N83/VLOOKUP(IF(E83="ABIERTA",TODAY(),F83),CCL!$A$12:$B$773,2,FALSE)-J83/VLOOKUP(D83,CCL!$A$12:$B235,2,FALSE))</f>
        <v>...</v>
      </c>
      <c r="U83" s="2"/>
      <c r="V83" s="10"/>
      <c r="W83" s="59" t="str">
        <f t="shared" si="16"/>
        <v>...</v>
      </c>
      <c r="X83" s="12" t="str">
        <f t="shared" si="17"/>
        <v/>
      </c>
      <c r="Y83" s="45" t="str">
        <f t="shared" si="18"/>
        <v>...</v>
      </c>
      <c r="Z83" s="45" t="str">
        <f t="shared" si="19"/>
        <v>...</v>
      </c>
      <c r="AA83" s="12" t="str">
        <f t="shared" si="20"/>
        <v>...</v>
      </c>
      <c r="AB83" s="45" t="str">
        <f t="shared" si="21"/>
        <v>...</v>
      </c>
      <c r="AC83" s="45" t="str">
        <f t="shared" si="22"/>
        <v>...</v>
      </c>
      <c r="AD83" s="12" t="str">
        <f t="shared" si="23"/>
        <v>...</v>
      </c>
      <c r="AE83" s="46" t="str">
        <f t="shared" si="24"/>
        <v>...</v>
      </c>
      <c r="AF83" s="2"/>
      <c r="AG83" s="2"/>
      <c r="AH83" s="2"/>
      <c r="AI83" s="2"/>
      <c r="AJ83" s="2"/>
      <c r="AK83" s="2"/>
    </row>
    <row r="84" ht="24.0" customHeight="1">
      <c r="A84" s="4"/>
      <c r="B84" s="30"/>
      <c r="C84" s="5" t="str">
        <f>IFERROR(__xludf.DUMMYFUNCTION("if(B84=0,""..."", sparkline(query(GOOGLEFINANCE(""BCBA:""&amp;B84,""price"",today()-$AI$36,today()),""select Col2"",0),{""charttype"",$AI$35}))"),"...")</f>
        <v>...</v>
      </c>
      <c r="D84" s="17"/>
      <c r="E84" s="31"/>
      <c r="F84" s="7"/>
      <c r="G84" s="8" t="str">
        <f t="shared" si="1"/>
        <v>...</v>
      </c>
      <c r="H84" s="31"/>
      <c r="I84" s="52"/>
      <c r="J84" s="45" t="str">
        <f t="shared" si="2"/>
        <v>...</v>
      </c>
      <c r="K84" s="47" t="str">
        <f t="array" ref="K84">IF(B84=0,"...",J84/VLOOKUP(D84,{CCL!M:N;CCL!$P:$Q},2,FALSE))</f>
        <v>...</v>
      </c>
      <c r="L84" s="45" t="str">
        <f>IFERROR(__xludf.DUMMYFUNCTION("if(B84=0,""..."",if(E84=""CERRADA"",""Valor Venta"", GOOGLEFINANCE(""BCBA:""&amp;B84)))"),"...")</f>
        <v>...</v>
      </c>
      <c r="M84" s="45" t="str">
        <f>if(B84=0,"...",L84*(1-VLOOKUP(A84,Config!$B$3:$C$22,2,FALSE)))</f>
        <v>...</v>
      </c>
      <c r="N84" s="45" t="str">
        <f t="shared" si="3"/>
        <v>...</v>
      </c>
      <c r="O84" s="12" t="str">
        <f>IFERROR(__xludf.DUMMYFUNCTION("if(B84=0,""..."",GOOGLEFINANCE(B84,""changepct"")/100)"),"...")</f>
        <v>...</v>
      </c>
      <c r="P84" s="10" t="str">
        <f>IFERROR(__xludf.DUMMYFUNCTION("if(B84=0,""..."",GOOGLEFINANCE(B84,""change"")*H84)"),"...")</f>
        <v>...</v>
      </c>
      <c r="Q84" s="12" t="str">
        <f t="shared" si="4"/>
        <v>...</v>
      </c>
      <c r="R84" s="47" t="str">
        <f t="shared" si="5"/>
        <v>...</v>
      </c>
      <c r="S84" s="12" t="str">
        <f t="array" ref="S84">IF(B84=0,"...",(N84/IF(E84="ABIERTA",CCL!$E$2,VLOOKUP(F84,{CCL!M:N;CCL!$P:$Q},2,FALSE))/(J84/VLOOKUP(D84,{CCL!M:N;CCL!$P:$Q},2,FALSE))-1))</f>
        <v>...</v>
      </c>
      <c r="T84" s="47" t="str">
        <f>IF(B84=0,"...",N84/VLOOKUP(IF(E84="ABIERTA",TODAY(),F84),CCL!$A$12:$B$773,2,FALSE)-J84/VLOOKUP(D84,CCL!$A$12:$B235,2,FALSE))</f>
        <v>...</v>
      </c>
      <c r="U84" s="2"/>
      <c r="V84" s="10"/>
      <c r="W84" s="59" t="str">
        <f t="shared" si="16"/>
        <v>...</v>
      </c>
      <c r="X84" s="12" t="str">
        <f t="shared" si="17"/>
        <v/>
      </c>
      <c r="Y84" s="45" t="str">
        <f t="shared" si="18"/>
        <v>...</v>
      </c>
      <c r="Z84" s="45" t="str">
        <f t="shared" si="19"/>
        <v>...</v>
      </c>
      <c r="AA84" s="12" t="str">
        <f t="shared" si="20"/>
        <v>...</v>
      </c>
      <c r="AB84" s="45" t="str">
        <f t="shared" si="21"/>
        <v>...</v>
      </c>
      <c r="AC84" s="45" t="str">
        <f t="shared" si="22"/>
        <v>...</v>
      </c>
      <c r="AD84" s="12" t="str">
        <f t="shared" si="23"/>
        <v>...</v>
      </c>
      <c r="AE84" s="46" t="str">
        <f t="shared" si="24"/>
        <v>...</v>
      </c>
      <c r="AF84" s="2"/>
      <c r="AG84" s="2"/>
      <c r="AH84" s="2"/>
      <c r="AI84" s="2"/>
      <c r="AJ84" s="2"/>
      <c r="AK84" s="2"/>
    </row>
    <row r="85" ht="24.0" customHeight="1">
      <c r="A85" s="4"/>
      <c r="B85" s="30"/>
      <c r="C85" s="5" t="str">
        <f>IFERROR(__xludf.DUMMYFUNCTION("if(B85=0,""..."", sparkline(query(GOOGLEFINANCE(""BCBA:""&amp;B85,""price"",today()-$AI$36,today()),""select Col2"",0),{""charttype"",$AI$35}))"),"...")</f>
        <v>...</v>
      </c>
      <c r="D85" s="17"/>
      <c r="E85" s="31"/>
      <c r="F85" s="7"/>
      <c r="G85" s="8" t="str">
        <f t="shared" si="1"/>
        <v>...</v>
      </c>
      <c r="H85" s="31"/>
      <c r="I85" s="52"/>
      <c r="J85" s="45" t="str">
        <f t="shared" si="2"/>
        <v>...</v>
      </c>
      <c r="K85" s="47" t="str">
        <f t="array" ref="K85">IF(B85=0,"...",J85/VLOOKUP(D85,{CCL!M:N;CCL!$P:$Q},2,FALSE))</f>
        <v>...</v>
      </c>
      <c r="L85" s="45" t="str">
        <f>IFERROR(__xludf.DUMMYFUNCTION("if(B85=0,""..."",if(E85=""CERRADA"",""Valor Venta"", GOOGLEFINANCE(""BCBA:""&amp;B85)))"),"...")</f>
        <v>...</v>
      </c>
      <c r="M85" s="45" t="str">
        <f>if(B85=0,"...",L85*(1-VLOOKUP(A85,Config!$B$3:$C$22,2,FALSE)))</f>
        <v>...</v>
      </c>
      <c r="N85" s="45" t="str">
        <f t="shared" si="3"/>
        <v>...</v>
      </c>
      <c r="O85" s="12" t="str">
        <f>IFERROR(__xludf.DUMMYFUNCTION("if(B85=0,""..."",GOOGLEFINANCE(B85,""changepct"")/100)"),"...")</f>
        <v>...</v>
      </c>
      <c r="P85" s="10" t="str">
        <f>IFERROR(__xludf.DUMMYFUNCTION("if(B85=0,""..."",GOOGLEFINANCE(B85,""change"")*H85)"),"...")</f>
        <v>...</v>
      </c>
      <c r="Q85" s="12" t="str">
        <f t="shared" si="4"/>
        <v>...</v>
      </c>
      <c r="R85" s="47" t="str">
        <f t="shared" si="5"/>
        <v>...</v>
      </c>
      <c r="S85" s="12" t="str">
        <f t="array" ref="S85">IF(B85=0,"...",(N85/IF(E85="ABIERTA",CCL!$E$2,VLOOKUP(F85,{CCL!M:N;CCL!$P:$Q},2,FALSE))/(J85/VLOOKUP(D85,{CCL!M:N;CCL!$P:$Q},2,FALSE))-1))</f>
        <v>...</v>
      </c>
      <c r="T85" s="47" t="str">
        <f>IF(B85=0,"...",N85/VLOOKUP(IF(E85="ABIERTA",TODAY(),F85),CCL!$A$12:$B$773,2,FALSE)-J85/VLOOKUP(D85,CCL!$A$12:$B235,2,FALSE))</f>
        <v>...</v>
      </c>
      <c r="U85" s="2"/>
      <c r="V85" s="10"/>
      <c r="W85" s="59" t="str">
        <f t="shared" si="16"/>
        <v>...</v>
      </c>
      <c r="X85" s="12" t="str">
        <f t="shared" si="17"/>
        <v/>
      </c>
      <c r="Y85" s="45" t="str">
        <f t="shared" si="18"/>
        <v>...</v>
      </c>
      <c r="Z85" s="45" t="str">
        <f t="shared" si="19"/>
        <v>...</v>
      </c>
      <c r="AA85" s="12" t="str">
        <f t="shared" si="20"/>
        <v>...</v>
      </c>
      <c r="AB85" s="45" t="str">
        <f t="shared" si="21"/>
        <v>...</v>
      </c>
      <c r="AC85" s="45" t="str">
        <f t="shared" si="22"/>
        <v>...</v>
      </c>
      <c r="AD85" s="12" t="str">
        <f t="shared" si="23"/>
        <v>...</v>
      </c>
      <c r="AE85" s="46" t="str">
        <f t="shared" si="24"/>
        <v>...</v>
      </c>
      <c r="AF85" s="2"/>
      <c r="AG85" s="2"/>
      <c r="AH85" s="2"/>
      <c r="AI85" s="2"/>
      <c r="AJ85" s="2"/>
      <c r="AK85" s="2"/>
    </row>
    <row r="86" ht="24.0" customHeight="1">
      <c r="A86" s="4"/>
      <c r="B86" s="30"/>
      <c r="C86" s="5" t="str">
        <f>IFERROR(__xludf.DUMMYFUNCTION("if(B86=0,""..."", sparkline(query(GOOGLEFINANCE(""BCBA:""&amp;B86,""price"",today()-$AI$36,today()),""select Col2"",0),{""charttype"",$AI$35}))"),"...")</f>
        <v>...</v>
      </c>
      <c r="D86" s="17"/>
      <c r="E86" s="31"/>
      <c r="F86" s="7"/>
      <c r="G86" s="8" t="str">
        <f t="shared" si="1"/>
        <v>...</v>
      </c>
      <c r="H86" s="31"/>
      <c r="I86" s="52"/>
      <c r="J86" s="45" t="str">
        <f t="shared" si="2"/>
        <v>...</v>
      </c>
      <c r="K86" s="47" t="str">
        <f t="array" ref="K86">IF(B86=0,"...",J86/VLOOKUP(D86,{CCL!M:N;CCL!$P:$Q},2,FALSE))</f>
        <v>...</v>
      </c>
      <c r="L86" s="45" t="str">
        <f>IFERROR(__xludf.DUMMYFUNCTION("if(B86=0,""..."",if(E86=""CERRADA"",""Valor Venta"", GOOGLEFINANCE(""BCBA:""&amp;B86)))"),"...")</f>
        <v>...</v>
      </c>
      <c r="M86" s="45" t="str">
        <f>if(B86=0,"...",L86*(1-VLOOKUP(A86,Config!$B$3:$C$22,2,FALSE)))</f>
        <v>...</v>
      </c>
      <c r="N86" s="45" t="str">
        <f t="shared" si="3"/>
        <v>...</v>
      </c>
      <c r="O86" s="12" t="str">
        <f>IFERROR(__xludf.DUMMYFUNCTION("if(B86=0,""..."",GOOGLEFINANCE(B86,""changepct"")/100)"),"...")</f>
        <v>...</v>
      </c>
      <c r="P86" s="10" t="str">
        <f>IFERROR(__xludf.DUMMYFUNCTION("if(B86=0,""..."",GOOGLEFINANCE(B86,""change"")*H86)"),"...")</f>
        <v>...</v>
      </c>
      <c r="Q86" s="12" t="str">
        <f t="shared" si="4"/>
        <v>...</v>
      </c>
      <c r="R86" s="47" t="str">
        <f t="shared" si="5"/>
        <v>...</v>
      </c>
      <c r="S86" s="12" t="str">
        <f t="array" ref="S86">IF(B86=0,"...",(N86/IF(E86="ABIERTA",CCL!$E$2,VLOOKUP(F86,{CCL!M:N;CCL!$P:$Q},2,FALSE))/(J86/VLOOKUP(D86,{CCL!M:N;CCL!$P:$Q},2,FALSE))-1))</f>
        <v>...</v>
      </c>
      <c r="T86" s="47" t="str">
        <f>IF(B86=0,"...",N86/VLOOKUP(IF(E86="ABIERTA",TODAY(),F86),CCL!$A$12:$B$773,2,FALSE)-J86/VLOOKUP(D86,CCL!$A$12:$B235,2,FALSE))</f>
        <v>...</v>
      </c>
      <c r="U86" s="2"/>
      <c r="V86" s="10"/>
      <c r="W86" s="59" t="str">
        <f t="shared" si="16"/>
        <v>...</v>
      </c>
      <c r="X86" s="12" t="str">
        <f t="shared" si="17"/>
        <v/>
      </c>
      <c r="Y86" s="45" t="str">
        <f t="shared" si="18"/>
        <v>...</v>
      </c>
      <c r="Z86" s="45" t="str">
        <f t="shared" si="19"/>
        <v>...</v>
      </c>
      <c r="AA86" s="12" t="str">
        <f t="shared" si="20"/>
        <v>...</v>
      </c>
      <c r="AB86" s="45" t="str">
        <f t="shared" si="21"/>
        <v>...</v>
      </c>
      <c r="AC86" s="45" t="str">
        <f t="shared" si="22"/>
        <v>...</v>
      </c>
      <c r="AD86" s="12" t="str">
        <f t="shared" si="23"/>
        <v>...</v>
      </c>
      <c r="AE86" s="46" t="str">
        <f t="shared" si="24"/>
        <v>...</v>
      </c>
      <c r="AF86" s="2"/>
      <c r="AG86" s="2"/>
      <c r="AH86" s="2"/>
      <c r="AI86" s="2"/>
      <c r="AJ86" s="2"/>
      <c r="AK86" s="2"/>
    </row>
    <row r="87" ht="24.0" customHeight="1">
      <c r="A87" s="4"/>
      <c r="B87" s="30"/>
      <c r="C87" s="5" t="str">
        <f>IFERROR(__xludf.DUMMYFUNCTION("if(B87=0,""..."", sparkline(query(GOOGLEFINANCE(""BCBA:""&amp;B87,""price"",today()-$AI$36,today()),""select Col2"",0),{""charttype"",$AI$35}))"),"...")</f>
        <v>...</v>
      </c>
      <c r="D87" s="17"/>
      <c r="E87" s="31"/>
      <c r="F87" s="7"/>
      <c r="G87" s="8" t="str">
        <f t="shared" si="1"/>
        <v>...</v>
      </c>
      <c r="H87" s="31"/>
      <c r="I87" s="52"/>
      <c r="J87" s="45" t="str">
        <f t="shared" si="2"/>
        <v>...</v>
      </c>
      <c r="K87" s="47" t="str">
        <f t="array" ref="K87">IF(B87=0,"...",J87/VLOOKUP(D87,{CCL!M:N;CCL!$P:$Q},2,FALSE))</f>
        <v>...</v>
      </c>
      <c r="L87" s="45" t="str">
        <f>IFERROR(__xludf.DUMMYFUNCTION("if(B87=0,""..."",if(E87=""CERRADA"",""Valor Venta"", GOOGLEFINANCE(""BCBA:""&amp;B87)))"),"...")</f>
        <v>...</v>
      </c>
      <c r="M87" s="45" t="str">
        <f>if(B87=0,"...",L87*(1-VLOOKUP(A87,Config!$B$3:$C$22,2,FALSE)))</f>
        <v>...</v>
      </c>
      <c r="N87" s="45" t="str">
        <f t="shared" si="3"/>
        <v>...</v>
      </c>
      <c r="O87" s="12" t="str">
        <f>IFERROR(__xludf.DUMMYFUNCTION("if(B87=0,""..."",GOOGLEFINANCE(B87,""changepct"")/100)"),"...")</f>
        <v>...</v>
      </c>
      <c r="P87" s="10" t="str">
        <f>IFERROR(__xludf.DUMMYFUNCTION("if(B87=0,""..."",GOOGLEFINANCE(B87,""change"")*H87)"),"...")</f>
        <v>...</v>
      </c>
      <c r="Q87" s="12" t="str">
        <f t="shared" si="4"/>
        <v>...</v>
      </c>
      <c r="R87" s="47" t="str">
        <f t="shared" si="5"/>
        <v>...</v>
      </c>
      <c r="S87" s="12" t="str">
        <f t="array" ref="S87">IF(B87=0,"...",(N87/IF(E87="ABIERTA",CCL!$E$2,VLOOKUP(F87,{CCL!M:N;CCL!$P:$Q},2,FALSE))/(J87/VLOOKUP(D87,{CCL!M:N;CCL!$P:$Q},2,FALSE))-1))</f>
        <v>...</v>
      </c>
      <c r="T87" s="47" t="str">
        <f>IF(B87=0,"...",N87/VLOOKUP(IF(E87="ABIERTA",TODAY(),F87),CCL!$A$12:$B$773,2,FALSE)-J87/VLOOKUP(D87,CCL!$A$12:$B235,2,FALSE))</f>
        <v>...</v>
      </c>
      <c r="U87" s="2"/>
      <c r="V87" s="10"/>
      <c r="W87" s="59" t="str">
        <f t="shared" si="16"/>
        <v>...</v>
      </c>
      <c r="X87" s="12" t="str">
        <f t="shared" si="17"/>
        <v/>
      </c>
      <c r="Y87" s="45" t="str">
        <f t="shared" si="18"/>
        <v>...</v>
      </c>
      <c r="Z87" s="45" t="str">
        <f t="shared" si="19"/>
        <v>...</v>
      </c>
      <c r="AA87" s="12" t="str">
        <f t="shared" si="20"/>
        <v>...</v>
      </c>
      <c r="AB87" s="45" t="str">
        <f t="shared" si="21"/>
        <v>...</v>
      </c>
      <c r="AC87" s="45" t="str">
        <f t="shared" si="22"/>
        <v>...</v>
      </c>
      <c r="AD87" s="12" t="str">
        <f t="shared" si="23"/>
        <v>...</v>
      </c>
      <c r="AE87" s="46" t="str">
        <f t="shared" si="24"/>
        <v>...</v>
      </c>
      <c r="AF87" s="2"/>
      <c r="AG87" s="2"/>
      <c r="AH87" s="2"/>
      <c r="AI87" s="2"/>
      <c r="AJ87" s="2"/>
      <c r="AK87" s="2"/>
    </row>
    <row r="88" ht="24.0" customHeight="1">
      <c r="A88" s="4"/>
      <c r="B88" s="30"/>
      <c r="C88" s="5" t="str">
        <f>IFERROR(__xludf.DUMMYFUNCTION("if(B88=0,""..."", sparkline(query(GOOGLEFINANCE(""BCBA:""&amp;B88,""price"",today()-$AI$36,today()),""select Col2"",0),{""charttype"",$AI$35}))"),"...")</f>
        <v>...</v>
      </c>
      <c r="D88" s="17"/>
      <c r="E88" s="31"/>
      <c r="F88" s="7"/>
      <c r="G88" s="8" t="str">
        <f t="shared" si="1"/>
        <v>...</v>
      </c>
      <c r="H88" s="31"/>
      <c r="I88" s="52"/>
      <c r="J88" s="45" t="str">
        <f t="shared" si="2"/>
        <v>...</v>
      </c>
      <c r="K88" s="47" t="str">
        <f t="array" ref="K88">IF(B88=0,"...",J88/VLOOKUP(D88,{CCL!M:N;CCL!$P:$Q},2,FALSE))</f>
        <v>...</v>
      </c>
      <c r="L88" s="45" t="str">
        <f>IFERROR(__xludf.DUMMYFUNCTION("if(B88=0,""..."",if(E88=""CERRADA"",""Valor Venta"", GOOGLEFINANCE(""BCBA:""&amp;B88)))"),"...")</f>
        <v>...</v>
      </c>
      <c r="M88" s="45" t="str">
        <f>if(B88=0,"...",L88*(1-VLOOKUP(A88,Config!$B$3:$C$22,2,FALSE)))</f>
        <v>...</v>
      </c>
      <c r="N88" s="45" t="str">
        <f t="shared" si="3"/>
        <v>...</v>
      </c>
      <c r="O88" s="12" t="str">
        <f>IFERROR(__xludf.DUMMYFUNCTION("if(B88=0,""..."",GOOGLEFINANCE(B88,""changepct"")/100)"),"...")</f>
        <v>...</v>
      </c>
      <c r="P88" s="10" t="str">
        <f>IFERROR(__xludf.DUMMYFUNCTION("if(B88=0,""..."",GOOGLEFINANCE(B88,""change"")*H88)"),"...")</f>
        <v>...</v>
      </c>
      <c r="Q88" s="12" t="str">
        <f t="shared" si="4"/>
        <v>...</v>
      </c>
      <c r="R88" s="47" t="str">
        <f t="shared" si="5"/>
        <v>...</v>
      </c>
      <c r="S88" s="12" t="str">
        <f t="array" ref="S88">IF(B88=0,"...",(N88/IF(E88="ABIERTA",CCL!$E$2,VLOOKUP(F88,{CCL!M:N;CCL!$P:$Q},2,FALSE))/(J88/VLOOKUP(D88,{CCL!M:N;CCL!$P:$Q},2,FALSE))-1))</f>
        <v>...</v>
      </c>
      <c r="T88" s="47" t="str">
        <f>IF(B88=0,"...",N88/VLOOKUP(IF(E88="ABIERTA",TODAY(),F88),CCL!$A$12:$B$773,2,FALSE)-J88/VLOOKUP(D88,CCL!$A$12:$B235,2,FALSE))</f>
        <v>...</v>
      </c>
      <c r="U88" s="2"/>
      <c r="V88" s="10"/>
      <c r="W88" s="59" t="str">
        <f t="shared" si="16"/>
        <v>...</v>
      </c>
      <c r="X88" s="12" t="str">
        <f t="shared" si="17"/>
        <v/>
      </c>
      <c r="Y88" s="45" t="str">
        <f t="shared" si="18"/>
        <v>...</v>
      </c>
      <c r="Z88" s="45" t="str">
        <f t="shared" si="19"/>
        <v>...</v>
      </c>
      <c r="AA88" s="12" t="str">
        <f t="shared" si="20"/>
        <v>...</v>
      </c>
      <c r="AB88" s="45" t="str">
        <f t="shared" si="21"/>
        <v>...</v>
      </c>
      <c r="AC88" s="45" t="str">
        <f t="shared" si="22"/>
        <v>...</v>
      </c>
      <c r="AD88" s="12" t="str">
        <f t="shared" si="23"/>
        <v>...</v>
      </c>
      <c r="AE88" s="46" t="str">
        <f t="shared" si="24"/>
        <v>...</v>
      </c>
      <c r="AF88" s="2"/>
      <c r="AG88" s="2"/>
      <c r="AH88" s="2"/>
      <c r="AI88" s="2"/>
      <c r="AJ88" s="2"/>
      <c r="AK88" s="2"/>
    </row>
    <row r="89" ht="24.0" customHeight="1">
      <c r="A89" s="4"/>
      <c r="B89" s="30"/>
      <c r="C89" s="5" t="str">
        <f>IFERROR(__xludf.DUMMYFUNCTION("if(B89=0,""..."", sparkline(query(GOOGLEFINANCE(""BCBA:""&amp;B89,""price"",today()-$AI$36,today()),""select Col2"",0),{""charttype"",$AI$35}))"),"...")</f>
        <v>...</v>
      </c>
      <c r="D89" s="17"/>
      <c r="E89" s="31"/>
      <c r="F89" s="7"/>
      <c r="G89" s="8" t="str">
        <f t="shared" si="1"/>
        <v>...</v>
      </c>
      <c r="H89" s="31"/>
      <c r="I89" s="52"/>
      <c r="J89" s="45" t="str">
        <f t="shared" si="2"/>
        <v>...</v>
      </c>
      <c r="K89" s="47" t="str">
        <f t="array" ref="K89">IF(B89=0,"...",J89/VLOOKUP(D89,{CCL!M:N;CCL!$P:$Q},2,FALSE))</f>
        <v>...</v>
      </c>
      <c r="L89" s="45" t="str">
        <f>IFERROR(__xludf.DUMMYFUNCTION("if(B89=0,""..."",if(E89=""CERRADA"",""Valor Venta"", GOOGLEFINANCE(""BCBA:""&amp;B89)))"),"...")</f>
        <v>...</v>
      </c>
      <c r="M89" s="45" t="str">
        <f>if(B89=0,"...",L89*(1-VLOOKUP(A89,Config!$B$3:$C$22,2,FALSE)))</f>
        <v>...</v>
      </c>
      <c r="N89" s="45" t="str">
        <f t="shared" si="3"/>
        <v>...</v>
      </c>
      <c r="O89" s="12" t="str">
        <f>IFERROR(__xludf.DUMMYFUNCTION("if(B89=0,""..."",GOOGLEFINANCE(B89,""changepct"")/100)"),"...")</f>
        <v>...</v>
      </c>
      <c r="P89" s="10" t="str">
        <f>IFERROR(__xludf.DUMMYFUNCTION("if(B89=0,""..."",GOOGLEFINANCE(B89,""change"")*H89)"),"...")</f>
        <v>...</v>
      </c>
      <c r="Q89" s="12" t="str">
        <f t="shared" si="4"/>
        <v>...</v>
      </c>
      <c r="R89" s="47" t="str">
        <f t="shared" si="5"/>
        <v>...</v>
      </c>
      <c r="S89" s="12" t="str">
        <f t="array" ref="S89">IF(B89=0,"...",(N89/IF(E89="ABIERTA",CCL!$E$2,VLOOKUP(F89,{CCL!M:N;CCL!$P:$Q},2,FALSE))/(J89/VLOOKUP(D89,{CCL!M:N;CCL!$P:$Q},2,FALSE))-1))</f>
        <v>...</v>
      </c>
      <c r="T89" s="47" t="str">
        <f>IF(B89=0,"...",N89/VLOOKUP(IF(E89="ABIERTA",TODAY(),F89),CCL!$A$12:$B$773,2,FALSE)-J89/VLOOKUP(D89,CCL!$A$12:$B235,2,FALSE))</f>
        <v>...</v>
      </c>
      <c r="U89" s="2"/>
      <c r="V89" s="10"/>
      <c r="W89" s="59" t="str">
        <f t="shared" si="16"/>
        <v>...</v>
      </c>
      <c r="X89" s="12" t="str">
        <f t="shared" si="17"/>
        <v/>
      </c>
      <c r="Y89" s="45" t="str">
        <f t="shared" si="18"/>
        <v>...</v>
      </c>
      <c r="Z89" s="45" t="str">
        <f t="shared" si="19"/>
        <v>...</v>
      </c>
      <c r="AA89" s="12" t="str">
        <f t="shared" si="20"/>
        <v>...</v>
      </c>
      <c r="AB89" s="45" t="str">
        <f t="shared" si="21"/>
        <v>...</v>
      </c>
      <c r="AC89" s="45" t="str">
        <f t="shared" si="22"/>
        <v>...</v>
      </c>
      <c r="AD89" s="12" t="str">
        <f t="shared" si="23"/>
        <v>...</v>
      </c>
      <c r="AE89" s="46" t="str">
        <f t="shared" si="24"/>
        <v>...</v>
      </c>
      <c r="AF89" s="2"/>
      <c r="AG89" s="2"/>
      <c r="AH89" s="2"/>
      <c r="AI89" s="2"/>
      <c r="AJ89" s="2"/>
      <c r="AK89" s="2"/>
    </row>
    <row r="90" ht="24.0" customHeight="1">
      <c r="A90" s="4"/>
      <c r="B90" s="30"/>
      <c r="C90" s="5" t="str">
        <f>IFERROR(__xludf.DUMMYFUNCTION("if(B90=0,""..."", sparkline(query(GOOGLEFINANCE(""BCBA:""&amp;B90,""price"",today()-$AI$36,today()),""select Col2"",0),{""charttype"",$AI$35}))"),"...")</f>
        <v>...</v>
      </c>
      <c r="D90" s="17"/>
      <c r="E90" s="31"/>
      <c r="F90" s="7"/>
      <c r="G90" s="8" t="str">
        <f t="shared" si="1"/>
        <v>...</v>
      </c>
      <c r="H90" s="31"/>
      <c r="I90" s="52"/>
      <c r="J90" s="45" t="str">
        <f t="shared" si="2"/>
        <v>...</v>
      </c>
      <c r="K90" s="47" t="str">
        <f t="array" ref="K90">IF(B90=0,"...",J90/VLOOKUP(D90,{CCL!M:N;CCL!$P:$Q},2,FALSE))</f>
        <v>...</v>
      </c>
      <c r="L90" s="45" t="str">
        <f>IFERROR(__xludf.DUMMYFUNCTION("if(B90=0,""..."",if(E90=""CERRADA"",""Valor Venta"", GOOGLEFINANCE(""BCBA:""&amp;B90)))"),"...")</f>
        <v>...</v>
      </c>
      <c r="M90" s="45" t="str">
        <f>if(B90=0,"...",L90*(1-VLOOKUP(A90,Config!$B$3:$C$22,2,FALSE)))</f>
        <v>...</v>
      </c>
      <c r="N90" s="45" t="str">
        <f t="shared" si="3"/>
        <v>...</v>
      </c>
      <c r="O90" s="12" t="str">
        <f>IFERROR(__xludf.DUMMYFUNCTION("if(B90=0,""..."",GOOGLEFINANCE(B90,""changepct"")/100)"),"...")</f>
        <v>...</v>
      </c>
      <c r="P90" s="10" t="str">
        <f>IFERROR(__xludf.DUMMYFUNCTION("if(B90=0,""..."",GOOGLEFINANCE(B90,""change"")*H90)"),"...")</f>
        <v>...</v>
      </c>
      <c r="Q90" s="12" t="str">
        <f t="shared" si="4"/>
        <v>...</v>
      </c>
      <c r="R90" s="47" t="str">
        <f t="shared" si="5"/>
        <v>...</v>
      </c>
      <c r="S90" s="12" t="str">
        <f t="array" ref="S90">IF(B90=0,"...",(N90/IF(E90="ABIERTA",CCL!$E$2,VLOOKUP(F90,{CCL!M:N;CCL!$P:$Q},2,FALSE))/(J90/VLOOKUP(D90,{CCL!M:N;CCL!$P:$Q},2,FALSE))-1))</f>
        <v>...</v>
      </c>
      <c r="T90" s="47" t="str">
        <f>IF(B90=0,"...",N90/VLOOKUP(IF(E90="ABIERTA",TODAY(),F90),CCL!$A$12:$B$773,2,FALSE)-J90/VLOOKUP(D90,CCL!$A$12:$B235,2,FALSE))</f>
        <v>...</v>
      </c>
      <c r="U90" s="2"/>
      <c r="V90" s="10"/>
      <c r="W90" s="59" t="str">
        <f t="shared" si="16"/>
        <v>...</v>
      </c>
      <c r="X90" s="12" t="str">
        <f t="shared" si="17"/>
        <v/>
      </c>
      <c r="Y90" s="45" t="str">
        <f t="shared" si="18"/>
        <v>...</v>
      </c>
      <c r="Z90" s="45" t="str">
        <f t="shared" si="19"/>
        <v>...</v>
      </c>
      <c r="AA90" s="12" t="str">
        <f t="shared" si="20"/>
        <v>...</v>
      </c>
      <c r="AB90" s="45" t="str">
        <f t="shared" si="21"/>
        <v>...</v>
      </c>
      <c r="AC90" s="45" t="str">
        <f t="shared" si="22"/>
        <v>...</v>
      </c>
      <c r="AD90" s="12" t="str">
        <f t="shared" si="23"/>
        <v>...</v>
      </c>
      <c r="AE90" s="46" t="str">
        <f t="shared" si="24"/>
        <v>...</v>
      </c>
      <c r="AF90" s="2"/>
      <c r="AG90" s="2"/>
      <c r="AH90" s="2"/>
      <c r="AI90" s="2"/>
      <c r="AJ90" s="2"/>
      <c r="AK90" s="2"/>
    </row>
    <row r="91" ht="24.0" customHeight="1">
      <c r="A91" s="4"/>
      <c r="B91" s="30"/>
      <c r="C91" s="5" t="str">
        <f>IFERROR(__xludf.DUMMYFUNCTION("if(B91=0,""..."", sparkline(query(GOOGLEFINANCE(""BCBA:""&amp;B91,""price"",today()-$AI$36,today()),""select Col2"",0),{""charttype"",$AI$35}))"),"...")</f>
        <v>...</v>
      </c>
      <c r="D91" s="17"/>
      <c r="E91" s="31"/>
      <c r="F91" s="7"/>
      <c r="G91" s="8" t="str">
        <f t="shared" si="1"/>
        <v>...</v>
      </c>
      <c r="H91" s="31"/>
      <c r="I91" s="52"/>
      <c r="J91" s="45" t="str">
        <f t="shared" si="2"/>
        <v>...</v>
      </c>
      <c r="K91" s="47" t="str">
        <f t="array" ref="K91">IF(B91=0,"...",J91/VLOOKUP(D91,{CCL!M:N;CCL!$P:$Q},2,FALSE))</f>
        <v>...</v>
      </c>
      <c r="L91" s="45" t="str">
        <f>IFERROR(__xludf.DUMMYFUNCTION("if(B91=0,""..."",if(E91=""CERRADA"",""Valor Venta"", GOOGLEFINANCE(""BCBA:""&amp;B91)))"),"...")</f>
        <v>...</v>
      </c>
      <c r="M91" s="45" t="str">
        <f>if(B91=0,"...",L91*(1-VLOOKUP(A91,Config!$B$3:$C$22,2,FALSE)))</f>
        <v>...</v>
      </c>
      <c r="N91" s="45" t="str">
        <f t="shared" si="3"/>
        <v>...</v>
      </c>
      <c r="O91" s="12" t="str">
        <f>IFERROR(__xludf.DUMMYFUNCTION("if(B91=0,""..."",GOOGLEFINANCE(B91,""changepct"")/100)"),"...")</f>
        <v>...</v>
      </c>
      <c r="P91" s="10" t="str">
        <f>IFERROR(__xludf.DUMMYFUNCTION("if(B91=0,""..."",GOOGLEFINANCE(B91,""change"")*H91)"),"...")</f>
        <v>...</v>
      </c>
      <c r="Q91" s="12" t="str">
        <f t="shared" si="4"/>
        <v>...</v>
      </c>
      <c r="R91" s="47" t="str">
        <f t="shared" si="5"/>
        <v>...</v>
      </c>
      <c r="S91" s="12" t="str">
        <f t="array" ref="S91">IF(B91=0,"...",(N91/IF(E91="ABIERTA",CCL!$E$2,VLOOKUP(F91,{CCL!M:N;CCL!$P:$Q},2,FALSE))/(J91/VLOOKUP(D91,{CCL!M:N;CCL!$P:$Q},2,FALSE))-1))</f>
        <v>...</v>
      </c>
      <c r="T91" s="47" t="str">
        <f>IF(B91=0,"...",N91/VLOOKUP(IF(E91="ABIERTA",TODAY(),F91),CCL!$A$12:$B$773,2,FALSE)-J91/VLOOKUP(D91,CCL!$A$12:$B235,2,FALSE))</f>
        <v>...</v>
      </c>
      <c r="U91" s="2"/>
      <c r="V91" s="10"/>
      <c r="W91" s="59" t="str">
        <f t="shared" si="16"/>
        <v>...</v>
      </c>
      <c r="X91" s="12" t="str">
        <f t="shared" si="17"/>
        <v/>
      </c>
      <c r="Y91" s="45" t="str">
        <f t="shared" si="18"/>
        <v>...</v>
      </c>
      <c r="Z91" s="45" t="str">
        <f t="shared" si="19"/>
        <v>...</v>
      </c>
      <c r="AA91" s="12" t="str">
        <f t="shared" si="20"/>
        <v>...</v>
      </c>
      <c r="AB91" s="45" t="str">
        <f t="shared" si="21"/>
        <v>...</v>
      </c>
      <c r="AC91" s="45" t="str">
        <f t="shared" si="22"/>
        <v>...</v>
      </c>
      <c r="AD91" s="12" t="str">
        <f t="shared" si="23"/>
        <v>...</v>
      </c>
      <c r="AE91" s="46" t="str">
        <f t="shared" si="24"/>
        <v>...</v>
      </c>
      <c r="AF91" s="2"/>
      <c r="AG91" s="2"/>
      <c r="AH91" s="2"/>
      <c r="AI91" s="2"/>
      <c r="AJ91" s="2"/>
      <c r="AK91" s="2"/>
    </row>
    <row r="92" ht="24.0" customHeight="1">
      <c r="A92" s="4"/>
      <c r="B92" s="30"/>
      <c r="C92" s="5" t="str">
        <f>IFERROR(__xludf.DUMMYFUNCTION("if(B92=0,""..."", sparkline(query(GOOGLEFINANCE(""BCBA:""&amp;B92,""price"",today()-$AI$36,today()),""select Col2"",0),{""charttype"",$AI$35}))"),"...")</f>
        <v>...</v>
      </c>
      <c r="D92" s="17"/>
      <c r="E92" s="31"/>
      <c r="F92" s="7"/>
      <c r="G92" s="8" t="str">
        <f t="shared" si="1"/>
        <v>...</v>
      </c>
      <c r="H92" s="31"/>
      <c r="I92" s="52"/>
      <c r="J92" s="45" t="str">
        <f t="shared" si="2"/>
        <v>...</v>
      </c>
      <c r="K92" s="47" t="str">
        <f t="array" ref="K92">IF(B92=0,"...",J92/VLOOKUP(D92,{CCL!M:N;CCL!$P:$Q},2,FALSE))</f>
        <v>...</v>
      </c>
      <c r="L92" s="45" t="str">
        <f>IFERROR(__xludf.DUMMYFUNCTION("if(B92=0,""..."",if(E92=""CERRADA"",""Valor Venta"", GOOGLEFINANCE(""BCBA:""&amp;B92)))"),"...")</f>
        <v>...</v>
      </c>
      <c r="M92" s="45" t="str">
        <f>if(B92=0,"...",L92*(1-VLOOKUP(A92,Config!$B$3:$C$22,2,FALSE)))</f>
        <v>...</v>
      </c>
      <c r="N92" s="45" t="str">
        <f t="shared" si="3"/>
        <v>...</v>
      </c>
      <c r="O92" s="12" t="str">
        <f>IFERROR(__xludf.DUMMYFUNCTION("if(B92=0,""..."",GOOGLEFINANCE(B92,""changepct"")/100)"),"...")</f>
        <v>...</v>
      </c>
      <c r="P92" s="10" t="str">
        <f>IFERROR(__xludf.DUMMYFUNCTION("if(B92=0,""..."",GOOGLEFINANCE(B92,""change"")*H92)"),"...")</f>
        <v>...</v>
      </c>
      <c r="Q92" s="12" t="str">
        <f t="shared" si="4"/>
        <v>...</v>
      </c>
      <c r="R92" s="47" t="str">
        <f t="shared" si="5"/>
        <v>...</v>
      </c>
      <c r="S92" s="12" t="str">
        <f t="array" ref="S92">IF(B92=0,"...",(N92/IF(E92="ABIERTA",CCL!$E$2,VLOOKUP(F92,{CCL!M:N;CCL!$P:$Q},2,FALSE))/(J92/VLOOKUP(D92,{CCL!M:N;CCL!$P:$Q},2,FALSE))-1))</f>
        <v>...</v>
      </c>
      <c r="T92" s="47" t="str">
        <f>IF(B92=0,"...",N92/VLOOKUP(IF(E92="ABIERTA",TODAY(),F92),CCL!$A$12:$B$773,2,FALSE)-J92/VLOOKUP(D92,CCL!$A$12:$B235,2,FALSE))</f>
        <v>...</v>
      </c>
      <c r="U92" s="2"/>
      <c r="V92" s="10"/>
      <c r="W92" s="59" t="str">
        <f t="shared" si="16"/>
        <v>...</v>
      </c>
      <c r="X92" s="12" t="str">
        <f t="shared" si="17"/>
        <v/>
      </c>
      <c r="Y92" s="45" t="str">
        <f t="shared" si="18"/>
        <v>...</v>
      </c>
      <c r="Z92" s="45" t="str">
        <f t="shared" si="19"/>
        <v>...</v>
      </c>
      <c r="AA92" s="12" t="str">
        <f t="shared" si="20"/>
        <v>...</v>
      </c>
      <c r="AB92" s="45" t="str">
        <f t="shared" si="21"/>
        <v>...</v>
      </c>
      <c r="AC92" s="45" t="str">
        <f t="shared" si="22"/>
        <v>...</v>
      </c>
      <c r="AD92" s="12" t="str">
        <f t="shared" si="23"/>
        <v>...</v>
      </c>
      <c r="AE92" s="46" t="str">
        <f t="shared" si="24"/>
        <v>...</v>
      </c>
      <c r="AF92" s="2"/>
      <c r="AG92" s="2"/>
      <c r="AH92" s="2"/>
      <c r="AI92" s="2"/>
      <c r="AJ92" s="2"/>
      <c r="AK92" s="2"/>
    </row>
    <row r="93" ht="24.0" customHeight="1">
      <c r="A93" s="4"/>
      <c r="B93" s="30"/>
      <c r="C93" s="5" t="str">
        <f>IFERROR(__xludf.DUMMYFUNCTION("if(B93=0,""..."", sparkline(query(GOOGLEFINANCE(""BCBA:""&amp;B93,""price"",today()-$AI$36,today()),""select Col2"",0),{""charttype"",$AI$35}))"),"...")</f>
        <v>...</v>
      </c>
      <c r="D93" s="17"/>
      <c r="E93" s="31"/>
      <c r="F93" s="7"/>
      <c r="G93" s="8" t="str">
        <f t="shared" si="1"/>
        <v>...</v>
      </c>
      <c r="H93" s="31"/>
      <c r="I93" s="52"/>
      <c r="J93" s="45" t="str">
        <f t="shared" si="2"/>
        <v>...</v>
      </c>
      <c r="K93" s="47" t="str">
        <f t="array" ref="K93">IF(B93=0,"...",J93/VLOOKUP(D93,{CCL!M:N;CCL!$P:$Q},2,FALSE))</f>
        <v>...</v>
      </c>
      <c r="L93" s="45" t="str">
        <f>IFERROR(__xludf.DUMMYFUNCTION("if(B93=0,""..."",if(E93=""CERRADA"",""Valor Venta"", GOOGLEFINANCE(""BCBA:""&amp;B93)))"),"...")</f>
        <v>...</v>
      </c>
      <c r="M93" s="45" t="str">
        <f>if(B93=0,"...",L93*(1-VLOOKUP(A93,Config!$B$3:$C$22,2,FALSE)))</f>
        <v>...</v>
      </c>
      <c r="N93" s="45" t="str">
        <f t="shared" si="3"/>
        <v>...</v>
      </c>
      <c r="O93" s="12" t="str">
        <f>IFERROR(__xludf.DUMMYFUNCTION("if(B93=0,""..."",GOOGLEFINANCE(B93,""changepct"")/100)"),"...")</f>
        <v>...</v>
      </c>
      <c r="P93" s="10" t="str">
        <f>IFERROR(__xludf.DUMMYFUNCTION("if(B93=0,""..."",GOOGLEFINANCE(B93,""change"")*H93)"),"...")</f>
        <v>...</v>
      </c>
      <c r="Q93" s="12" t="str">
        <f t="shared" si="4"/>
        <v>...</v>
      </c>
      <c r="R93" s="47" t="str">
        <f t="shared" si="5"/>
        <v>...</v>
      </c>
      <c r="S93" s="12" t="str">
        <f t="array" ref="S93">IF(B93=0,"...",(N93/IF(E93="ABIERTA",CCL!$E$2,VLOOKUP(F93,{CCL!M:N;CCL!$P:$Q},2,FALSE))/(J93/VLOOKUP(D93,{CCL!M:N;CCL!$P:$Q},2,FALSE))-1))</f>
        <v>...</v>
      </c>
      <c r="T93" s="47" t="str">
        <f>IF(B93=0,"...",N93/VLOOKUP(IF(E93="ABIERTA",TODAY(),F93),CCL!$A$12:$B$773,2,FALSE)-J93/VLOOKUP(D93,CCL!$A$12:$B235,2,FALSE))</f>
        <v>...</v>
      </c>
      <c r="U93" s="2"/>
      <c r="V93" s="10"/>
      <c r="W93" s="59" t="str">
        <f t="shared" si="16"/>
        <v>...</v>
      </c>
      <c r="X93" s="12" t="str">
        <f t="shared" si="17"/>
        <v/>
      </c>
      <c r="Y93" s="45" t="str">
        <f t="shared" si="18"/>
        <v>...</v>
      </c>
      <c r="Z93" s="45" t="str">
        <f t="shared" si="19"/>
        <v>...</v>
      </c>
      <c r="AA93" s="12" t="str">
        <f t="shared" si="20"/>
        <v>...</v>
      </c>
      <c r="AB93" s="45" t="str">
        <f t="shared" si="21"/>
        <v>...</v>
      </c>
      <c r="AC93" s="45" t="str">
        <f t="shared" si="22"/>
        <v>...</v>
      </c>
      <c r="AD93" s="12" t="str">
        <f t="shared" si="23"/>
        <v>...</v>
      </c>
      <c r="AE93" s="46" t="str">
        <f t="shared" si="24"/>
        <v>...</v>
      </c>
      <c r="AF93" s="2"/>
      <c r="AG93" s="2"/>
      <c r="AH93" s="2"/>
      <c r="AI93" s="2"/>
      <c r="AJ93" s="2"/>
      <c r="AK93" s="2"/>
    </row>
    <row r="94" ht="24.0" customHeight="1">
      <c r="A94" s="4"/>
      <c r="B94" s="30"/>
      <c r="C94" s="5" t="str">
        <f>IFERROR(__xludf.DUMMYFUNCTION("if(B94=0,""..."", sparkline(query(GOOGLEFINANCE(""BCBA:""&amp;B94,""price"",today()-$AI$36,today()),""select Col2"",0),{""charttype"",$AI$35}))"),"...")</f>
        <v>...</v>
      </c>
      <c r="D94" s="17"/>
      <c r="E94" s="31"/>
      <c r="F94" s="7"/>
      <c r="G94" s="8" t="str">
        <f t="shared" si="1"/>
        <v>...</v>
      </c>
      <c r="H94" s="31"/>
      <c r="I94" s="52"/>
      <c r="J94" s="45" t="str">
        <f t="shared" si="2"/>
        <v>...</v>
      </c>
      <c r="K94" s="47" t="str">
        <f t="array" ref="K94">IF(B94=0,"...",J94/VLOOKUP(D94,{CCL!M:N;CCL!$P:$Q},2,FALSE))</f>
        <v>...</v>
      </c>
      <c r="L94" s="45" t="str">
        <f>IFERROR(__xludf.DUMMYFUNCTION("if(B94=0,""..."",if(E94=""CERRADA"",""Valor Venta"", GOOGLEFINANCE(""BCBA:""&amp;B94)))"),"...")</f>
        <v>...</v>
      </c>
      <c r="M94" s="45" t="str">
        <f>if(B94=0,"...",L94*(1-VLOOKUP(A94,Config!$B$3:$C$22,2,FALSE)))</f>
        <v>...</v>
      </c>
      <c r="N94" s="45" t="str">
        <f t="shared" si="3"/>
        <v>...</v>
      </c>
      <c r="O94" s="12" t="str">
        <f>IFERROR(__xludf.DUMMYFUNCTION("if(B94=0,""..."",GOOGLEFINANCE(B94,""changepct"")/100)"),"...")</f>
        <v>...</v>
      </c>
      <c r="P94" s="10" t="str">
        <f>IFERROR(__xludf.DUMMYFUNCTION("if(B94=0,""..."",GOOGLEFINANCE(B94,""change"")*H94)"),"...")</f>
        <v>...</v>
      </c>
      <c r="Q94" s="12" t="str">
        <f t="shared" si="4"/>
        <v>...</v>
      </c>
      <c r="R94" s="47" t="str">
        <f t="shared" si="5"/>
        <v>...</v>
      </c>
      <c r="S94" s="12" t="str">
        <f t="array" ref="S94">IF(B94=0,"...",(N94/IF(E94="ABIERTA",CCL!$E$2,VLOOKUP(F94,{CCL!M:N;CCL!$P:$Q},2,FALSE))/(J94/VLOOKUP(D94,{CCL!M:N;CCL!$P:$Q},2,FALSE))-1))</f>
        <v>...</v>
      </c>
      <c r="T94" s="47" t="str">
        <f>IF(B94=0,"...",N94/VLOOKUP(IF(E94="ABIERTA",TODAY(),F94),CCL!$A$12:$B$773,2,FALSE)-J94/VLOOKUP(D94,CCL!$A$12:$B235,2,FALSE))</f>
        <v>...</v>
      </c>
      <c r="U94" s="2"/>
      <c r="V94" s="10"/>
      <c r="W94" s="59" t="str">
        <f t="shared" si="16"/>
        <v>...</v>
      </c>
      <c r="X94" s="12" t="str">
        <f t="shared" si="17"/>
        <v/>
      </c>
      <c r="Y94" s="45" t="str">
        <f t="shared" si="18"/>
        <v>...</v>
      </c>
      <c r="Z94" s="45" t="str">
        <f t="shared" si="19"/>
        <v>...</v>
      </c>
      <c r="AA94" s="12" t="str">
        <f t="shared" si="20"/>
        <v>...</v>
      </c>
      <c r="AB94" s="45" t="str">
        <f t="shared" si="21"/>
        <v>...</v>
      </c>
      <c r="AC94" s="45" t="str">
        <f t="shared" si="22"/>
        <v>...</v>
      </c>
      <c r="AD94" s="12" t="str">
        <f t="shared" si="23"/>
        <v>...</v>
      </c>
      <c r="AE94" s="46" t="str">
        <f t="shared" si="24"/>
        <v>...</v>
      </c>
      <c r="AF94" s="2"/>
      <c r="AG94" s="2"/>
      <c r="AH94" s="2"/>
      <c r="AI94" s="2"/>
      <c r="AJ94" s="2"/>
      <c r="AK94" s="2"/>
    </row>
    <row r="95" ht="24.0" customHeight="1">
      <c r="A95" s="4"/>
      <c r="B95" s="30"/>
      <c r="C95" s="5" t="str">
        <f>IFERROR(__xludf.DUMMYFUNCTION("if(B95=0,""..."", sparkline(query(GOOGLEFINANCE(""BCBA:""&amp;B95,""price"",today()-$AI$36,today()),""select Col2"",0),{""charttype"",$AI$35}))"),"...")</f>
        <v>...</v>
      </c>
      <c r="D95" s="17"/>
      <c r="E95" s="31"/>
      <c r="F95" s="7"/>
      <c r="G95" s="8" t="str">
        <f t="shared" si="1"/>
        <v>...</v>
      </c>
      <c r="H95" s="31"/>
      <c r="I95" s="52"/>
      <c r="J95" s="45" t="str">
        <f t="shared" si="2"/>
        <v>...</v>
      </c>
      <c r="K95" s="47" t="str">
        <f t="array" ref="K95">IF(B95=0,"...",J95/VLOOKUP(D95,{CCL!M:N;CCL!$P:$Q},2,FALSE))</f>
        <v>...</v>
      </c>
      <c r="L95" s="45" t="str">
        <f>IFERROR(__xludf.DUMMYFUNCTION("if(B95=0,""..."",if(E95=""CERRADA"",""Valor Venta"", GOOGLEFINANCE(""BCBA:""&amp;B95)))"),"...")</f>
        <v>...</v>
      </c>
      <c r="M95" s="45" t="str">
        <f>if(B95=0,"...",L95*(1-VLOOKUP(A95,Config!$B$3:$C$22,2,FALSE)))</f>
        <v>...</v>
      </c>
      <c r="N95" s="45" t="str">
        <f t="shared" si="3"/>
        <v>...</v>
      </c>
      <c r="O95" s="12" t="str">
        <f>IFERROR(__xludf.DUMMYFUNCTION("if(B95=0,""..."",GOOGLEFINANCE(B95,""changepct"")/100)"),"...")</f>
        <v>...</v>
      </c>
      <c r="P95" s="10" t="str">
        <f>IFERROR(__xludf.DUMMYFUNCTION("if(B95=0,""..."",GOOGLEFINANCE(B95,""change"")*H95)"),"...")</f>
        <v>...</v>
      </c>
      <c r="Q95" s="12" t="str">
        <f t="shared" si="4"/>
        <v>...</v>
      </c>
      <c r="R95" s="47" t="str">
        <f t="shared" si="5"/>
        <v>...</v>
      </c>
      <c r="S95" s="12" t="str">
        <f t="array" ref="S95">IF(B95=0,"...",(N95/IF(E95="ABIERTA",CCL!$E$2,VLOOKUP(F95,{CCL!M:N;CCL!$P:$Q},2,FALSE))/(J95/VLOOKUP(D95,{CCL!M:N;CCL!$P:$Q},2,FALSE))-1))</f>
        <v>...</v>
      </c>
      <c r="T95" s="47" t="str">
        <f>IF(B95=0,"...",N95/VLOOKUP(IF(E95="ABIERTA",TODAY(),F95),CCL!$A$12:$B$773,2,FALSE)-J95/VLOOKUP(D95,CCL!$A$12:$B235,2,FALSE))</f>
        <v>...</v>
      </c>
      <c r="U95" s="2"/>
      <c r="V95" s="10"/>
      <c r="W95" s="59" t="str">
        <f t="shared" si="16"/>
        <v>...</v>
      </c>
      <c r="X95" s="12" t="str">
        <f t="shared" si="17"/>
        <v/>
      </c>
      <c r="Y95" s="45" t="str">
        <f t="shared" si="18"/>
        <v>...</v>
      </c>
      <c r="Z95" s="45" t="str">
        <f t="shared" si="19"/>
        <v>...</v>
      </c>
      <c r="AA95" s="12" t="str">
        <f t="shared" si="20"/>
        <v>...</v>
      </c>
      <c r="AB95" s="45" t="str">
        <f t="shared" si="21"/>
        <v>...</v>
      </c>
      <c r="AC95" s="45" t="str">
        <f t="shared" si="22"/>
        <v>...</v>
      </c>
      <c r="AD95" s="12" t="str">
        <f t="shared" si="23"/>
        <v>...</v>
      </c>
      <c r="AE95" s="46" t="str">
        <f t="shared" si="24"/>
        <v>...</v>
      </c>
      <c r="AF95" s="2"/>
      <c r="AG95" s="2"/>
      <c r="AH95" s="2"/>
      <c r="AI95" s="2"/>
      <c r="AJ95" s="2"/>
      <c r="AK95" s="2"/>
    </row>
    <row r="96" ht="24.0" customHeight="1">
      <c r="A96" s="4"/>
      <c r="B96" s="30"/>
      <c r="C96" s="5" t="str">
        <f>IFERROR(__xludf.DUMMYFUNCTION("if(B96=0,""..."", sparkline(query(GOOGLEFINANCE(""BCBA:""&amp;B96,""price"",today()-$AI$36,today()),""select Col2"",0),{""charttype"",$AI$35}))"),"...")</f>
        <v>...</v>
      </c>
      <c r="D96" s="17"/>
      <c r="E96" s="31"/>
      <c r="F96" s="7"/>
      <c r="G96" s="8" t="str">
        <f t="shared" si="1"/>
        <v>...</v>
      </c>
      <c r="H96" s="31"/>
      <c r="I96" s="52"/>
      <c r="J96" s="45" t="str">
        <f t="shared" si="2"/>
        <v>...</v>
      </c>
      <c r="K96" s="47" t="str">
        <f t="array" ref="K96">IF(B96=0,"...",J96/VLOOKUP(D96,{CCL!M:N;CCL!$P:$Q},2,FALSE))</f>
        <v>...</v>
      </c>
      <c r="L96" s="45" t="str">
        <f>IFERROR(__xludf.DUMMYFUNCTION("if(B96=0,""..."",if(E96=""CERRADA"",""Valor Venta"", GOOGLEFINANCE(""BCBA:""&amp;B96)))"),"...")</f>
        <v>...</v>
      </c>
      <c r="M96" s="45" t="str">
        <f>if(B96=0,"...",L96*(1-VLOOKUP(A96,Config!$B$3:$C$22,2,FALSE)))</f>
        <v>...</v>
      </c>
      <c r="N96" s="45" t="str">
        <f t="shared" si="3"/>
        <v>...</v>
      </c>
      <c r="O96" s="12" t="str">
        <f>IFERROR(__xludf.DUMMYFUNCTION("if(B96=0,""..."",GOOGLEFINANCE(B96,""changepct"")/100)"),"...")</f>
        <v>...</v>
      </c>
      <c r="P96" s="10" t="str">
        <f>IFERROR(__xludf.DUMMYFUNCTION("if(B96=0,""..."",GOOGLEFINANCE(B96,""change"")*H96)"),"...")</f>
        <v>...</v>
      </c>
      <c r="Q96" s="12" t="str">
        <f t="shared" si="4"/>
        <v>...</v>
      </c>
      <c r="R96" s="47" t="str">
        <f t="shared" si="5"/>
        <v>...</v>
      </c>
      <c r="S96" s="12" t="str">
        <f t="array" ref="S96">IF(B96=0,"...",(N96/IF(E96="ABIERTA",CCL!$E$2,VLOOKUP(F96,{CCL!M:N;CCL!$P:$Q},2,FALSE))/(J96/VLOOKUP(D96,{CCL!M:N;CCL!$P:$Q},2,FALSE))-1))</f>
        <v>...</v>
      </c>
      <c r="T96" s="47" t="str">
        <f>IF(B96=0,"...",N96/VLOOKUP(IF(E96="ABIERTA",TODAY(),F96),CCL!$A$12:$B$773,2,FALSE)-J96/VLOOKUP(D96,CCL!$A$12:$B235,2,FALSE))</f>
        <v>...</v>
      </c>
      <c r="U96" s="2"/>
      <c r="V96" s="10"/>
      <c r="W96" s="59" t="str">
        <f t="shared" si="16"/>
        <v>...</v>
      </c>
      <c r="X96" s="12" t="str">
        <f t="shared" si="17"/>
        <v/>
      </c>
      <c r="Y96" s="45" t="str">
        <f t="shared" si="18"/>
        <v>...</v>
      </c>
      <c r="Z96" s="45" t="str">
        <f t="shared" si="19"/>
        <v>...</v>
      </c>
      <c r="AA96" s="12" t="str">
        <f t="shared" si="20"/>
        <v>...</v>
      </c>
      <c r="AB96" s="45" t="str">
        <f t="shared" si="21"/>
        <v>...</v>
      </c>
      <c r="AC96" s="45" t="str">
        <f t="shared" si="22"/>
        <v>...</v>
      </c>
      <c r="AD96" s="12" t="str">
        <f t="shared" si="23"/>
        <v>...</v>
      </c>
      <c r="AE96" s="46" t="str">
        <f t="shared" si="24"/>
        <v>...</v>
      </c>
      <c r="AF96" s="2"/>
      <c r="AG96" s="2"/>
      <c r="AH96" s="2"/>
      <c r="AI96" s="2"/>
      <c r="AJ96" s="2"/>
      <c r="AK96" s="2"/>
    </row>
    <row r="97" ht="24.0" customHeight="1">
      <c r="A97" s="4"/>
      <c r="B97" s="30"/>
      <c r="C97" s="5" t="str">
        <f>IFERROR(__xludf.DUMMYFUNCTION("if(B97=0,""..."", sparkline(query(GOOGLEFINANCE(""BCBA:""&amp;B97,""price"",today()-$AI$36,today()),""select Col2"",0),{""charttype"",$AI$35}))"),"...")</f>
        <v>...</v>
      </c>
      <c r="D97" s="17"/>
      <c r="E97" s="31"/>
      <c r="F97" s="7"/>
      <c r="G97" s="8" t="str">
        <f t="shared" si="1"/>
        <v>...</v>
      </c>
      <c r="H97" s="31"/>
      <c r="I97" s="52"/>
      <c r="J97" s="45" t="str">
        <f t="shared" si="2"/>
        <v>...</v>
      </c>
      <c r="K97" s="47" t="str">
        <f t="array" ref="K97">IF(B97=0,"...",J97/VLOOKUP(D97,{CCL!M:N;CCL!$P:$Q},2,FALSE))</f>
        <v>...</v>
      </c>
      <c r="L97" s="45" t="str">
        <f>IFERROR(__xludf.DUMMYFUNCTION("if(B97=0,""..."",if(E97=""CERRADA"",""Valor Venta"", GOOGLEFINANCE(""BCBA:""&amp;B97)))"),"...")</f>
        <v>...</v>
      </c>
      <c r="M97" s="45" t="str">
        <f>if(B97=0,"...",L97*(1-VLOOKUP(A97,Config!$B$3:$C$22,2,FALSE)))</f>
        <v>...</v>
      </c>
      <c r="N97" s="45" t="str">
        <f t="shared" si="3"/>
        <v>...</v>
      </c>
      <c r="O97" s="12" t="str">
        <f>IFERROR(__xludf.DUMMYFUNCTION("if(B97=0,""..."",GOOGLEFINANCE(B97,""changepct"")/100)"),"...")</f>
        <v>...</v>
      </c>
      <c r="P97" s="10" t="str">
        <f>IFERROR(__xludf.DUMMYFUNCTION("if(B97=0,""..."",GOOGLEFINANCE(B97,""change"")*H97)"),"...")</f>
        <v>...</v>
      </c>
      <c r="Q97" s="12" t="str">
        <f t="shared" si="4"/>
        <v>...</v>
      </c>
      <c r="R97" s="47" t="str">
        <f t="shared" si="5"/>
        <v>...</v>
      </c>
      <c r="S97" s="12" t="str">
        <f t="array" ref="S97">IF(B97=0,"...",(N97/IF(E97="ABIERTA",CCL!$E$2,VLOOKUP(F97,{CCL!M:N;CCL!$P:$Q},2,FALSE))/(J97/VLOOKUP(D97,{CCL!M:N;CCL!$P:$Q},2,FALSE))-1))</f>
        <v>...</v>
      </c>
      <c r="T97" s="47" t="str">
        <f>IF(B97=0,"...",N97/VLOOKUP(IF(E97="ABIERTA",TODAY(),F97),CCL!$A$12:$B$773,2,FALSE)-J97/VLOOKUP(D97,CCL!$A$12:$B235,2,FALSE))</f>
        <v>...</v>
      </c>
      <c r="U97" s="2"/>
      <c r="V97" s="10"/>
      <c r="W97" s="59" t="str">
        <f t="shared" si="16"/>
        <v>...</v>
      </c>
      <c r="X97" s="12" t="str">
        <f t="shared" si="17"/>
        <v/>
      </c>
      <c r="Y97" s="45" t="str">
        <f t="shared" si="18"/>
        <v>...</v>
      </c>
      <c r="Z97" s="45" t="str">
        <f t="shared" si="19"/>
        <v>...</v>
      </c>
      <c r="AA97" s="12" t="str">
        <f t="shared" si="20"/>
        <v>...</v>
      </c>
      <c r="AB97" s="45" t="str">
        <f t="shared" si="21"/>
        <v>...</v>
      </c>
      <c r="AC97" s="45" t="str">
        <f t="shared" si="22"/>
        <v>...</v>
      </c>
      <c r="AD97" s="12" t="str">
        <f t="shared" si="23"/>
        <v>...</v>
      </c>
      <c r="AE97" s="46" t="str">
        <f t="shared" si="24"/>
        <v>...</v>
      </c>
      <c r="AF97" s="2"/>
      <c r="AG97" s="2"/>
      <c r="AH97" s="2"/>
      <c r="AI97" s="2"/>
      <c r="AJ97" s="2"/>
      <c r="AK97" s="2"/>
    </row>
    <row r="98" ht="24.0" customHeight="1">
      <c r="A98" s="4"/>
      <c r="B98" s="30"/>
      <c r="C98" s="5" t="str">
        <f>IFERROR(__xludf.DUMMYFUNCTION("if(B98=0,""..."", sparkline(query(GOOGLEFINANCE(""BCBA:""&amp;B98,""price"",today()-$AI$36,today()),""select Col2"",0),{""charttype"",$AI$35}))"),"...")</f>
        <v>...</v>
      </c>
      <c r="D98" s="17"/>
      <c r="E98" s="31"/>
      <c r="F98" s="7"/>
      <c r="G98" s="8" t="str">
        <f t="shared" si="1"/>
        <v>...</v>
      </c>
      <c r="H98" s="31"/>
      <c r="I98" s="52"/>
      <c r="J98" s="45" t="str">
        <f t="shared" si="2"/>
        <v>...</v>
      </c>
      <c r="K98" s="47" t="str">
        <f t="array" ref="K98">IF(B98=0,"...",J98/VLOOKUP(D98,{CCL!M:N;CCL!$P:$Q},2,FALSE))</f>
        <v>...</v>
      </c>
      <c r="L98" s="45" t="str">
        <f>IFERROR(__xludf.DUMMYFUNCTION("if(B98=0,""..."",if(E98=""CERRADA"",""Valor Venta"", GOOGLEFINANCE(""BCBA:""&amp;B98)))"),"...")</f>
        <v>...</v>
      </c>
      <c r="M98" s="45" t="str">
        <f>if(B98=0,"...",L98*(1-VLOOKUP(A98,Config!$B$3:$C$22,2,FALSE)))</f>
        <v>...</v>
      </c>
      <c r="N98" s="45" t="str">
        <f t="shared" si="3"/>
        <v>...</v>
      </c>
      <c r="O98" s="12" t="str">
        <f>IFERROR(__xludf.DUMMYFUNCTION("if(B98=0,""..."",GOOGLEFINANCE(B98,""changepct"")/100)"),"...")</f>
        <v>...</v>
      </c>
      <c r="P98" s="10" t="str">
        <f>IFERROR(__xludf.DUMMYFUNCTION("if(B98=0,""..."",GOOGLEFINANCE(B98,""change"")*H98)"),"...")</f>
        <v>...</v>
      </c>
      <c r="Q98" s="12" t="str">
        <f t="shared" si="4"/>
        <v>...</v>
      </c>
      <c r="R98" s="47" t="str">
        <f t="shared" si="5"/>
        <v>...</v>
      </c>
      <c r="S98" s="12" t="str">
        <f t="array" ref="S98">IF(B98=0,"...",(N98/IF(E98="ABIERTA",CCL!$E$2,VLOOKUP(F98,{CCL!M:N;CCL!$P:$Q},2,FALSE))/(J98/VLOOKUP(D98,{CCL!M:N;CCL!$P:$Q},2,FALSE))-1))</f>
        <v>...</v>
      </c>
      <c r="T98" s="47" t="str">
        <f>IF(B98=0,"...",N98/VLOOKUP(IF(E98="ABIERTA",TODAY(),F98),CCL!$A$12:$B$773,2,FALSE)-J98/VLOOKUP(D98,CCL!$A$12:$B235,2,FALSE))</f>
        <v>...</v>
      </c>
      <c r="U98" s="2"/>
      <c r="V98" s="10"/>
      <c r="W98" s="59" t="str">
        <f t="shared" si="16"/>
        <v>...</v>
      </c>
      <c r="X98" s="12" t="str">
        <f t="shared" si="17"/>
        <v/>
      </c>
      <c r="Y98" s="45" t="str">
        <f t="shared" si="18"/>
        <v>...</v>
      </c>
      <c r="Z98" s="45" t="str">
        <f t="shared" si="19"/>
        <v>...</v>
      </c>
      <c r="AA98" s="12" t="str">
        <f t="shared" si="20"/>
        <v>...</v>
      </c>
      <c r="AB98" s="45" t="str">
        <f t="shared" si="21"/>
        <v>...</v>
      </c>
      <c r="AC98" s="45" t="str">
        <f t="shared" si="22"/>
        <v>...</v>
      </c>
      <c r="AD98" s="12" t="str">
        <f t="shared" si="23"/>
        <v>...</v>
      </c>
      <c r="AE98" s="46" t="str">
        <f t="shared" si="24"/>
        <v>...</v>
      </c>
      <c r="AF98" s="2"/>
      <c r="AG98" s="2"/>
      <c r="AH98" s="2"/>
      <c r="AI98" s="2"/>
      <c r="AJ98" s="2"/>
      <c r="AK98" s="2"/>
    </row>
    <row r="99" ht="24.0" customHeight="1">
      <c r="A99" s="4"/>
      <c r="B99" s="30"/>
      <c r="C99" s="5" t="str">
        <f>IFERROR(__xludf.DUMMYFUNCTION("if(B99=0,""..."", sparkline(query(GOOGLEFINANCE(""BCBA:""&amp;B99,""price"",today()-$AI$36,today()),""select Col2"",0),{""charttype"",$AI$35}))"),"...")</f>
        <v>...</v>
      </c>
      <c r="D99" s="17"/>
      <c r="E99" s="31"/>
      <c r="F99" s="7"/>
      <c r="G99" s="8" t="str">
        <f t="shared" si="1"/>
        <v>...</v>
      </c>
      <c r="H99" s="31"/>
      <c r="I99" s="52"/>
      <c r="J99" s="45" t="str">
        <f t="shared" si="2"/>
        <v>...</v>
      </c>
      <c r="K99" s="47" t="str">
        <f t="array" ref="K99">IF(B99=0,"...",J99/VLOOKUP(D99,{CCL!M:N;CCL!$P:$Q},2,FALSE))</f>
        <v>...</v>
      </c>
      <c r="L99" s="45" t="str">
        <f>IFERROR(__xludf.DUMMYFUNCTION("if(B99=0,""..."",if(E99=""CERRADA"",""Valor Venta"", GOOGLEFINANCE(""BCBA:""&amp;B99)))"),"...")</f>
        <v>...</v>
      </c>
      <c r="M99" s="45" t="str">
        <f>if(B99=0,"...",L99*(1-VLOOKUP(A99,Config!$B$3:$C$22,2,FALSE)))</f>
        <v>...</v>
      </c>
      <c r="N99" s="45" t="str">
        <f t="shared" si="3"/>
        <v>...</v>
      </c>
      <c r="O99" s="12" t="str">
        <f>IFERROR(__xludf.DUMMYFUNCTION("if(B99=0,""..."",GOOGLEFINANCE(B99,""changepct"")/100)"),"...")</f>
        <v>...</v>
      </c>
      <c r="P99" s="10" t="str">
        <f>IFERROR(__xludf.DUMMYFUNCTION("if(B99=0,""..."",GOOGLEFINANCE(B99,""change"")*H99)"),"...")</f>
        <v>...</v>
      </c>
      <c r="Q99" s="12" t="str">
        <f t="shared" si="4"/>
        <v>...</v>
      </c>
      <c r="R99" s="47" t="str">
        <f t="shared" si="5"/>
        <v>...</v>
      </c>
      <c r="S99" s="12" t="str">
        <f t="array" ref="S99">IF(B99=0,"...",(N99/IF(E99="ABIERTA",CCL!$E$2,VLOOKUP(F99,{CCL!M:N;CCL!$P:$Q},2,FALSE))/(J99/VLOOKUP(D99,{CCL!M:N;CCL!$P:$Q},2,FALSE))-1))</f>
        <v>...</v>
      </c>
      <c r="T99" s="47" t="str">
        <f>IF(B99=0,"...",N99/VLOOKUP(IF(E99="ABIERTA",TODAY(),F99),CCL!$A$12:$B$773,2,FALSE)-J99/VLOOKUP(D99,CCL!$A$12:$B235,2,FALSE))</f>
        <v>...</v>
      </c>
      <c r="U99" s="2"/>
      <c r="V99" s="10"/>
      <c r="W99" s="59" t="str">
        <f t="shared" si="16"/>
        <v>...</v>
      </c>
      <c r="X99" s="12" t="str">
        <f t="shared" si="17"/>
        <v/>
      </c>
      <c r="Y99" s="45" t="str">
        <f t="shared" si="18"/>
        <v>...</v>
      </c>
      <c r="Z99" s="45" t="str">
        <f t="shared" si="19"/>
        <v>...</v>
      </c>
      <c r="AA99" s="12" t="str">
        <f t="shared" si="20"/>
        <v>...</v>
      </c>
      <c r="AB99" s="45" t="str">
        <f t="shared" si="21"/>
        <v>...</v>
      </c>
      <c r="AC99" s="45" t="str">
        <f t="shared" si="22"/>
        <v>...</v>
      </c>
      <c r="AD99" s="12" t="str">
        <f t="shared" si="23"/>
        <v>...</v>
      </c>
      <c r="AE99" s="46" t="str">
        <f t="shared" si="24"/>
        <v>...</v>
      </c>
      <c r="AF99" s="2"/>
      <c r="AG99" s="2"/>
      <c r="AH99" s="2"/>
      <c r="AI99" s="2"/>
      <c r="AJ99" s="2"/>
      <c r="AK99" s="2"/>
    </row>
    <row r="100" ht="24.0" customHeight="1">
      <c r="A100" s="4"/>
      <c r="B100" s="30"/>
      <c r="C100" s="5" t="str">
        <f>IFERROR(__xludf.DUMMYFUNCTION("if(B100=0,""..."", sparkline(query(GOOGLEFINANCE(""BCBA:""&amp;B100,""price"",today()-$AI$36,today()),""select Col2"",0),{""charttype"",$AI$35}))"),"...")</f>
        <v>...</v>
      </c>
      <c r="D100" s="17"/>
      <c r="E100" s="31"/>
      <c r="F100" s="7"/>
      <c r="G100" s="8" t="str">
        <f t="shared" si="1"/>
        <v>...</v>
      </c>
      <c r="H100" s="31"/>
      <c r="I100" s="52"/>
      <c r="J100" s="45" t="str">
        <f t="shared" si="2"/>
        <v>...</v>
      </c>
      <c r="K100" s="47" t="str">
        <f t="array" ref="K100">IF(B100=0,"...",J100/VLOOKUP(D100,{CCL!M:N;CCL!$P:$Q},2,FALSE))</f>
        <v>...</v>
      </c>
      <c r="L100" s="45" t="str">
        <f>IFERROR(__xludf.DUMMYFUNCTION("if(B100=0,""..."",if(E100=""CERRADA"",""Valor Venta"", GOOGLEFINANCE(""BCBA:""&amp;B100)))"),"...")</f>
        <v>...</v>
      </c>
      <c r="M100" s="45" t="str">
        <f>if(B100=0,"...",L100*(1-VLOOKUP(A100,Config!$B$3:$C$22,2,FALSE)))</f>
        <v>...</v>
      </c>
      <c r="N100" s="45" t="str">
        <f t="shared" si="3"/>
        <v>...</v>
      </c>
      <c r="O100" s="12" t="str">
        <f>IFERROR(__xludf.DUMMYFUNCTION("if(B100=0,""..."",GOOGLEFINANCE(B100,""changepct"")/100)"),"...")</f>
        <v>...</v>
      </c>
      <c r="P100" s="10" t="str">
        <f>IFERROR(__xludf.DUMMYFUNCTION("if(B100=0,""..."",GOOGLEFINANCE(B100,""change"")*H100)"),"...")</f>
        <v>...</v>
      </c>
      <c r="Q100" s="12" t="str">
        <f t="shared" si="4"/>
        <v>...</v>
      </c>
      <c r="R100" s="47" t="str">
        <f t="shared" si="5"/>
        <v>...</v>
      </c>
      <c r="S100" s="12" t="str">
        <f t="array" ref="S100">IF(B100=0,"...",(N100/IF(E100="ABIERTA",CCL!$E$2,VLOOKUP(F100,{CCL!M:N;CCL!$P:$Q},2,FALSE))/(J100/VLOOKUP(D100,{CCL!M:N;CCL!$P:$Q},2,FALSE))-1))</f>
        <v>...</v>
      </c>
      <c r="T100" s="47" t="str">
        <f>IF(B100=0,"...",N100/VLOOKUP(IF(E100="ABIERTA",TODAY(),F100),CCL!$A$12:$B$773,2,FALSE)-J100/VLOOKUP(D100,CCL!$A$12:$B235,2,FALSE))</f>
        <v>...</v>
      </c>
      <c r="U100" s="2"/>
      <c r="V100" s="10"/>
      <c r="W100" s="59" t="str">
        <f t="shared" si="16"/>
        <v>...</v>
      </c>
      <c r="X100" s="12" t="str">
        <f t="shared" si="17"/>
        <v/>
      </c>
      <c r="Y100" s="45" t="str">
        <f t="shared" si="18"/>
        <v>...</v>
      </c>
      <c r="Z100" s="45" t="str">
        <f t="shared" si="19"/>
        <v>...</v>
      </c>
      <c r="AA100" s="12" t="str">
        <f t="shared" si="20"/>
        <v>...</v>
      </c>
      <c r="AB100" s="45" t="str">
        <f t="shared" si="21"/>
        <v>...</v>
      </c>
      <c r="AC100" s="45" t="str">
        <f t="shared" si="22"/>
        <v>...</v>
      </c>
      <c r="AD100" s="12" t="str">
        <f t="shared" si="23"/>
        <v>...</v>
      </c>
      <c r="AE100" s="46" t="str">
        <f t="shared" si="24"/>
        <v>...</v>
      </c>
      <c r="AF100" s="2"/>
      <c r="AG100" s="2"/>
      <c r="AH100" s="2"/>
      <c r="AI100" s="2"/>
      <c r="AJ100" s="2"/>
      <c r="AK100" s="2"/>
    </row>
    <row r="101" ht="24.0" customHeight="1">
      <c r="A101" s="4"/>
      <c r="B101" s="30"/>
      <c r="C101" s="5" t="str">
        <f>IFERROR(__xludf.DUMMYFUNCTION("if(B101=0,""..."", sparkline(query(GOOGLEFINANCE(""BCBA:""&amp;B101,""price"",today()-$AI$36,today()),""select Col2"",0),{""charttype"",$AI$35}))"),"...")</f>
        <v>...</v>
      </c>
      <c r="D101" s="17"/>
      <c r="E101" s="31"/>
      <c r="F101" s="7"/>
      <c r="G101" s="8" t="str">
        <f t="shared" si="1"/>
        <v>...</v>
      </c>
      <c r="H101" s="31"/>
      <c r="I101" s="52"/>
      <c r="J101" s="45" t="str">
        <f t="shared" si="2"/>
        <v>...</v>
      </c>
      <c r="K101" s="47" t="str">
        <f t="array" ref="K101">IF(B101=0,"...",J101/VLOOKUP(D101,{CCL!M:N;CCL!$P:$Q},2,FALSE))</f>
        <v>...</v>
      </c>
      <c r="L101" s="45" t="str">
        <f>IFERROR(__xludf.DUMMYFUNCTION("if(B101=0,""..."",if(E101=""CERRADA"",""Valor Venta"", GOOGLEFINANCE(""BCBA:""&amp;B101)))"),"...")</f>
        <v>...</v>
      </c>
      <c r="M101" s="45" t="str">
        <f>if(B101=0,"...",L101*(1-VLOOKUP(A101,Config!$B$3:$C$22,2,FALSE)))</f>
        <v>...</v>
      </c>
      <c r="N101" s="45" t="str">
        <f t="shared" si="3"/>
        <v>...</v>
      </c>
      <c r="O101" s="12" t="str">
        <f>IFERROR(__xludf.DUMMYFUNCTION("if(B101=0,""..."",GOOGLEFINANCE(B101,""changepct"")/100)"),"...")</f>
        <v>...</v>
      </c>
      <c r="P101" s="10" t="str">
        <f>IFERROR(__xludf.DUMMYFUNCTION("if(B101=0,""..."",GOOGLEFINANCE(B101,""change"")*H101)"),"...")</f>
        <v>...</v>
      </c>
      <c r="Q101" s="12" t="str">
        <f t="shared" si="4"/>
        <v>...</v>
      </c>
      <c r="R101" s="47" t="str">
        <f t="shared" si="5"/>
        <v>...</v>
      </c>
      <c r="S101" s="12" t="str">
        <f t="array" ref="S101">IF(B101=0,"...",(N101/IF(E101="ABIERTA",CCL!$E$2,VLOOKUP(F101,{CCL!M:N;CCL!$P:$Q},2,FALSE))/(J101/VLOOKUP(D101,{CCL!M:N;CCL!$P:$Q},2,FALSE))-1))</f>
        <v>...</v>
      </c>
      <c r="T101" s="47" t="str">
        <f>IF(B101=0,"...",N101/VLOOKUP(IF(E101="ABIERTA",TODAY(),F101),CCL!$A$12:$B$773,2,FALSE)-J101/VLOOKUP(D101,CCL!$A$12:$B235,2,FALSE))</f>
        <v>...</v>
      </c>
      <c r="U101" s="2"/>
      <c r="V101" s="10"/>
      <c r="W101" s="59" t="str">
        <f t="shared" si="16"/>
        <v>...</v>
      </c>
      <c r="X101" s="12" t="str">
        <f t="shared" si="17"/>
        <v/>
      </c>
      <c r="Y101" s="45" t="str">
        <f t="shared" si="18"/>
        <v>...</v>
      </c>
      <c r="Z101" s="45" t="str">
        <f t="shared" si="19"/>
        <v>...</v>
      </c>
      <c r="AA101" s="12" t="str">
        <f t="shared" si="20"/>
        <v>...</v>
      </c>
      <c r="AB101" s="45" t="str">
        <f t="shared" si="21"/>
        <v>...</v>
      </c>
      <c r="AC101" s="45" t="str">
        <f t="shared" si="22"/>
        <v>...</v>
      </c>
      <c r="AD101" s="12" t="str">
        <f t="shared" si="23"/>
        <v>...</v>
      </c>
      <c r="AE101" s="46" t="str">
        <f t="shared" si="24"/>
        <v>...</v>
      </c>
      <c r="AF101" s="2"/>
      <c r="AG101" s="2"/>
      <c r="AH101" s="2"/>
      <c r="AI101" s="2"/>
      <c r="AJ101" s="2"/>
      <c r="AK101" s="2"/>
    </row>
    <row r="102" ht="24.0" customHeight="1">
      <c r="A102" s="4"/>
      <c r="B102" s="30"/>
      <c r="C102" s="5" t="str">
        <f>IFERROR(__xludf.DUMMYFUNCTION("if(B102=0,""..."", sparkline(query(GOOGLEFINANCE(""BCBA:""&amp;B102,""price"",today()-$AI$36,today()),""select Col2"",0),{""charttype"",$AI$35}))"),"...")</f>
        <v>...</v>
      </c>
      <c r="D102" s="17"/>
      <c r="E102" s="31"/>
      <c r="F102" s="7"/>
      <c r="G102" s="8" t="str">
        <f t="shared" si="1"/>
        <v>...</v>
      </c>
      <c r="H102" s="31"/>
      <c r="I102" s="52"/>
      <c r="J102" s="45" t="str">
        <f t="shared" si="2"/>
        <v>...</v>
      </c>
      <c r="K102" s="47" t="str">
        <f t="array" ref="K102">IF(B102=0,"...",J102/VLOOKUP(D102,{CCL!M:N;CCL!$P:$Q},2,FALSE))</f>
        <v>...</v>
      </c>
      <c r="L102" s="45" t="str">
        <f>IFERROR(__xludf.DUMMYFUNCTION("if(B102=0,""..."",if(E102=""CERRADA"",""Valor Venta"", GOOGLEFINANCE(""BCBA:""&amp;B102)))"),"...")</f>
        <v>...</v>
      </c>
      <c r="M102" s="45" t="str">
        <f>if(B102=0,"...",L102*(1-VLOOKUP(A102,Config!$B$3:$C$22,2,FALSE)))</f>
        <v>...</v>
      </c>
      <c r="N102" s="45" t="str">
        <f t="shared" si="3"/>
        <v>...</v>
      </c>
      <c r="O102" s="12" t="str">
        <f>IFERROR(__xludf.DUMMYFUNCTION("if(B102=0,""..."",GOOGLEFINANCE(B102,""changepct"")/100)"),"...")</f>
        <v>...</v>
      </c>
      <c r="P102" s="10" t="str">
        <f>IFERROR(__xludf.DUMMYFUNCTION("if(B102=0,""..."",GOOGLEFINANCE(B102,""change"")*H102)"),"...")</f>
        <v>...</v>
      </c>
      <c r="Q102" s="12" t="str">
        <f t="shared" si="4"/>
        <v>...</v>
      </c>
      <c r="R102" s="47" t="str">
        <f t="shared" si="5"/>
        <v>...</v>
      </c>
      <c r="S102" s="12" t="str">
        <f t="array" ref="S102">IF(B102=0,"...",(N102/IF(E102="ABIERTA",CCL!$E$2,VLOOKUP(F102,{CCL!M:N;CCL!$P:$Q},2,FALSE))/(J102/VLOOKUP(D102,{CCL!M:N;CCL!$P:$Q},2,FALSE))-1))</f>
        <v>...</v>
      </c>
      <c r="T102" s="47" t="str">
        <f>IF(B102=0,"...",N102/VLOOKUP(IF(E102="ABIERTA",TODAY(),F102),CCL!$A$12:$B$773,2,FALSE)-J102/VLOOKUP(D102,CCL!$A$12:$B235,2,FALSE))</f>
        <v>...</v>
      </c>
      <c r="U102" s="2"/>
      <c r="V102" s="10"/>
      <c r="W102" s="59" t="str">
        <f t="shared" si="16"/>
        <v>...</v>
      </c>
      <c r="X102" s="12" t="str">
        <f t="shared" si="17"/>
        <v/>
      </c>
      <c r="Y102" s="45" t="str">
        <f t="shared" si="18"/>
        <v>...</v>
      </c>
      <c r="Z102" s="45" t="str">
        <f t="shared" si="19"/>
        <v>...</v>
      </c>
      <c r="AA102" s="12" t="str">
        <f t="shared" si="20"/>
        <v>...</v>
      </c>
      <c r="AB102" s="45" t="str">
        <f t="shared" si="21"/>
        <v>...</v>
      </c>
      <c r="AC102" s="45" t="str">
        <f t="shared" si="22"/>
        <v>...</v>
      </c>
      <c r="AD102" s="12" t="str">
        <f t="shared" si="23"/>
        <v>...</v>
      </c>
      <c r="AE102" s="46" t="str">
        <f t="shared" si="24"/>
        <v>...</v>
      </c>
      <c r="AF102" s="2"/>
      <c r="AG102" s="2"/>
      <c r="AH102" s="2"/>
      <c r="AI102" s="2"/>
      <c r="AJ102" s="2"/>
      <c r="AK102" s="2"/>
    </row>
    <row r="103" ht="24.0" customHeight="1">
      <c r="A103" s="4"/>
      <c r="B103" s="30"/>
      <c r="C103" s="5" t="str">
        <f>IFERROR(__xludf.DUMMYFUNCTION("if(B103=0,""..."", sparkline(query(GOOGLEFINANCE(""BCBA:""&amp;B103,""price"",today()-$AI$36,today()),""select Col2"",0),{""charttype"",$AI$35}))"),"...")</f>
        <v>...</v>
      </c>
      <c r="D103" s="17"/>
      <c r="E103" s="31"/>
      <c r="F103" s="7"/>
      <c r="G103" s="8" t="str">
        <f t="shared" si="1"/>
        <v>...</v>
      </c>
      <c r="H103" s="31"/>
      <c r="I103" s="52"/>
      <c r="J103" s="45" t="str">
        <f t="shared" si="2"/>
        <v>...</v>
      </c>
      <c r="K103" s="47" t="str">
        <f t="array" ref="K103">IF(B103=0,"...",J103/VLOOKUP(D103,{CCL!M:N;CCL!$P:$Q},2,FALSE))</f>
        <v>...</v>
      </c>
      <c r="L103" s="45" t="str">
        <f>IFERROR(__xludf.DUMMYFUNCTION("if(B103=0,""..."",if(E103=""CERRADA"",""Valor Venta"", GOOGLEFINANCE(""BCBA:""&amp;B103)))"),"...")</f>
        <v>...</v>
      </c>
      <c r="M103" s="45" t="str">
        <f>if(B103=0,"...",L103*(1-VLOOKUP(A103,Config!$B$3:$C$22,2,FALSE)))</f>
        <v>...</v>
      </c>
      <c r="N103" s="45" t="str">
        <f t="shared" si="3"/>
        <v>...</v>
      </c>
      <c r="O103" s="12" t="str">
        <f>IFERROR(__xludf.DUMMYFUNCTION("if(B103=0,""..."",GOOGLEFINANCE(B103,""changepct"")/100)"),"...")</f>
        <v>...</v>
      </c>
      <c r="P103" s="10" t="str">
        <f>IFERROR(__xludf.DUMMYFUNCTION("if(B103=0,""..."",GOOGLEFINANCE(B103,""change"")*H103)"),"...")</f>
        <v>...</v>
      </c>
      <c r="Q103" s="12" t="str">
        <f t="shared" si="4"/>
        <v>...</v>
      </c>
      <c r="R103" s="47" t="str">
        <f t="shared" si="5"/>
        <v>...</v>
      </c>
      <c r="S103" s="12" t="str">
        <f t="array" ref="S103">IF(B103=0,"...",(N103/IF(E103="ABIERTA",CCL!$E$2,VLOOKUP(F103,{CCL!M:N;CCL!$P:$Q},2,FALSE))/(J103/VLOOKUP(D103,{CCL!M:N;CCL!$P:$Q},2,FALSE))-1))</f>
        <v>...</v>
      </c>
      <c r="T103" s="47" t="str">
        <f>IF(B103=0,"...",N103/VLOOKUP(IF(E103="ABIERTA",TODAY(),F103),CCL!$A$12:$B$773,2,FALSE)-J103/VLOOKUP(D103,CCL!$A$12:$B235,2,FALSE))</f>
        <v>...</v>
      </c>
      <c r="U103" s="2"/>
      <c r="V103" s="10"/>
      <c r="W103" s="59" t="str">
        <f t="shared" si="16"/>
        <v>...</v>
      </c>
      <c r="X103" s="12" t="str">
        <f t="shared" si="17"/>
        <v/>
      </c>
      <c r="Y103" s="45" t="str">
        <f t="shared" si="18"/>
        <v>...</v>
      </c>
      <c r="Z103" s="45" t="str">
        <f t="shared" si="19"/>
        <v>...</v>
      </c>
      <c r="AA103" s="12" t="str">
        <f t="shared" si="20"/>
        <v>...</v>
      </c>
      <c r="AB103" s="45" t="str">
        <f t="shared" si="21"/>
        <v>...</v>
      </c>
      <c r="AC103" s="45" t="str">
        <f t="shared" si="22"/>
        <v>...</v>
      </c>
      <c r="AD103" s="12" t="str">
        <f t="shared" si="23"/>
        <v>...</v>
      </c>
      <c r="AE103" s="46" t="str">
        <f t="shared" si="24"/>
        <v>...</v>
      </c>
      <c r="AF103" s="2"/>
      <c r="AG103" s="2"/>
      <c r="AH103" s="2"/>
      <c r="AI103" s="2"/>
      <c r="AJ103" s="2"/>
      <c r="AK103" s="2"/>
    </row>
    <row r="104" ht="24.0" customHeight="1">
      <c r="A104" s="4"/>
      <c r="B104" s="30"/>
      <c r="C104" s="5" t="str">
        <f>IFERROR(__xludf.DUMMYFUNCTION("if(B104=0,""..."", sparkline(query(GOOGLEFINANCE(""BCBA:""&amp;B104,""price"",today()-$AI$36,today()),""select Col2"",0),{""charttype"",$AI$35}))"),"...")</f>
        <v>...</v>
      </c>
      <c r="D104" s="17"/>
      <c r="E104" s="31"/>
      <c r="F104" s="7"/>
      <c r="G104" s="8" t="str">
        <f t="shared" si="1"/>
        <v>...</v>
      </c>
      <c r="H104" s="31"/>
      <c r="I104" s="52"/>
      <c r="J104" s="45" t="str">
        <f t="shared" si="2"/>
        <v>...</v>
      </c>
      <c r="K104" s="47" t="str">
        <f t="array" ref="K104">IF(B104=0,"...",J104/VLOOKUP(D104,{CCL!M:N;CCL!$P:$Q},2,FALSE))</f>
        <v>...</v>
      </c>
      <c r="L104" s="45" t="str">
        <f>IFERROR(__xludf.DUMMYFUNCTION("if(B104=0,""..."",if(E104=""CERRADA"",""Valor Venta"", GOOGLEFINANCE(""BCBA:""&amp;B104)))"),"...")</f>
        <v>...</v>
      </c>
      <c r="M104" s="45" t="str">
        <f>if(B104=0,"...",L104*(1-VLOOKUP(A104,Config!$B$3:$C$22,2,FALSE)))</f>
        <v>...</v>
      </c>
      <c r="N104" s="45" t="str">
        <f t="shared" si="3"/>
        <v>...</v>
      </c>
      <c r="O104" s="12" t="str">
        <f>IFERROR(__xludf.DUMMYFUNCTION("if(B104=0,""..."",GOOGLEFINANCE(B104,""changepct"")/100)"),"...")</f>
        <v>...</v>
      </c>
      <c r="P104" s="10" t="str">
        <f>IFERROR(__xludf.DUMMYFUNCTION("if(B104=0,""..."",GOOGLEFINANCE(B104,""change"")*H104)"),"...")</f>
        <v>...</v>
      </c>
      <c r="Q104" s="12" t="str">
        <f t="shared" si="4"/>
        <v>...</v>
      </c>
      <c r="R104" s="47" t="str">
        <f t="shared" si="5"/>
        <v>...</v>
      </c>
      <c r="S104" s="12" t="str">
        <f t="array" ref="S104">IF(B104=0,"...",(N104/IF(E104="ABIERTA",CCL!$E$2,VLOOKUP(F104,{CCL!M:N;CCL!$P:$Q},2,FALSE))/(J104/VLOOKUP(D104,{CCL!M:N;CCL!$P:$Q},2,FALSE))-1))</f>
        <v>...</v>
      </c>
      <c r="T104" s="47" t="str">
        <f>IF(B104=0,"...",N104/VLOOKUP(IF(E104="ABIERTA",TODAY(),F104),CCL!$A$12:$B$773,2,FALSE)-J104/VLOOKUP(D104,CCL!$A$12:$B235,2,FALSE))</f>
        <v>...</v>
      </c>
      <c r="U104" s="2"/>
      <c r="V104" s="10"/>
      <c r="W104" s="59" t="str">
        <f t="shared" si="16"/>
        <v>...</v>
      </c>
      <c r="X104" s="12" t="str">
        <f t="shared" si="17"/>
        <v/>
      </c>
      <c r="Y104" s="45" t="str">
        <f t="shared" si="18"/>
        <v>...</v>
      </c>
      <c r="Z104" s="45" t="str">
        <f t="shared" si="19"/>
        <v>...</v>
      </c>
      <c r="AA104" s="12" t="str">
        <f t="shared" si="20"/>
        <v>...</v>
      </c>
      <c r="AB104" s="45" t="str">
        <f t="shared" si="21"/>
        <v>...</v>
      </c>
      <c r="AC104" s="45" t="str">
        <f t="shared" si="22"/>
        <v>...</v>
      </c>
      <c r="AD104" s="12" t="str">
        <f t="shared" si="23"/>
        <v>...</v>
      </c>
      <c r="AE104" s="46" t="str">
        <f t="shared" si="24"/>
        <v>...</v>
      </c>
      <c r="AF104" s="2"/>
      <c r="AG104" s="2"/>
      <c r="AH104" s="2"/>
      <c r="AI104" s="2"/>
      <c r="AJ104" s="2"/>
      <c r="AK104" s="2"/>
    </row>
    <row r="105" ht="24.0" customHeight="1">
      <c r="A105" s="4"/>
      <c r="B105" s="30"/>
      <c r="C105" s="5" t="str">
        <f>IFERROR(__xludf.DUMMYFUNCTION("if(B105=0,""..."", sparkline(query(GOOGLEFINANCE(""BCBA:""&amp;B105,""price"",today()-$AI$36,today()),""select Col2"",0),{""charttype"",$AI$35}))"),"...")</f>
        <v>...</v>
      </c>
      <c r="D105" s="17"/>
      <c r="E105" s="31"/>
      <c r="F105" s="7"/>
      <c r="G105" s="8" t="str">
        <f t="shared" si="1"/>
        <v>...</v>
      </c>
      <c r="H105" s="31"/>
      <c r="I105" s="52"/>
      <c r="J105" s="45" t="str">
        <f t="shared" si="2"/>
        <v>...</v>
      </c>
      <c r="K105" s="47" t="str">
        <f t="array" ref="K105">IF(B105=0,"...",J105/VLOOKUP(D105,{CCL!M:N;CCL!$P:$Q},2,FALSE))</f>
        <v>...</v>
      </c>
      <c r="L105" s="45" t="str">
        <f>IFERROR(__xludf.DUMMYFUNCTION("if(B105=0,""..."",if(E105=""CERRADA"",""Valor Venta"", GOOGLEFINANCE(""BCBA:""&amp;B105)))"),"...")</f>
        <v>...</v>
      </c>
      <c r="M105" s="45" t="str">
        <f>if(B105=0,"...",L105*(1-VLOOKUP(A105,Config!$B$3:$C$22,2,FALSE)))</f>
        <v>...</v>
      </c>
      <c r="N105" s="45" t="str">
        <f t="shared" si="3"/>
        <v>...</v>
      </c>
      <c r="O105" s="12" t="str">
        <f>IFERROR(__xludf.DUMMYFUNCTION("if(B105=0,""..."",GOOGLEFINANCE(B105,""changepct"")/100)"),"...")</f>
        <v>...</v>
      </c>
      <c r="P105" s="10" t="str">
        <f>IFERROR(__xludf.DUMMYFUNCTION("if(B105=0,""..."",GOOGLEFINANCE(B105,""change"")*H105)"),"...")</f>
        <v>...</v>
      </c>
      <c r="Q105" s="12" t="str">
        <f t="shared" si="4"/>
        <v>...</v>
      </c>
      <c r="R105" s="47" t="str">
        <f t="shared" si="5"/>
        <v>...</v>
      </c>
      <c r="S105" s="12" t="str">
        <f t="array" ref="S105">IF(B105=0,"...",(N105/IF(E105="ABIERTA",CCL!$E$2,VLOOKUP(F105,{CCL!M:N;CCL!$P:$Q},2,FALSE))/(J105/VLOOKUP(D105,{CCL!M:N;CCL!$P:$Q},2,FALSE))-1))</f>
        <v>...</v>
      </c>
      <c r="T105" s="47" t="str">
        <f>IF(B105=0,"...",N105/VLOOKUP(IF(E105="ABIERTA",TODAY(),F105),CCL!$A$12:$B$773,2,FALSE)-J105/VLOOKUP(D105,CCL!$A$12:$B235,2,FALSE))</f>
        <v>...</v>
      </c>
      <c r="U105" s="2"/>
      <c r="V105" s="10"/>
      <c r="W105" s="59" t="str">
        <f t="shared" si="16"/>
        <v>...</v>
      </c>
      <c r="X105" s="12" t="str">
        <f t="shared" si="17"/>
        <v/>
      </c>
      <c r="Y105" s="45" t="str">
        <f t="shared" si="18"/>
        <v>...</v>
      </c>
      <c r="Z105" s="45" t="str">
        <f t="shared" si="19"/>
        <v>...</v>
      </c>
      <c r="AA105" s="12" t="str">
        <f t="shared" si="20"/>
        <v>...</v>
      </c>
      <c r="AB105" s="45" t="str">
        <f t="shared" si="21"/>
        <v>...</v>
      </c>
      <c r="AC105" s="45" t="str">
        <f t="shared" si="22"/>
        <v>...</v>
      </c>
      <c r="AD105" s="12" t="str">
        <f t="shared" si="23"/>
        <v>...</v>
      </c>
      <c r="AE105" s="46" t="str">
        <f t="shared" si="24"/>
        <v>...</v>
      </c>
      <c r="AF105" s="2"/>
      <c r="AG105" s="2"/>
      <c r="AH105" s="2"/>
      <c r="AI105" s="2"/>
      <c r="AJ105" s="2"/>
      <c r="AK105" s="2"/>
    </row>
    <row r="106" ht="24.0" customHeight="1">
      <c r="A106" s="4"/>
      <c r="B106" s="30"/>
      <c r="C106" s="5" t="str">
        <f>IFERROR(__xludf.DUMMYFUNCTION("if(B106=0,""..."", sparkline(query(GOOGLEFINANCE(""BCBA:""&amp;B106,""price"",today()-$AI$36,today()),""select Col2"",0),{""charttype"",$AI$35}))"),"...")</f>
        <v>...</v>
      </c>
      <c r="D106" s="17"/>
      <c r="E106" s="31"/>
      <c r="F106" s="7"/>
      <c r="G106" s="8" t="str">
        <f t="shared" si="1"/>
        <v>...</v>
      </c>
      <c r="H106" s="31"/>
      <c r="I106" s="52"/>
      <c r="J106" s="45" t="str">
        <f t="shared" si="2"/>
        <v>...</v>
      </c>
      <c r="K106" s="47" t="str">
        <f t="array" ref="K106">IF(B106=0,"...",J106/VLOOKUP(D106,{CCL!M:N;CCL!$P:$Q},2,FALSE))</f>
        <v>...</v>
      </c>
      <c r="L106" s="45" t="str">
        <f>IFERROR(__xludf.DUMMYFUNCTION("if(B106=0,""..."",if(E106=""CERRADA"",""Valor Venta"", GOOGLEFINANCE(""BCBA:""&amp;B106)))"),"...")</f>
        <v>...</v>
      </c>
      <c r="M106" s="45" t="str">
        <f>if(B106=0,"...",L106*(1-VLOOKUP(A106,Config!$B$3:$C$22,2,FALSE)))</f>
        <v>...</v>
      </c>
      <c r="N106" s="45" t="str">
        <f t="shared" si="3"/>
        <v>...</v>
      </c>
      <c r="O106" s="12" t="str">
        <f>IFERROR(__xludf.DUMMYFUNCTION("if(B106=0,""..."",GOOGLEFINANCE(B106,""changepct"")/100)"),"...")</f>
        <v>...</v>
      </c>
      <c r="P106" s="10" t="str">
        <f>IFERROR(__xludf.DUMMYFUNCTION("if(B106=0,""..."",GOOGLEFINANCE(B106,""change"")*H106)"),"...")</f>
        <v>...</v>
      </c>
      <c r="Q106" s="12" t="str">
        <f t="shared" si="4"/>
        <v>...</v>
      </c>
      <c r="R106" s="47" t="str">
        <f t="shared" si="5"/>
        <v>...</v>
      </c>
      <c r="S106" s="12" t="str">
        <f t="array" ref="S106">IF(B106=0,"...",(N106/IF(E106="ABIERTA",CCL!$E$2,VLOOKUP(F106,{CCL!M:N;CCL!$P:$Q},2,FALSE))/(J106/VLOOKUP(D106,{CCL!M:N;CCL!$P:$Q},2,FALSE))-1))</f>
        <v>...</v>
      </c>
      <c r="T106" s="47" t="str">
        <f>IF(B106=0,"...",N106/VLOOKUP(IF(E106="ABIERTA",TODAY(),F106),CCL!$A$12:$B$773,2,FALSE)-J106/VLOOKUP(D106,CCL!$A$12:$B235,2,FALSE))</f>
        <v>...</v>
      </c>
      <c r="U106" s="2"/>
      <c r="V106" s="10"/>
      <c r="W106" s="59" t="str">
        <f t="shared" si="16"/>
        <v>...</v>
      </c>
      <c r="X106" s="12" t="str">
        <f t="shared" si="17"/>
        <v/>
      </c>
      <c r="Y106" s="45" t="str">
        <f t="shared" si="18"/>
        <v>...</v>
      </c>
      <c r="Z106" s="45" t="str">
        <f t="shared" si="19"/>
        <v>...</v>
      </c>
      <c r="AA106" s="12" t="str">
        <f t="shared" si="20"/>
        <v>...</v>
      </c>
      <c r="AB106" s="45" t="str">
        <f t="shared" si="21"/>
        <v>...</v>
      </c>
      <c r="AC106" s="45" t="str">
        <f t="shared" si="22"/>
        <v>...</v>
      </c>
      <c r="AD106" s="12" t="str">
        <f t="shared" si="23"/>
        <v>...</v>
      </c>
      <c r="AE106" s="46" t="str">
        <f t="shared" si="24"/>
        <v>...</v>
      </c>
      <c r="AF106" s="2"/>
      <c r="AG106" s="2"/>
      <c r="AH106" s="2"/>
      <c r="AI106" s="2"/>
      <c r="AJ106" s="2"/>
      <c r="AK106" s="2"/>
    </row>
    <row r="107" ht="24.0" customHeight="1">
      <c r="A107" s="4"/>
      <c r="B107" s="30"/>
      <c r="C107" s="5" t="str">
        <f>IFERROR(__xludf.DUMMYFUNCTION("if(B107=0,""..."", sparkline(query(GOOGLEFINANCE(""BCBA:""&amp;B107,""price"",today()-$AI$36,today()),""select Col2"",0),{""charttype"",$AI$35}))"),"...")</f>
        <v>...</v>
      </c>
      <c r="D107" s="17"/>
      <c r="E107" s="31"/>
      <c r="F107" s="7"/>
      <c r="G107" s="8" t="str">
        <f t="shared" si="1"/>
        <v>...</v>
      </c>
      <c r="H107" s="31"/>
      <c r="I107" s="52"/>
      <c r="J107" s="45" t="str">
        <f t="shared" si="2"/>
        <v>...</v>
      </c>
      <c r="K107" s="47" t="str">
        <f t="array" ref="K107">IF(B107=0,"...",J107/VLOOKUP(D107,{CCL!M:N;CCL!$P:$Q},2,FALSE))</f>
        <v>...</v>
      </c>
      <c r="L107" s="45" t="str">
        <f>IFERROR(__xludf.DUMMYFUNCTION("if(B107=0,""..."",if(E107=""CERRADA"",""Valor Venta"", GOOGLEFINANCE(""BCBA:""&amp;B107)))"),"...")</f>
        <v>...</v>
      </c>
      <c r="M107" s="45" t="str">
        <f>if(B107=0,"...",L107*(1-VLOOKUP(A107,Config!$B$3:$C$22,2,FALSE)))</f>
        <v>...</v>
      </c>
      <c r="N107" s="45" t="str">
        <f t="shared" si="3"/>
        <v>...</v>
      </c>
      <c r="O107" s="12" t="str">
        <f>IFERROR(__xludf.DUMMYFUNCTION("if(B107=0,""..."",GOOGLEFINANCE(B107,""changepct"")/100)"),"...")</f>
        <v>...</v>
      </c>
      <c r="P107" s="10" t="str">
        <f>IFERROR(__xludf.DUMMYFUNCTION("if(B107=0,""..."",GOOGLEFINANCE(B107,""change"")*H107)"),"...")</f>
        <v>...</v>
      </c>
      <c r="Q107" s="12" t="str">
        <f t="shared" si="4"/>
        <v>...</v>
      </c>
      <c r="R107" s="47" t="str">
        <f t="shared" si="5"/>
        <v>...</v>
      </c>
      <c r="S107" s="12" t="str">
        <f t="array" ref="S107">IF(B107=0,"...",(N107/IF(E107="ABIERTA",CCL!$E$2,VLOOKUP(F107,{CCL!M:N;CCL!$P:$Q},2,FALSE))/(J107/VLOOKUP(D107,{CCL!M:N;CCL!$P:$Q},2,FALSE))-1))</f>
        <v>...</v>
      </c>
      <c r="T107" s="47" t="str">
        <f>IF(B107=0,"...",N107/VLOOKUP(IF(E107="ABIERTA",TODAY(),F107),CCL!$A$12:$B$773,2,FALSE)-J107/VLOOKUP(D107,CCL!$A$12:$B235,2,FALSE))</f>
        <v>...</v>
      </c>
      <c r="U107" s="2"/>
      <c r="V107" s="10"/>
      <c r="W107" s="59" t="str">
        <f t="shared" si="16"/>
        <v>...</v>
      </c>
      <c r="X107" s="12" t="str">
        <f t="shared" si="17"/>
        <v/>
      </c>
      <c r="Y107" s="45" t="str">
        <f t="shared" si="18"/>
        <v>...</v>
      </c>
      <c r="Z107" s="45" t="str">
        <f t="shared" si="19"/>
        <v>...</v>
      </c>
      <c r="AA107" s="12" t="str">
        <f t="shared" si="20"/>
        <v>...</v>
      </c>
      <c r="AB107" s="45" t="str">
        <f t="shared" si="21"/>
        <v>...</v>
      </c>
      <c r="AC107" s="45" t="str">
        <f t="shared" si="22"/>
        <v>...</v>
      </c>
      <c r="AD107" s="12" t="str">
        <f t="shared" si="23"/>
        <v>...</v>
      </c>
      <c r="AE107" s="46" t="str">
        <f t="shared" si="24"/>
        <v>...</v>
      </c>
      <c r="AF107" s="2"/>
      <c r="AG107" s="2"/>
      <c r="AH107" s="2"/>
      <c r="AI107" s="2"/>
      <c r="AJ107" s="2"/>
      <c r="AK107" s="2"/>
    </row>
    <row r="108" ht="24.0" customHeight="1">
      <c r="A108" s="4"/>
      <c r="B108" s="30"/>
      <c r="C108" s="5" t="str">
        <f>IFERROR(__xludf.DUMMYFUNCTION("if(B108=0,""..."", sparkline(query(GOOGLEFINANCE(""BCBA:""&amp;B108,""price"",today()-$AI$36,today()),""select Col2"",0),{""charttype"",$AI$35}))"),"...")</f>
        <v>...</v>
      </c>
      <c r="D108" s="17"/>
      <c r="E108" s="31"/>
      <c r="F108" s="7"/>
      <c r="G108" s="8" t="str">
        <f t="shared" si="1"/>
        <v>...</v>
      </c>
      <c r="H108" s="31"/>
      <c r="I108" s="52"/>
      <c r="J108" s="45" t="str">
        <f t="shared" si="2"/>
        <v>...</v>
      </c>
      <c r="K108" s="47" t="str">
        <f t="array" ref="K108">IF(B108=0,"...",J108/VLOOKUP(D108,{CCL!M:N;CCL!$P:$Q},2,FALSE))</f>
        <v>...</v>
      </c>
      <c r="L108" s="45" t="str">
        <f>IFERROR(__xludf.DUMMYFUNCTION("if(B108=0,""..."",if(E108=""CERRADA"",""Valor Venta"", GOOGLEFINANCE(""BCBA:""&amp;B108)))"),"...")</f>
        <v>...</v>
      </c>
      <c r="M108" s="45" t="str">
        <f>if(B108=0,"...",L108*(1-VLOOKUP(A108,Config!$B$3:$C$22,2,FALSE)))</f>
        <v>...</v>
      </c>
      <c r="N108" s="45" t="str">
        <f t="shared" si="3"/>
        <v>...</v>
      </c>
      <c r="O108" s="12" t="str">
        <f>IFERROR(__xludf.DUMMYFUNCTION("if(B108=0,""..."",GOOGLEFINANCE(B108,""changepct"")/100)"),"...")</f>
        <v>...</v>
      </c>
      <c r="P108" s="10" t="str">
        <f>IFERROR(__xludf.DUMMYFUNCTION("if(B108=0,""..."",GOOGLEFINANCE(B108,""change"")*H108)"),"...")</f>
        <v>...</v>
      </c>
      <c r="Q108" s="12" t="str">
        <f t="shared" si="4"/>
        <v>...</v>
      </c>
      <c r="R108" s="47" t="str">
        <f t="shared" si="5"/>
        <v>...</v>
      </c>
      <c r="S108" s="12" t="str">
        <f t="array" ref="S108">IF(B108=0,"...",(N108/IF(E108="ABIERTA",CCL!$E$2,VLOOKUP(F108,{CCL!M:N;CCL!$P:$Q},2,FALSE))/(J108/VLOOKUP(D108,{CCL!M:N;CCL!$P:$Q},2,FALSE))-1))</f>
        <v>...</v>
      </c>
      <c r="T108" s="47" t="str">
        <f>IF(B108=0,"...",N108/VLOOKUP(IF(E108="ABIERTA",TODAY(),F108),CCL!$A$12:$B$773,2,FALSE)-J108/VLOOKUP(D108,CCL!$A$12:$B235,2,FALSE))</f>
        <v>...</v>
      </c>
      <c r="U108" s="2"/>
      <c r="V108" s="10"/>
      <c r="W108" s="59" t="str">
        <f t="shared" si="16"/>
        <v>...</v>
      </c>
      <c r="X108" s="12" t="str">
        <f t="shared" si="17"/>
        <v/>
      </c>
      <c r="Y108" s="45" t="str">
        <f t="shared" si="18"/>
        <v>...</v>
      </c>
      <c r="Z108" s="45" t="str">
        <f t="shared" si="19"/>
        <v>...</v>
      </c>
      <c r="AA108" s="12" t="str">
        <f t="shared" si="20"/>
        <v>...</v>
      </c>
      <c r="AB108" s="45" t="str">
        <f t="shared" si="21"/>
        <v>...</v>
      </c>
      <c r="AC108" s="45" t="str">
        <f t="shared" si="22"/>
        <v>...</v>
      </c>
      <c r="AD108" s="12" t="str">
        <f t="shared" si="23"/>
        <v>...</v>
      </c>
      <c r="AE108" s="46" t="str">
        <f t="shared" si="24"/>
        <v>...</v>
      </c>
      <c r="AF108" s="2"/>
      <c r="AG108" s="2"/>
      <c r="AH108" s="2"/>
      <c r="AI108" s="2"/>
      <c r="AJ108" s="2"/>
      <c r="AK108" s="2"/>
    </row>
    <row r="109" ht="24.0" customHeight="1">
      <c r="A109" s="4"/>
      <c r="B109" s="30"/>
      <c r="C109" s="5" t="str">
        <f>IFERROR(__xludf.DUMMYFUNCTION("if(B109=0,""..."", sparkline(query(GOOGLEFINANCE(""BCBA:""&amp;B109,""price"",today()-$AI$36,today()),""select Col2"",0),{""charttype"",$AI$35}))"),"...")</f>
        <v>...</v>
      </c>
      <c r="D109" s="17"/>
      <c r="E109" s="31"/>
      <c r="F109" s="7"/>
      <c r="G109" s="8" t="str">
        <f t="shared" si="1"/>
        <v>...</v>
      </c>
      <c r="H109" s="31"/>
      <c r="I109" s="52"/>
      <c r="J109" s="45" t="str">
        <f t="shared" si="2"/>
        <v>...</v>
      </c>
      <c r="K109" s="47" t="str">
        <f t="array" ref="K109">IF(B109=0,"...",J109/VLOOKUP(D109,{CCL!M:N;CCL!$P:$Q},2,FALSE))</f>
        <v>...</v>
      </c>
      <c r="L109" s="45" t="str">
        <f>IFERROR(__xludf.DUMMYFUNCTION("if(B109=0,""..."",if(E109=""CERRADA"",""Valor Venta"", GOOGLEFINANCE(""BCBA:""&amp;B109)))"),"...")</f>
        <v>...</v>
      </c>
      <c r="M109" s="45" t="str">
        <f>if(B109=0,"...",L109*(1-VLOOKUP(A109,Config!$B$3:$C$22,2,FALSE)))</f>
        <v>...</v>
      </c>
      <c r="N109" s="45" t="str">
        <f t="shared" si="3"/>
        <v>...</v>
      </c>
      <c r="O109" s="12" t="str">
        <f>IFERROR(__xludf.DUMMYFUNCTION("if(B109=0,""..."",GOOGLEFINANCE(B109,""changepct"")/100)"),"...")</f>
        <v>...</v>
      </c>
      <c r="P109" s="10" t="str">
        <f>IFERROR(__xludf.DUMMYFUNCTION("if(B109=0,""..."",GOOGLEFINANCE(B109,""change"")*H109)"),"...")</f>
        <v>...</v>
      </c>
      <c r="Q109" s="12" t="str">
        <f t="shared" si="4"/>
        <v>...</v>
      </c>
      <c r="R109" s="47" t="str">
        <f t="shared" si="5"/>
        <v>...</v>
      </c>
      <c r="S109" s="12" t="str">
        <f t="array" ref="S109">IF(B109=0,"...",(N109/IF(E109="ABIERTA",CCL!$E$2,VLOOKUP(F109,{CCL!M:N;CCL!$P:$Q},2,FALSE))/(J109/VLOOKUP(D109,{CCL!M:N;CCL!$P:$Q},2,FALSE))-1))</f>
        <v>...</v>
      </c>
      <c r="T109" s="47" t="str">
        <f>IF(B109=0,"...",N109/VLOOKUP(IF(E109="ABIERTA",TODAY(),F109),CCL!$A$12:$B$773,2,FALSE)-J109/VLOOKUP(D109,CCL!$A$12:$B235,2,FALSE))</f>
        <v>...</v>
      </c>
      <c r="U109" s="2"/>
      <c r="V109" s="10"/>
      <c r="W109" s="59" t="str">
        <f t="shared" si="16"/>
        <v>...</v>
      </c>
      <c r="X109" s="12" t="str">
        <f t="shared" si="17"/>
        <v/>
      </c>
      <c r="Y109" s="45" t="str">
        <f t="shared" si="18"/>
        <v>...</v>
      </c>
      <c r="Z109" s="45" t="str">
        <f t="shared" si="19"/>
        <v>...</v>
      </c>
      <c r="AA109" s="12" t="str">
        <f t="shared" si="20"/>
        <v>...</v>
      </c>
      <c r="AB109" s="45" t="str">
        <f t="shared" si="21"/>
        <v>...</v>
      </c>
      <c r="AC109" s="45" t="str">
        <f t="shared" si="22"/>
        <v>...</v>
      </c>
      <c r="AD109" s="12" t="str">
        <f t="shared" si="23"/>
        <v>...</v>
      </c>
      <c r="AE109" s="46" t="str">
        <f t="shared" si="24"/>
        <v>...</v>
      </c>
      <c r="AF109" s="2"/>
      <c r="AG109" s="2"/>
      <c r="AH109" s="2"/>
      <c r="AI109" s="2"/>
      <c r="AJ109" s="2"/>
      <c r="AK109" s="2"/>
    </row>
    <row r="110" ht="24.0" customHeight="1">
      <c r="A110" s="4"/>
      <c r="B110" s="30"/>
      <c r="C110" s="5" t="str">
        <f>IFERROR(__xludf.DUMMYFUNCTION("if(B110=0,""..."", sparkline(query(GOOGLEFINANCE(""BCBA:""&amp;B110,""price"",today()-$AI$36,today()),""select Col2"",0),{""charttype"",$AI$35}))"),"...")</f>
        <v>...</v>
      </c>
      <c r="D110" s="17"/>
      <c r="E110" s="31"/>
      <c r="F110" s="7"/>
      <c r="G110" s="8" t="str">
        <f t="shared" si="1"/>
        <v>...</v>
      </c>
      <c r="H110" s="31"/>
      <c r="I110" s="52"/>
      <c r="J110" s="45" t="str">
        <f t="shared" si="2"/>
        <v>...</v>
      </c>
      <c r="K110" s="47" t="str">
        <f t="array" ref="K110">IF(B110=0,"...",J110/VLOOKUP(D110,{CCL!M:N;CCL!$P:$Q},2,FALSE))</f>
        <v>...</v>
      </c>
      <c r="L110" s="45" t="str">
        <f>IFERROR(__xludf.DUMMYFUNCTION("if(B110=0,""..."",if(E110=""CERRADA"",""Valor Venta"", GOOGLEFINANCE(""BCBA:""&amp;B110)))"),"...")</f>
        <v>...</v>
      </c>
      <c r="M110" s="45" t="str">
        <f>if(B110=0,"...",L110*(1-VLOOKUP(A110,Config!$B$3:$C$22,2,FALSE)))</f>
        <v>...</v>
      </c>
      <c r="N110" s="45" t="str">
        <f t="shared" si="3"/>
        <v>...</v>
      </c>
      <c r="O110" s="12" t="str">
        <f>IFERROR(__xludf.DUMMYFUNCTION("if(B110=0,""..."",GOOGLEFINANCE(B110,""changepct"")/100)"),"...")</f>
        <v>...</v>
      </c>
      <c r="P110" s="10" t="str">
        <f>IFERROR(__xludf.DUMMYFUNCTION("if(B110=0,""..."",GOOGLEFINANCE(B110,""change"")*H110)"),"...")</f>
        <v>...</v>
      </c>
      <c r="Q110" s="12" t="str">
        <f t="shared" si="4"/>
        <v>...</v>
      </c>
      <c r="R110" s="47" t="str">
        <f t="shared" si="5"/>
        <v>...</v>
      </c>
      <c r="S110" s="12" t="str">
        <f t="array" ref="S110">IF(B110=0,"...",(N110/IF(E110="ABIERTA",CCL!$E$2,VLOOKUP(F110,{CCL!M:N;CCL!$P:$Q},2,FALSE))/(J110/VLOOKUP(D110,{CCL!M:N;CCL!$P:$Q},2,FALSE))-1))</f>
        <v>...</v>
      </c>
      <c r="T110" s="47" t="str">
        <f>IF(B110=0,"...",N110/VLOOKUP(IF(E110="ABIERTA",TODAY(),F110),CCL!$A$12:$B$773,2,FALSE)-J110/VLOOKUP(D110,CCL!$A$12:$B235,2,FALSE))</f>
        <v>...</v>
      </c>
      <c r="U110" s="2"/>
      <c r="V110" s="10"/>
      <c r="W110" s="59" t="str">
        <f t="shared" si="16"/>
        <v>...</v>
      </c>
      <c r="X110" s="12" t="str">
        <f t="shared" si="17"/>
        <v/>
      </c>
      <c r="Y110" s="45" t="str">
        <f t="shared" si="18"/>
        <v>...</v>
      </c>
      <c r="Z110" s="45" t="str">
        <f t="shared" si="19"/>
        <v>...</v>
      </c>
      <c r="AA110" s="12" t="str">
        <f t="shared" si="20"/>
        <v>...</v>
      </c>
      <c r="AB110" s="45" t="str">
        <f t="shared" si="21"/>
        <v>...</v>
      </c>
      <c r="AC110" s="45" t="str">
        <f t="shared" si="22"/>
        <v>...</v>
      </c>
      <c r="AD110" s="12" t="str">
        <f t="shared" si="23"/>
        <v>...</v>
      </c>
      <c r="AE110" s="46" t="str">
        <f t="shared" si="24"/>
        <v>...</v>
      </c>
      <c r="AF110" s="2"/>
      <c r="AG110" s="2"/>
      <c r="AH110" s="2"/>
      <c r="AI110" s="2"/>
      <c r="AJ110" s="2"/>
      <c r="AK110" s="2"/>
    </row>
    <row r="111" ht="24.0" customHeight="1">
      <c r="A111" s="4"/>
      <c r="B111" s="30"/>
      <c r="C111" s="5" t="str">
        <f>IFERROR(__xludf.DUMMYFUNCTION("if(B111=0,""..."", sparkline(query(GOOGLEFINANCE(""BCBA:""&amp;B111,""price"",today()-$AI$36,today()),""select Col2"",0),{""charttype"",$AI$35}))"),"...")</f>
        <v>...</v>
      </c>
      <c r="D111" s="17"/>
      <c r="E111" s="31"/>
      <c r="F111" s="7"/>
      <c r="G111" s="8" t="str">
        <f t="shared" si="1"/>
        <v>...</v>
      </c>
      <c r="H111" s="31"/>
      <c r="I111" s="52"/>
      <c r="J111" s="45" t="str">
        <f t="shared" si="2"/>
        <v>...</v>
      </c>
      <c r="K111" s="47" t="str">
        <f t="array" ref="K111">IF(B111=0,"...",J111/VLOOKUP(D111,{CCL!M:N;CCL!$P:$Q},2,FALSE))</f>
        <v>...</v>
      </c>
      <c r="L111" s="45" t="str">
        <f>IFERROR(__xludf.DUMMYFUNCTION("if(B111=0,""..."",if(E111=""CERRADA"",""Valor Venta"", GOOGLEFINANCE(""BCBA:""&amp;B111)))"),"...")</f>
        <v>...</v>
      </c>
      <c r="M111" s="45" t="str">
        <f>if(B111=0,"...",L111*(1-VLOOKUP(A111,Config!$B$3:$C$22,2,FALSE)))</f>
        <v>...</v>
      </c>
      <c r="N111" s="45" t="str">
        <f t="shared" si="3"/>
        <v>...</v>
      </c>
      <c r="O111" s="12" t="str">
        <f>IFERROR(__xludf.DUMMYFUNCTION("if(B111=0,""..."",GOOGLEFINANCE(B111,""changepct"")/100)"),"...")</f>
        <v>...</v>
      </c>
      <c r="P111" s="10" t="str">
        <f>IFERROR(__xludf.DUMMYFUNCTION("if(B111=0,""..."",GOOGLEFINANCE(B111,""change"")*H111)"),"...")</f>
        <v>...</v>
      </c>
      <c r="Q111" s="12" t="str">
        <f t="shared" si="4"/>
        <v>...</v>
      </c>
      <c r="R111" s="47" t="str">
        <f t="shared" si="5"/>
        <v>...</v>
      </c>
      <c r="S111" s="12" t="str">
        <f t="array" ref="S111">IF(B111=0,"...",(N111/IF(E111="ABIERTA",CCL!$E$2,VLOOKUP(F111,{CCL!M:N;CCL!$P:$Q},2,FALSE))/(J111/VLOOKUP(D111,{CCL!M:N;CCL!$P:$Q},2,FALSE))-1))</f>
        <v>...</v>
      </c>
      <c r="T111" s="47" t="str">
        <f>IF(B111=0,"...",N111/VLOOKUP(IF(E111="ABIERTA",TODAY(),F111),CCL!$A$12:$B$773,2,FALSE)-J111/VLOOKUP(D111,CCL!$A$12:$B235,2,FALSE))</f>
        <v>...</v>
      </c>
      <c r="U111" s="2"/>
      <c r="V111" s="10"/>
      <c r="W111" s="59" t="str">
        <f t="shared" si="16"/>
        <v>...</v>
      </c>
      <c r="X111" s="12" t="str">
        <f t="shared" si="17"/>
        <v/>
      </c>
      <c r="Y111" s="45" t="str">
        <f t="shared" si="18"/>
        <v>...</v>
      </c>
      <c r="Z111" s="45" t="str">
        <f t="shared" si="19"/>
        <v>...</v>
      </c>
      <c r="AA111" s="12" t="str">
        <f t="shared" si="20"/>
        <v>...</v>
      </c>
      <c r="AB111" s="45" t="str">
        <f t="shared" si="21"/>
        <v>...</v>
      </c>
      <c r="AC111" s="45" t="str">
        <f t="shared" si="22"/>
        <v>...</v>
      </c>
      <c r="AD111" s="12" t="str">
        <f t="shared" si="23"/>
        <v>...</v>
      </c>
      <c r="AE111" s="46" t="str">
        <f t="shared" si="24"/>
        <v>...</v>
      </c>
      <c r="AF111" s="2"/>
      <c r="AG111" s="2"/>
      <c r="AH111" s="2"/>
      <c r="AI111" s="2"/>
      <c r="AJ111" s="2"/>
      <c r="AK111" s="2"/>
    </row>
    <row r="112" ht="24.0" customHeight="1">
      <c r="A112" s="4"/>
      <c r="B112" s="30"/>
      <c r="C112" s="5" t="str">
        <f>IFERROR(__xludf.DUMMYFUNCTION("if(B112=0,""..."", sparkline(query(GOOGLEFINANCE(""BCBA:""&amp;B112,""price"",today()-$AI$36,today()),""select Col2"",0),{""charttype"",$AI$35}))"),"...")</f>
        <v>...</v>
      </c>
      <c r="D112" s="17"/>
      <c r="E112" s="31"/>
      <c r="F112" s="7"/>
      <c r="G112" s="8" t="str">
        <f t="shared" si="1"/>
        <v>...</v>
      </c>
      <c r="H112" s="31"/>
      <c r="I112" s="52"/>
      <c r="J112" s="45" t="str">
        <f t="shared" si="2"/>
        <v>...</v>
      </c>
      <c r="K112" s="47" t="str">
        <f t="array" ref="K112">IF(B112=0,"...",J112/VLOOKUP(D112,{CCL!M:N;CCL!$P:$Q},2,FALSE))</f>
        <v>...</v>
      </c>
      <c r="L112" s="45" t="str">
        <f>IFERROR(__xludf.DUMMYFUNCTION("if(B112=0,""..."",if(E112=""CERRADA"",""Valor Venta"", GOOGLEFINANCE(""BCBA:""&amp;B112)))"),"...")</f>
        <v>...</v>
      </c>
      <c r="M112" s="45" t="str">
        <f>if(B112=0,"...",L112*(1-VLOOKUP(A112,Config!$B$3:$C$22,2,FALSE)))</f>
        <v>...</v>
      </c>
      <c r="N112" s="45" t="str">
        <f t="shared" si="3"/>
        <v>...</v>
      </c>
      <c r="O112" s="12" t="str">
        <f>IFERROR(__xludf.DUMMYFUNCTION("if(B112=0,""..."",GOOGLEFINANCE(B112,""changepct"")/100)"),"...")</f>
        <v>...</v>
      </c>
      <c r="P112" s="10" t="str">
        <f>IFERROR(__xludf.DUMMYFUNCTION("if(B112=0,""..."",GOOGLEFINANCE(B112,""change"")*H112)"),"...")</f>
        <v>...</v>
      </c>
      <c r="Q112" s="12" t="str">
        <f t="shared" si="4"/>
        <v>...</v>
      </c>
      <c r="R112" s="47" t="str">
        <f t="shared" si="5"/>
        <v>...</v>
      </c>
      <c r="S112" s="12" t="str">
        <f t="array" ref="S112">IF(B112=0,"...",(N112/IF(E112="ABIERTA",CCL!$E$2,VLOOKUP(F112,{CCL!M:N;CCL!$P:$Q},2,FALSE))/(J112/VLOOKUP(D112,{CCL!M:N;CCL!$P:$Q},2,FALSE))-1))</f>
        <v>...</v>
      </c>
      <c r="T112" s="47" t="str">
        <f>IF(B112=0,"...",N112/VLOOKUP(IF(E112="ABIERTA",TODAY(),F112),CCL!$A$12:$B$773,2,FALSE)-J112/VLOOKUP(D112,CCL!$A$12:$B235,2,FALSE))</f>
        <v>...</v>
      </c>
      <c r="U112" s="2"/>
      <c r="V112" s="10"/>
      <c r="W112" s="59" t="str">
        <f t="shared" si="16"/>
        <v>...</v>
      </c>
      <c r="X112" s="12" t="str">
        <f t="shared" si="17"/>
        <v/>
      </c>
      <c r="Y112" s="45" t="str">
        <f t="shared" si="18"/>
        <v>...</v>
      </c>
      <c r="Z112" s="45" t="str">
        <f t="shared" si="19"/>
        <v>...</v>
      </c>
      <c r="AA112" s="12" t="str">
        <f t="shared" si="20"/>
        <v>...</v>
      </c>
      <c r="AB112" s="45" t="str">
        <f t="shared" si="21"/>
        <v>...</v>
      </c>
      <c r="AC112" s="45" t="str">
        <f t="shared" si="22"/>
        <v>...</v>
      </c>
      <c r="AD112" s="12" t="str">
        <f t="shared" si="23"/>
        <v>...</v>
      </c>
      <c r="AE112" s="46" t="str">
        <f t="shared" si="24"/>
        <v>...</v>
      </c>
      <c r="AF112" s="2"/>
      <c r="AG112" s="2"/>
      <c r="AH112" s="2"/>
      <c r="AI112" s="2"/>
      <c r="AJ112" s="2"/>
      <c r="AK112" s="2"/>
    </row>
    <row r="113" ht="24.0" customHeight="1">
      <c r="A113" s="4"/>
      <c r="B113" s="30"/>
      <c r="C113" s="5" t="str">
        <f>IFERROR(__xludf.DUMMYFUNCTION("if(B113=0,""..."", sparkline(query(GOOGLEFINANCE(""BCBA:""&amp;B113,""price"",today()-$AI$36,today()),""select Col2"",0),{""charttype"",$AI$35}))"),"...")</f>
        <v>...</v>
      </c>
      <c r="D113" s="17"/>
      <c r="E113" s="31"/>
      <c r="F113" s="7"/>
      <c r="G113" s="8" t="str">
        <f t="shared" si="1"/>
        <v>...</v>
      </c>
      <c r="H113" s="31"/>
      <c r="I113" s="52"/>
      <c r="J113" s="45" t="str">
        <f t="shared" si="2"/>
        <v>...</v>
      </c>
      <c r="K113" s="47" t="str">
        <f t="array" ref="K113">IF(B113=0,"...",J113/VLOOKUP(D113,{CCL!M:N;CCL!$P:$Q},2,FALSE))</f>
        <v>...</v>
      </c>
      <c r="L113" s="45" t="str">
        <f>IFERROR(__xludf.DUMMYFUNCTION("if(B113=0,""..."",if(E113=""CERRADA"",""Valor Venta"", GOOGLEFINANCE(""BCBA:""&amp;B113)))"),"...")</f>
        <v>...</v>
      </c>
      <c r="M113" s="45" t="str">
        <f>if(B113=0,"...",L113*(1-VLOOKUP(A113,Config!$B$3:$C$22,2,FALSE)))</f>
        <v>...</v>
      </c>
      <c r="N113" s="45" t="str">
        <f t="shared" si="3"/>
        <v>...</v>
      </c>
      <c r="O113" s="12" t="str">
        <f>IFERROR(__xludf.DUMMYFUNCTION("if(B113=0,""..."",GOOGLEFINANCE(B113,""changepct"")/100)"),"...")</f>
        <v>...</v>
      </c>
      <c r="P113" s="10" t="str">
        <f>IFERROR(__xludf.DUMMYFUNCTION("if(B113=0,""..."",GOOGLEFINANCE(B113,""change"")*H113)"),"...")</f>
        <v>...</v>
      </c>
      <c r="Q113" s="12" t="str">
        <f t="shared" si="4"/>
        <v>...</v>
      </c>
      <c r="R113" s="47" t="str">
        <f t="shared" si="5"/>
        <v>...</v>
      </c>
      <c r="S113" s="12" t="str">
        <f t="array" ref="S113">IF(B113=0,"...",(N113/IF(E113="ABIERTA",CCL!$E$2,VLOOKUP(F113,{CCL!M:N;CCL!$P:$Q},2,FALSE))/(J113/VLOOKUP(D113,{CCL!M:N;CCL!$P:$Q},2,FALSE))-1))</f>
        <v>...</v>
      </c>
      <c r="T113" s="47" t="str">
        <f>IF(B113=0,"...",N113/VLOOKUP(IF(E113="ABIERTA",TODAY(),F113),CCL!$A$12:$B$773,2,FALSE)-J113/VLOOKUP(D113,CCL!$A$12:$B235,2,FALSE))</f>
        <v>...</v>
      </c>
      <c r="U113" s="2"/>
      <c r="V113" s="10"/>
      <c r="W113" s="59" t="str">
        <f t="shared" si="16"/>
        <v>...</v>
      </c>
      <c r="X113" s="12" t="str">
        <f t="shared" si="17"/>
        <v/>
      </c>
      <c r="Y113" s="45" t="str">
        <f t="shared" si="18"/>
        <v>...</v>
      </c>
      <c r="Z113" s="45" t="str">
        <f t="shared" si="19"/>
        <v>...</v>
      </c>
      <c r="AA113" s="12" t="str">
        <f t="shared" si="20"/>
        <v>...</v>
      </c>
      <c r="AB113" s="45" t="str">
        <f t="shared" si="21"/>
        <v>...</v>
      </c>
      <c r="AC113" s="45" t="str">
        <f t="shared" si="22"/>
        <v>...</v>
      </c>
      <c r="AD113" s="12" t="str">
        <f t="shared" si="23"/>
        <v>...</v>
      </c>
      <c r="AE113" s="46" t="str">
        <f t="shared" si="24"/>
        <v>...</v>
      </c>
      <c r="AF113" s="2"/>
      <c r="AG113" s="2"/>
      <c r="AH113" s="2"/>
      <c r="AI113" s="2"/>
      <c r="AJ113" s="2"/>
      <c r="AK113" s="2"/>
    </row>
    <row r="114" ht="24.0" customHeight="1">
      <c r="A114" s="4"/>
      <c r="B114" s="30"/>
      <c r="C114" s="5" t="str">
        <f>IFERROR(__xludf.DUMMYFUNCTION("if(B114=0,""..."", sparkline(query(GOOGLEFINANCE(""BCBA:""&amp;B114,""price"",today()-$AI$36,today()),""select Col2"",0),{""charttype"",$AI$35}))"),"...")</f>
        <v>...</v>
      </c>
      <c r="D114" s="17"/>
      <c r="E114" s="31"/>
      <c r="F114" s="7"/>
      <c r="G114" s="8" t="str">
        <f t="shared" si="1"/>
        <v>...</v>
      </c>
      <c r="H114" s="31"/>
      <c r="I114" s="52"/>
      <c r="J114" s="45" t="str">
        <f t="shared" si="2"/>
        <v>...</v>
      </c>
      <c r="K114" s="47" t="str">
        <f t="array" ref="K114">IF(B114=0,"...",J114/VLOOKUP(D114,{CCL!M:N;CCL!$P:$Q},2,FALSE))</f>
        <v>...</v>
      </c>
      <c r="L114" s="45" t="str">
        <f>IFERROR(__xludf.DUMMYFUNCTION("if(B114=0,""..."",if(E114=""CERRADA"",""Valor Venta"", GOOGLEFINANCE(""BCBA:""&amp;B114)))"),"...")</f>
        <v>...</v>
      </c>
      <c r="M114" s="45" t="str">
        <f>if(B114=0,"...",L114*(1-VLOOKUP(A114,Config!$B$3:$C$22,2,FALSE)))</f>
        <v>...</v>
      </c>
      <c r="N114" s="45" t="str">
        <f t="shared" si="3"/>
        <v>...</v>
      </c>
      <c r="O114" s="12" t="str">
        <f>IFERROR(__xludf.DUMMYFUNCTION("if(B114=0,""..."",GOOGLEFINANCE(B114,""changepct"")/100)"),"...")</f>
        <v>...</v>
      </c>
      <c r="P114" s="10" t="str">
        <f>IFERROR(__xludf.DUMMYFUNCTION("if(B114=0,""..."",GOOGLEFINANCE(B114,""change"")*H114)"),"...")</f>
        <v>...</v>
      </c>
      <c r="Q114" s="12" t="str">
        <f t="shared" si="4"/>
        <v>...</v>
      </c>
      <c r="R114" s="47" t="str">
        <f t="shared" si="5"/>
        <v>...</v>
      </c>
      <c r="S114" s="12" t="str">
        <f t="array" ref="S114">IF(B114=0,"...",(N114/IF(E114="ABIERTA",CCL!$E$2,VLOOKUP(F114,{CCL!M:N;CCL!$P:$Q},2,FALSE))/(J114/VLOOKUP(D114,{CCL!M:N;CCL!$P:$Q},2,FALSE))-1))</f>
        <v>...</v>
      </c>
      <c r="T114" s="47" t="str">
        <f>IF(B114=0,"...",N114/VLOOKUP(IF(E114="ABIERTA",TODAY(),F114),CCL!$A$12:$B$773,2,FALSE)-J114/VLOOKUP(D114,CCL!$A$12:$B235,2,FALSE))</f>
        <v>...</v>
      </c>
      <c r="U114" s="2"/>
      <c r="V114" s="10"/>
      <c r="W114" s="59" t="str">
        <f t="shared" si="16"/>
        <v>...</v>
      </c>
      <c r="X114" s="12" t="str">
        <f t="shared" si="17"/>
        <v/>
      </c>
      <c r="Y114" s="45" t="str">
        <f t="shared" si="18"/>
        <v>...</v>
      </c>
      <c r="Z114" s="45" t="str">
        <f t="shared" si="19"/>
        <v>...</v>
      </c>
      <c r="AA114" s="12" t="str">
        <f t="shared" si="20"/>
        <v>...</v>
      </c>
      <c r="AB114" s="45" t="str">
        <f t="shared" si="21"/>
        <v>...</v>
      </c>
      <c r="AC114" s="45" t="str">
        <f t="shared" si="22"/>
        <v>...</v>
      </c>
      <c r="AD114" s="12" t="str">
        <f t="shared" si="23"/>
        <v>...</v>
      </c>
      <c r="AE114" s="46" t="str">
        <f t="shared" si="24"/>
        <v>...</v>
      </c>
      <c r="AF114" s="2"/>
      <c r="AG114" s="2"/>
      <c r="AH114" s="2"/>
      <c r="AI114" s="2"/>
      <c r="AJ114" s="2"/>
      <c r="AK114" s="2"/>
    </row>
    <row r="115" ht="24.0" customHeight="1">
      <c r="A115" s="4"/>
      <c r="B115" s="30"/>
      <c r="C115" s="5" t="str">
        <f>IFERROR(__xludf.DUMMYFUNCTION("if(B115=0,""..."", sparkline(query(GOOGLEFINANCE(""BCBA:""&amp;B115,""price"",today()-$AI$36,today()),""select Col2"",0),{""charttype"",$AI$35}))"),"...")</f>
        <v>...</v>
      </c>
      <c r="D115" s="17"/>
      <c r="E115" s="31"/>
      <c r="F115" s="7"/>
      <c r="G115" s="8" t="str">
        <f t="shared" si="1"/>
        <v>...</v>
      </c>
      <c r="H115" s="31"/>
      <c r="I115" s="52"/>
      <c r="J115" s="45" t="str">
        <f t="shared" si="2"/>
        <v>...</v>
      </c>
      <c r="K115" s="47" t="str">
        <f t="array" ref="K115">IF(B115=0,"...",J115/VLOOKUP(D115,{CCL!M:N;CCL!$P:$Q},2,FALSE))</f>
        <v>...</v>
      </c>
      <c r="L115" s="45" t="str">
        <f>IFERROR(__xludf.DUMMYFUNCTION("if(B115=0,""..."",if(E115=""CERRADA"",""Valor Venta"", GOOGLEFINANCE(""BCBA:""&amp;B115)))"),"...")</f>
        <v>...</v>
      </c>
      <c r="M115" s="45" t="str">
        <f>if(B115=0,"...",L115*(1-VLOOKUP(A115,Config!$B$3:$C$22,2,FALSE)))</f>
        <v>...</v>
      </c>
      <c r="N115" s="45" t="str">
        <f t="shared" si="3"/>
        <v>...</v>
      </c>
      <c r="O115" s="12" t="str">
        <f>IFERROR(__xludf.DUMMYFUNCTION("if(B115=0,""..."",GOOGLEFINANCE(B115,""changepct"")/100)"),"...")</f>
        <v>...</v>
      </c>
      <c r="P115" s="10" t="str">
        <f>IFERROR(__xludf.DUMMYFUNCTION("if(B115=0,""..."",GOOGLEFINANCE(B115,""change"")*H115)"),"...")</f>
        <v>...</v>
      </c>
      <c r="Q115" s="12" t="str">
        <f t="shared" si="4"/>
        <v>...</v>
      </c>
      <c r="R115" s="47" t="str">
        <f t="shared" si="5"/>
        <v>...</v>
      </c>
      <c r="S115" s="12" t="str">
        <f t="array" ref="S115">IF(B115=0,"...",(N115/IF(E115="ABIERTA",CCL!$E$2,VLOOKUP(F115,{CCL!M:N;CCL!$P:$Q},2,FALSE))/(J115/VLOOKUP(D115,{CCL!M:N;CCL!$P:$Q},2,FALSE))-1))</f>
        <v>...</v>
      </c>
      <c r="T115" s="47" t="str">
        <f>IF(B115=0,"...",N115/VLOOKUP(IF(E115="ABIERTA",TODAY(),F115),CCL!$A$12:$B$773,2,FALSE)-J115/VLOOKUP(D115,CCL!$A$12:$B235,2,FALSE))</f>
        <v>...</v>
      </c>
      <c r="U115" s="2"/>
      <c r="V115" s="10"/>
      <c r="W115" s="59" t="str">
        <f t="shared" si="16"/>
        <v>...</v>
      </c>
      <c r="X115" s="12" t="str">
        <f t="shared" si="17"/>
        <v/>
      </c>
      <c r="Y115" s="45" t="str">
        <f t="shared" si="18"/>
        <v>...</v>
      </c>
      <c r="Z115" s="45" t="str">
        <f t="shared" si="19"/>
        <v>...</v>
      </c>
      <c r="AA115" s="12" t="str">
        <f t="shared" si="20"/>
        <v>...</v>
      </c>
      <c r="AB115" s="45" t="str">
        <f t="shared" si="21"/>
        <v>...</v>
      </c>
      <c r="AC115" s="45" t="str">
        <f t="shared" si="22"/>
        <v>...</v>
      </c>
      <c r="AD115" s="12" t="str">
        <f t="shared" si="23"/>
        <v>...</v>
      </c>
      <c r="AE115" s="46" t="str">
        <f t="shared" si="24"/>
        <v>...</v>
      </c>
      <c r="AF115" s="2"/>
      <c r="AG115" s="2"/>
      <c r="AH115" s="2"/>
      <c r="AI115" s="2"/>
      <c r="AJ115" s="2"/>
      <c r="AK115" s="2"/>
    </row>
    <row r="116" ht="24.0" customHeight="1">
      <c r="A116" s="4"/>
      <c r="B116" s="30"/>
      <c r="C116" s="5" t="str">
        <f>IFERROR(__xludf.DUMMYFUNCTION("if(B116=0,""..."", sparkline(query(GOOGLEFINANCE(""BCBA:""&amp;B116,""price"",today()-$AI$36,today()),""select Col2"",0),{""charttype"",$AI$35}))"),"...")</f>
        <v>...</v>
      </c>
      <c r="D116" s="17"/>
      <c r="E116" s="31"/>
      <c r="F116" s="7"/>
      <c r="G116" s="8" t="str">
        <f t="shared" si="1"/>
        <v>...</v>
      </c>
      <c r="H116" s="31"/>
      <c r="I116" s="52"/>
      <c r="J116" s="45" t="str">
        <f t="shared" si="2"/>
        <v>...</v>
      </c>
      <c r="K116" s="47" t="str">
        <f t="array" ref="K116">IF(B116=0,"...",J116/VLOOKUP(D116,{CCL!M:N;CCL!$P:$Q},2,FALSE))</f>
        <v>...</v>
      </c>
      <c r="L116" s="45" t="str">
        <f>IFERROR(__xludf.DUMMYFUNCTION("if(B116=0,""..."",if(E116=""CERRADA"",""Valor Venta"", GOOGLEFINANCE(""BCBA:""&amp;B116)))"),"...")</f>
        <v>...</v>
      </c>
      <c r="M116" s="45" t="str">
        <f>if(B116=0,"...",L116*(1-VLOOKUP(A116,Config!$B$3:$C$22,2,FALSE)))</f>
        <v>...</v>
      </c>
      <c r="N116" s="45" t="str">
        <f t="shared" si="3"/>
        <v>...</v>
      </c>
      <c r="O116" s="12" t="str">
        <f>IFERROR(__xludf.DUMMYFUNCTION("if(B116=0,""..."",GOOGLEFINANCE(B116,""changepct"")/100)"),"...")</f>
        <v>...</v>
      </c>
      <c r="P116" s="10" t="str">
        <f>IFERROR(__xludf.DUMMYFUNCTION("if(B116=0,""..."",GOOGLEFINANCE(B116,""change"")*H116)"),"...")</f>
        <v>...</v>
      </c>
      <c r="Q116" s="12" t="str">
        <f t="shared" si="4"/>
        <v>...</v>
      </c>
      <c r="R116" s="47" t="str">
        <f t="shared" si="5"/>
        <v>...</v>
      </c>
      <c r="S116" s="12" t="str">
        <f t="array" ref="S116">IF(B116=0,"...",(N116/IF(E116="ABIERTA",CCL!$E$2,VLOOKUP(F116,{CCL!M:N;CCL!$P:$Q},2,FALSE))/(J116/VLOOKUP(D116,{CCL!M:N;CCL!$P:$Q},2,FALSE))-1))</f>
        <v>...</v>
      </c>
      <c r="T116" s="47" t="str">
        <f>IF(B116=0,"...",N116/VLOOKUP(IF(E116="ABIERTA",TODAY(),F116),CCL!$A$12:$B$773,2,FALSE)-J116/VLOOKUP(D116,CCL!$A$12:$B235,2,FALSE))</f>
        <v>...</v>
      </c>
      <c r="U116" s="2"/>
      <c r="V116" s="10"/>
      <c r="W116" s="59" t="str">
        <f t="shared" si="16"/>
        <v>...</v>
      </c>
      <c r="X116" s="12" t="str">
        <f t="shared" si="17"/>
        <v/>
      </c>
      <c r="Y116" s="45" t="str">
        <f t="shared" si="18"/>
        <v>...</v>
      </c>
      <c r="Z116" s="45" t="str">
        <f t="shared" si="19"/>
        <v>...</v>
      </c>
      <c r="AA116" s="12" t="str">
        <f t="shared" si="20"/>
        <v>...</v>
      </c>
      <c r="AB116" s="45" t="str">
        <f t="shared" si="21"/>
        <v>...</v>
      </c>
      <c r="AC116" s="45" t="str">
        <f t="shared" si="22"/>
        <v>...</v>
      </c>
      <c r="AD116" s="12" t="str">
        <f t="shared" si="23"/>
        <v>...</v>
      </c>
      <c r="AE116" s="46" t="str">
        <f t="shared" si="24"/>
        <v>...</v>
      </c>
      <c r="AF116" s="2"/>
      <c r="AG116" s="2"/>
      <c r="AH116" s="2"/>
      <c r="AI116" s="2"/>
      <c r="AJ116" s="2"/>
      <c r="AK116" s="2"/>
    </row>
    <row r="117" ht="24.0" customHeight="1">
      <c r="A117" s="4"/>
      <c r="B117" s="30"/>
      <c r="C117" s="5" t="str">
        <f>IFERROR(__xludf.DUMMYFUNCTION("if(B117=0,""..."", sparkline(query(GOOGLEFINANCE(""BCBA:""&amp;B117,""price"",today()-$AI$36,today()),""select Col2"",0),{""charttype"",$AI$35}))"),"...")</f>
        <v>...</v>
      </c>
      <c r="D117" s="17"/>
      <c r="E117" s="31"/>
      <c r="F117" s="7"/>
      <c r="G117" s="8" t="str">
        <f t="shared" si="1"/>
        <v>...</v>
      </c>
      <c r="H117" s="31"/>
      <c r="I117" s="52"/>
      <c r="J117" s="45" t="str">
        <f t="shared" si="2"/>
        <v>...</v>
      </c>
      <c r="K117" s="47" t="str">
        <f t="array" ref="K117">IF(B117=0,"...",J117/VLOOKUP(D117,{CCL!M:N;CCL!$P:$Q},2,FALSE))</f>
        <v>...</v>
      </c>
      <c r="L117" s="45" t="str">
        <f>IFERROR(__xludf.DUMMYFUNCTION("if(B117=0,""..."",if(E117=""CERRADA"",""Valor Venta"", GOOGLEFINANCE(""BCBA:""&amp;B117)))"),"...")</f>
        <v>...</v>
      </c>
      <c r="M117" s="45" t="str">
        <f>if(B117=0,"...",L117*(1-VLOOKUP(A117,Config!$B$3:$C$22,2,FALSE)))</f>
        <v>...</v>
      </c>
      <c r="N117" s="45" t="str">
        <f t="shared" si="3"/>
        <v>...</v>
      </c>
      <c r="O117" s="12" t="str">
        <f>IFERROR(__xludf.DUMMYFUNCTION("if(B117=0,""..."",GOOGLEFINANCE(B117,""changepct"")/100)"),"...")</f>
        <v>...</v>
      </c>
      <c r="P117" s="10" t="str">
        <f>IFERROR(__xludf.DUMMYFUNCTION("if(B117=0,""..."",GOOGLEFINANCE(B117,""change"")*H117)"),"...")</f>
        <v>...</v>
      </c>
      <c r="Q117" s="12" t="str">
        <f t="shared" si="4"/>
        <v>...</v>
      </c>
      <c r="R117" s="47" t="str">
        <f t="shared" si="5"/>
        <v>...</v>
      </c>
      <c r="S117" s="12" t="str">
        <f t="array" ref="S117">IF(B117=0,"...",(N117/IF(E117="ABIERTA",CCL!$E$2,VLOOKUP(F117,{CCL!M:N;CCL!$P:$Q},2,FALSE))/(J117/VLOOKUP(D117,{CCL!M:N;CCL!$P:$Q},2,FALSE))-1))</f>
        <v>...</v>
      </c>
      <c r="T117" s="47" t="str">
        <f>IF(B117=0,"...",N117/VLOOKUP(IF(E117="ABIERTA",TODAY(),F117),CCL!$A$12:$B$773,2,FALSE)-J117/VLOOKUP(D117,CCL!$A$12:$B235,2,FALSE))</f>
        <v>...</v>
      </c>
      <c r="U117" s="2"/>
      <c r="V117" s="10"/>
      <c r="W117" s="59" t="str">
        <f t="shared" si="16"/>
        <v>...</v>
      </c>
      <c r="X117" s="12" t="str">
        <f t="shared" si="17"/>
        <v/>
      </c>
      <c r="Y117" s="45" t="str">
        <f t="shared" si="18"/>
        <v>...</v>
      </c>
      <c r="Z117" s="45" t="str">
        <f t="shared" si="19"/>
        <v>...</v>
      </c>
      <c r="AA117" s="12" t="str">
        <f t="shared" si="20"/>
        <v>...</v>
      </c>
      <c r="AB117" s="45" t="str">
        <f t="shared" si="21"/>
        <v>...</v>
      </c>
      <c r="AC117" s="45" t="str">
        <f t="shared" si="22"/>
        <v>...</v>
      </c>
      <c r="AD117" s="12" t="str">
        <f t="shared" si="23"/>
        <v>...</v>
      </c>
      <c r="AE117" s="46" t="str">
        <f t="shared" si="24"/>
        <v>...</v>
      </c>
      <c r="AF117" s="2"/>
      <c r="AG117" s="2"/>
      <c r="AH117" s="2"/>
      <c r="AI117" s="2"/>
      <c r="AJ117" s="2"/>
      <c r="AK117" s="2"/>
    </row>
    <row r="118" ht="24.0" customHeight="1">
      <c r="A118" s="4"/>
      <c r="B118" s="30"/>
      <c r="C118" s="5" t="str">
        <f>IFERROR(__xludf.DUMMYFUNCTION("if(B118=0,""..."", sparkline(query(GOOGLEFINANCE(""BCBA:""&amp;B118,""price"",today()-$AI$36,today()),""select Col2"",0),{""charttype"",$AI$35}))"),"...")</f>
        <v>...</v>
      </c>
      <c r="D118" s="17"/>
      <c r="E118" s="31"/>
      <c r="F118" s="7"/>
      <c r="G118" s="8" t="str">
        <f t="shared" si="1"/>
        <v>...</v>
      </c>
      <c r="H118" s="31"/>
      <c r="I118" s="52"/>
      <c r="J118" s="45" t="str">
        <f t="shared" si="2"/>
        <v>...</v>
      </c>
      <c r="K118" s="47" t="str">
        <f t="array" ref="K118">IF(B118=0,"...",J118/VLOOKUP(D118,{CCL!M:N;CCL!$P:$Q},2,FALSE))</f>
        <v>...</v>
      </c>
      <c r="L118" s="45" t="str">
        <f>IFERROR(__xludf.DUMMYFUNCTION("if(B118=0,""..."",if(E118=""CERRADA"",""Valor Venta"", GOOGLEFINANCE(""BCBA:""&amp;B118)))"),"...")</f>
        <v>...</v>
      </c>
      <c r="M118" s="45" t="str">
        <f>if(B118=0,"...",L118*(1-VLOOKUP(A118,Config!$B$3:$C$22,2,FALSE)))</f>
        <v>...</v>
      </c>
      <c r="N118" s="45" t="str">
        <f t="shared" si="3"/>
        <v>...</v>
      </c>
      <c r="O118" s="12" t="str">
        <f>IFERROR(__xludf.DUMMYFUNCTION("if(B118=0,""..."",GOOGLEFINANCE(B118,""changepct"")/100)"),"...")</f>
        <v>...</v>
      </c>
      <c r="P118" s="10" t="str">
        <f>IFERROR(__xludf.DUMMYFUNCTION("if(B118=0,""..."",GOOGLEFINANCE(B118,""change"")*H118)"),"...")</f>
        <v>...</v>
      </c>
      <c r="Q118" s="12" t="str">
        <f t="shared" si="4"/>
        <v>...</v>
      </c>
      <c r="R118" s="47" t="str">
        <f t="shared" si="5"/>
        <v>...</v>
      </c>
      <c r="S118" s="12" t="str">
        <f t="array" ref="S118">IF(B118=0,"...",(N118/IF(E118="ABIERTA",CCL!$E$2,VLOOKUP(F118,{CCL!M:N;CCL!$P:$Q},2,FALSE))/(J118/VLOOKUP(D118,{CCL!M:N;CCL!$P:$Q},2,FALSE))-1))</f>
        <v>...</v>
      </c>
      <c r="T118" s="47" t="str">
        <f>IF(B118=0,"...",N118/VLOOKUP(IF(E118="ABIERTA",TODAY(),F118),CCL!$A$12:$B$773,2,FALSE)-J118/VLOOKUP(D118,CCL!$A$12:$B235,2,FALSE))</f>
        <v>...</v>
      </c>
      <c r="U118" s="2"/>
      <c r="V118" s="10"/>
      <c r="W118" s="59" t="str">
        <f t="shared" si="16"/>
        <v>...</v>
      </c>
      <c r="X118" s="12" t="str">
        <f t="shared" si="17"/>
        <v/>
      </c>
      <c r="Y118" s="45" t="str">
        <f t="shared" si="18"/>
        <v>...</v>
      </c>
      <c r="Z118" s="45" t="str">
        <f t="shared" si="19"/>
        <v>...</v>
      </c>
      <c r="AA118" s="12" t="str">
        <f t="shared" si="20"/>
        <v>...</v>
      </c>
      <c r="AB118" s="45" t="str">
        <f t="shared" si="21"/>
        <v>...</v>
      </c>
      <c r="AC118" s="45" t="str">
        <f t="shared" si="22"/>
        <v>...</v>
      </c>
      <c r="AD118" s="12" t="str">
        <f t="shared" si="23"/>
        <v>...</v>
      </c>
      <c r="AE118" s="46" t="str">
        <f t="shared" si="24"/>
        <v>...</v>
      </c>
      <c r="AF118" s="2"/>
      <c r="AG118" s="2"/>
      <c r="AH118" s="2"/>
      <c r="AI118" s="2"/>
      <c r="AJ118" s="2"/>
      <c r="AK118" s="2"/>
    </row>
    <row r="119" ht="24.0" customHeight="1">
      <c r="A119" s="4"/>
      <c r="B119" s="30"/>
      <c r="C119" s="5" t="str">
        <f>IFERROR(__xludf.DUMMYFUNCTION("if(B119=0,""..."", sparkline(query(GOOGLEFINANCE(""BCBA:""&amp;B119,""price"",today()-$AI$36,today()),""select Col2"",0),{""charttype"",$AI$35}))"),"...")</f>
        <v>...</v>
      </c>
      <c r="D119" s="17"/>
      <c r="E119" s="31"/>
      <c r="F119" s="7"/>
      <c r="G119" s="8" t="str">
        <f t="shared" si="1"/>
        <v>...</v>
      </c>
      <c r="H119" s="31"/>
      <c r="I119" s="52"/>
      <c r="J119" s="45" t="str">
        <f t="shared" si="2"/>
        <v>...</v>
      </c>
      <c r="K119" s="47" t="str">
        <f t="array" ref="K119">IF(B119=0,"...",J119/VLOOKUP(D119,{CCL!M:N;CCL!$P:$Q},2,FALSE))</f>
        <v>...</v>
      </c>
      <c r="L119" s="45" t="str">
        <f>IFERROR(__xludf.DUMMYFUNCTION("if(B119=0,""..."",if(E119=""CERRADA"",""Valor Venta"", GOOGLEFINANCE(""BCBA:""&amp;B119)))"),"...")</f>
        <v>...</v>
      </c>
      <c r="M119" s="45" t="str">
        <f>if(B119=0,"...",L119*(1-VLOOKUP(A119,Config!$B$3:$C$22,2,FALSE)))</f>
        <v>...</v>
      </c>
      <c r="N119" s="45" t="str">
        <f t="shared" si="3"/>
        <v>...</v>
      </c>
      <c r="O119" s="12" t="str">
        <f>IFERROR(__xludf.DUMMYFUNCTION("if(B119=0,""..."",GOOGLEFINANCE(B119,""changepct"")/100)"),"...")</f>
        <v>...</v>
      </c>
      <c r="P119" s="10" t="str">
        <f>IFERROR(__xludf.DUMMYFUNCTION("if(B119=0,""..."",GOOGLEFINANCE(B119,""change"")*H119)"),"...")</f>
        <v>...</v>
      </c>
      <c r="Q119" s="12" t="str">
        <f t="shared" si="4"/>
        <v>...</v>
      </c>
      <c r="R119" s="47" t="str">
        <f t="shared" si="5"/>
        <v>...</v>
      </c>
      <c r="S119" s="12" t="str">
        <f t="array" ref="S119">IF(B119=0,"...",(N119/IF(E119="ABIERTA",CCL!$E$2,VLOOKUP(F119,{CCL!M:N;CCL!$P:$Q},2,FALSE))/(J119/VLOOKUP(D119,{CCL!M:N;CCL!$P:$Q},2,FALSE))-1))</f>
        <v>...</v>
      </c>
      <c r="T119" s="47" t="str">
        <f>IF(B119=0,"...",N119/VLOOKUP(IF(E119="ABIERTA",TODAY(),F119),CCL!$A$12:$B$773,2,FALSE)-J119/VLOOKUP(D119,CCL!$A$12:$B235,2,FALSE))</f>
        <v>...</v>
      </c>
      <c r="U119" s="2"/>
      <c r="V119" s="10"/>
      <c r="W119" s="59" t="str">
        <f t="shared" si="16"/>
        <v>...</v>
      </c>
      <c r="X119" s="12" t="str">
        <f t="shared" si="17"/>
        <v/>
      </c>
      <c r="Y119" s="45" t="str">
        <f t="shared" si="18"/>
        <v>...</v>
      </c>
      <c r="Z119" s="45" t="str">
        <f t="shared" si="19"/>
        <v>...</v>
      </c>
      <c r="AA119" s="12" t="str">
        <f t="shared" si="20"/>
        <v>...</v>
      </c>
      <c r="AB119" s="45" t="str">
        <f t="shared" si="21"/>
        <v>...</v>
      </c>
      <c r="AC119" s="45" t="str">
        <f t="shared" si="22"/>
        <v>...</v>
      </c>
      <c r="AD119" s="12" t="str">
        <f t="shared" si="23"/>
        <v>...</v>
      </c>
      <c r="AE119" s="46" t="str">
        <f t="shared" si="24"/>
        <v>...</v>
      </c>
      <c r="AF119" s="2"/>
      <c r="AG119" s="2"/>
      <c r="AH119" s="2"/>
      <c r="AI119" s="2"/>
      <c r="AJ119" s="2"/>
      <c r="AK119" s="2"/>
    </row>
    <row r="120" ht="24.0" customHeight="1">
      <c r="A120" s="4"/>
      <c r="B120" s="30"/>
      <c r="C120" s="5" t="str">
        <f>IFERROR(__xludf.DUMMYFUNCTION("if(B120=0,""..."", sparkline(query(GOOGLEFINANCE(""BCBA:""&amp;B120,""price"",today()-$AI$36,today()),""select Col2"",0),{""charttype"",$AI$35}))"),"...")</f>
        <v>...</v>
      </c>
      <c r="D120" s="17"/>
      <c r="E120" s="31"/>
      <c r="F120" s="7"/>
      <c r="G120" s="8" t="str">
        <f t="shared" si="1"/>
        <v>...</v>
      </c>
      <c r="H120" s="31"/>
      <c r="I120" s="52"/>
      <c r="J120" s="45" t="str">
        <f t="shared" si="2"/>
        <v>...</v>
      </c>
      <c r="K120" s="47" t="str">
        <f t="array" ref="K120">IF(B120=0,"...",J120/VLOOKUP(D120,{CCL!M:N;CCL!$P:$Q},2,FALSE))</f>
        <v>...</v>
      </c>
      <c r="L120" s="45" t="str">
        <f>IFERROR(__xludf.DUMMYFUNCTION("if(B120=0,""..."",if(E120=""CERRADA"",""Valor Venta"", GOOGLEFINANCE(""BCBA:""&amp;B120)))"),"...")</f>
        <v>...</v>
      </c>
      <c r="M120" s="45" t="str">
        <f>if(B120=0,"...",L120*(1-VLOOKUP(A120,Config!$B$3:$C$22,2,FALSE)))</f>
        <v>...</v>
      </c>
      <c r="N120" s="45" t="str">
        <f t="shared" si="3"/>
        <v>...</v>
      </c>
      <c r="O120" s="12" t="str">
        <f>IFERROR(__xludf.DUMMYFUNCTION("if(B120=0,""..."",GOOGLEFINANCE(B120,""changepct"")/100)"),"...")</f>
        <v>...</v>
      </c>
      <c r="P120" s="10" t="str">
        <f>IFERROR(__xludf.DUMMYFUNCTION("if(B120=0,""..."",GOOGLEFINANCE(B120,""change"")*H120)"),"...")</f>
        <v>...</v>
      </c>
      <c r="Q120" s="12" t="str">
        <f t="shared" si="4"/>
        <v>...</v>
      </c>
      <c r="R120" s="47" t="str">
        <f t="shared" si="5"/>
        <v>...</v>
      </c>
      <c r="S120" s="12" t="str">
        <f t="array" ref="S120">IF(B120=0,"...",(N120/IF(E120="ABIERTA",CCL!$E$2,VLOOKUP(F120,{CCL!M:N;CCL!$P:$Q},2,FALSE))/(J120/VLOOKUP(D120,{CCL!M:N;CCL!$P:$Q},2,FALSE))-1))</f>
        <v>...</v>
      </c>
      <c r="T120" s="47" t="str">
        <f>IF(B120=0,"...",N120/VLOOKUP(IF(E120="ABIERTA",TODAY(),F120),CCL!$A$12:$B$773,2,FALSE)-J120/VLOOKUP(D120,CCL!$A$12:$B235,2,FALSE))</f>
        <v>...</v>
      </c>
      <c r="U120" s="2"/>
      <c r="V120" s="10"/>
      <c r="W120" s="59" t="str">
        <f t="shared" si="16"/>
        <v>...</v>
      </c>
      <c r="X120" s="12" t="str">
        <f t="shared" si="17"/>
        <v/>
      </c>
      <c r="Y120" s="45" t="str">
        <f t="shared" si="18"/>
        <v>...</v>
      </c>
      <c r="Z120" s="45" t="str">
        <f t="shared" si="19"/>
        <v>...</v>
      </c>
      <c r="AA120" s="12" t="str">
        <f t="shared" si="20"/>
        <v>...</v>
      </c>
      <c r="AB120" s="45" t="str">
        <f t="shared" si="21"/>
        <v>...</v>
      </c>
      <c r="AC120" s="45" t="str">
        <f t="shared" si="22"/>
        <v>...</v>
      </c>
      <c r="AD120" s="12" t="str">
        <f t="shared" si="23"/>
        <v>...</v>
      </c>
      <c r="AE120" s="46" t="str">
        <f t="shared" si="24"/>
        <v>...</v>
      </c>
      <c r="AF120" s="2"/>
      <c r="AG120" s="2"/>
      <c r="AH120" s="2"/>
      <c r="AI120" s="2"/>
      <c r="AJ120" s="2"/>
      <c r="AK120" s="2"/>
    </row>
    <row r="121" ht="24.0" customHeight="1">
      <c r="A121" s="4"/>
      <c r="B121" s="30"/>
      <c r="C121" s="5" t="str">
        <f>IFERROR(__xludf.DUMMYFUNCTION("if(B121=0,""..."", sparkline(query(GOOGLEFINANCE(""BCBA:""&amp;B121,""price"",today()-$AI$36,today()),""select Col2"",0),{""charttype"",$AI$35}))"),"...")</f>
        <v>...</v>
      </c>
      <c r="D121" s="17"/>
      <c r="E121" s="31"/>
      <c r="F121" s="7"/>
      <c r="G121" s="8" t="str">
        <f t="shared" si="1"/>
        <v>...</v>
      </c>
      <c r="H121" s="31"/>
      <c r="I121" s="52"/>
      <c r="J121" s="45" t="str">
        <f t="shared" si="2"/>
        <v>...</v>
      </c>
      <c r="K121" s="47" t="str">
        <f t="array" ref="K121">IF(B121=0,"...",J121/VLOOKUP(D121,{CCL!M:N;CCL!$P:$Q},2,FALSE))</f>
        <v>...</v>
      </c>
      <c r="L121" s="45" t="str">
        <f>IFERROR(__xludf.DUMMYFUNCTION("if(B121=0,""..."",if(E121=""CERRADA"",""Valor Venta"", GOOGLEFINANCE(""BCBA:""&amp;B121)))"),"...")</f>
        <v>...</v>
      </c>
      <c r="M121" s="45" t="str">
        <f>if(B121=0,"...",L121*(1-VLOOKUP(A121,Config!$B$3:$C$22,2,FALSE)))</f>
        <v>...</v>
      </c>
      <c r="N121" s="45" t="str">
        <f t="shared" si="3"/>
        <v>...</v>
      </c>
      <c r="O121" s="12" t="str">
        <f>IFERROR(__xludf.DUMMYFUNCTION("if(B121=0,""..."",GOOGLEFINANCE(B121,""changepct"")/100)"),"...")</f>
        <v>...</v>
      </c>
      <c r="P121" s="10" t="str">
        <f>IFERROR(__xludf.DUMMYFUNCTION("if(B121=0,""..."",GOOGLEFINANCE(B121,""change"")*H121)"),"...")</f>
        <v>...</v>
      </c>
      <c r="Q121" s="12" t="str">
        <f t="shared" si="4"/>
        <v>...</v>
      </c>
      <c r="R121" s="47" t="str">
        <f t="shared" si="5"/>
        <v>...</v>
      </c>
      <c r="S121" s="12" t="str">
        <f t="array" ref="S121">IF(B121=0,"...",(N121/IF(E121="ABIERTA",CCL!$E$2,VLOOKUP(F121,{CCL!M:N;CCL!$P:$Q},2,FALSE))/(J121/VLOOKUP(D121,{CCL!M:N;CCL!$P:$Q},2,FALSE))-1))</f>
        <v>...</v>
      </c>
      <c r="T121" s="47" t="str">
        <f>IF(B121=0,"...",N121/VLOOKUP(IF(E121="ABIERTA",TODAY(),F121),CCL!$A$12:$B$773,2,FALSE)-J121/VLOOKUP(D121,CCL!$A$12:$B235,2,FALSE))</f>
        <v>...</v>
      </c>
      <c r="U121" s="2"/>
      <c r="V121" s="10"/>
      <c r="W121" s="59" t="str">
        <f t="shared" si="16"/>
        <v>...</v>
      </c>
      <c r="X121" s="12" t="str">
        <f t="shared" si="17"/>
        <v/>
      </c>
      <c r="Y121" s="45" t="str">
        <f t="shared" si="18"/>
        <v>...</v>
      </c>
      <c r="Z121" s="45" t="str">
        <f t="shared" si="19"/>
        <v>...</v>
      </c>
      <c r="AA121" s="12" t="str">
        <f t="shared" si="20"/>
        <v>...</v>
      </c>
      <c r="AB121" s="45" t="str">
        <f t="shared" si="21"/>
        <v>...</v>
      </c>
      <c r="AC121" s="45" t="str">
        <f t="shared" si="22"/>
        <v>...</v>
      </c>
      <c r="AD121" s="12" t="str">
        <f t="shared" si="23"/>
        <v>...</v>
      </c>
      <c r="AE121" s="46" t="str">
        <f t="shared" si="24"/>
        <v>...</v>
      </c>
      <c r="AF121" s="2"/>
      <c r="AG121" s="2"/>
      <c r="AH121" s="2"/>
      <c r="AI121" s="2"/>
      <c r="AJ121" s="2"/>
      <c r="AK121" s="2"/>
    </row>
    <row r="122" ht="24.0" customHeight="1">
      <c r="A122" s="4"/>
      <c r="B122" s="30"/>
      <c r="C122" s="5" t="str">
        <f>IFERROR(__xludf.DUMMYFUNCTION("if(B122=0,""..."", sparkline(query(GOOGLEFINANCE(""BCBA:""&amp;B122,""price"",today()-$AI$36,today()),""select Col2"",0),{""charttype"",$AI$35}))"),"...")</f>
        <v>...</v>
      </c>
      <c r="D122" s="17"/>
      <c r="E122" s="31"/>
      <c r="F122" s="7"/>
      <c r="G122" s="8" t="str">
        <f t="shared" si="1"/>
        <v>...</v>
      </c>
      <c r="H122" s="31"/>
      <c r="I122" s="52"/>
      <c r="J122" s="45" t="str">
        <f t="shared" si="2"/>
        <v>...</v>
      </c>
      <c r="K122" s="47" t="str">
        <f t="array" ref="K122">IF(B122=0,"...",J122/VLOOKUP(D122,{CCL!M:N;CCL!$P:$Q},2,FALSE))</f>
        <v>...</v>
      </c>
      <c r="L122" s="45" t="str">
        <f>IFERROR(__xludf.DUMMYFUNCTION("if(B122=0,""..."",if(E122=""CERRADA"",""Valor Venta"", GOOGLEFINANCE(""BCBA:""&amp;B122)))"),"...")</f>
        <v>...</v>
      </c>
      <c r="M122" s="45" t="str">
        <f>if(B122=0,"...",L122*(1-VLOOKUP(A122,Config!$B$3:$C$22,2,FALSE)))</f>
        <v>...</v>
      </c>
      <c r="N122" s="45" t="str">
        <f t="shared" si="3"/>
        <v>...</v>
      </c>
      <c r="O122" s="12" t="str">
        <f>IFERROR(__xludf.DUMMYFUNCTION("if(B122=0,""..."",GOOGLEFINANCE(B122,""changepct"")/100)"),"...")</f>
        <v>...</v>
      </c>
      <c r="P122" s="10" t="str">
        <f>IFERROR(__xludf.DUMMYFUNCTION("if(B122=0,""..."",GOOGLEFINANCE(B122,""change"")*H122)"),"...")</f>
        <v>...</v>
      </c>
      <c r="Q122" s="12" t="str">
        <f t="shared" si="4"/>
        <v>...</v>
      </c>
      <c r="R122" s="47" t="str">
        <f t="shared" si="5"/>
        <v>...</v>
      </c>
      <c r="S122" s="12" t="str">
        <f t="array" ref="S122">IF(B122=0,"...",(N122/IF(E122="ABIERTA",CCL!$E$2,VLOOKUP(F122,{CCL!M:N;CCL!$P:$Q},2,FALSE))/(J122/VLOOKUP(D122,{CCL!M:N;CCL!$P:$Q},2,FALSE))-1))</f>
        <v>...</v>
      </c>
      <c r="T122" s="47" t="str">
        <f>IF(B122=0,"...",N122/VLOOKUP(IF(E122="ABIERTA",TODAY(),F122),CCL!$A$12:$B$773,2,FALSE)-J122/VLOOKUP(D122,CCL!$A$12:$B235,2,FALSE))</f>
        <v>...</v>
      </c>
      <c r="U122" s="2"/>
      <c r="V122" s="10"/>
      <c r="W122" s="59" t="str">
        <f t="shared" si="16"/>
        <v>...</v>
      </c>
      <c r="X122" s="12" t="str">
        <f t="shared" si="17"/>
        <v/>
      </c>
      <c r="Y122" s="45" t="str">
        <f t="shared" si="18"/>
        <v>...</v>
      </c>
      <c r="Z122" s="45" t="str">
        <f t="shared" si="19"/>
        <v>...</v>
      </c>
      <c r="AA122" s="12" t="str">
        <f t="shared" si="20"/>
        <v>...</v>
      </c>
      <c r="AB122" s="45" t="str">
        <f t="shared" si="21"/>
        <v>...</v>
      </c>
      <c r="AC122" s="45" t="str">
        <f t="shared" si="22"/>
        <v>...</v>
      </c>
      <c r="AD122" s="12" t="str">
        <f t="shared" si="23"/>
        <v>...</v>
      </c>
      <c r="AE122" s="46" t="str">
        <f t="shared" si="24"/>
        <v>...</v>
      </c>
      <c r="AF122" s="2"/>
      <c r="AG122" s="2"/>
      <c r="AH122" s="2"/>
      <c r="AI122" s="2"/>
      <c r="AJ122" s="2"/>
      <c r="AK122" s="2"/>
    </row>
    <row r="123" ht="24.0" customHeight="1">
      <c r="A123" s="4"/>
      <c r="B123" s="30"/>
      <c r="C123" s="5" t="str">
        <f>IFERROR(__xludf.DUMMYFUNCTION("if(B123=0,""..."", sparkline(query(GOOGLEFINANCE(""BCBA:""&amp;B123,""price"",today()-$AI$36,today()),""select Col2"",0),{""charttype"",$AI$35}))"),"...")</f>
        <v>...</v>
      </c>
      <c r="D123" s="17"/>
      <c r="E123" s="31"/>
      <c r="F123" s="7"/>
      <c r="G123" s="8" t="str">
        <f t="shared" si="1"/>
        <v>...</v>
      </c>
      <c r="H123" s="31"/>
      <c r="I123" s="52"/>
      <c r="J123" s="45" t="str">
        <f t="shared" si="2"/>
        <v>...</v>
      </c>
      <c r="K123" s="47" t="str">
        <f t="array" ref="K123">IF(B123=0,"...",J123/VLOOKUP(D123,{CCL!M:N;CCL!$P:$Q},2,FALSE))</f>
        <v>...</v>
      </c>
      <c r="L123" s="45" t="str">
        <f>IFERROR(__xludf.DUMMYFUNCTION("if(B123=0,""..."",if(E123=""CERRADA"",""Valor Venta"", GOOGLEFINANCE(""BCBA:""&amp;B123)))"),"...")</f>
        <v>...</v>
      </c>
      <c r="M123" s="45" t="str">
        <f>if(B123=0,"...",L123*(1-VLOOKUP(A123,Config!$B$3:$C$22,2,FALSE)))</f>
        <v>...</v>
      </c>
      <c r="N123" s="45" t="str">
        <f t="shared" si="3"/>
        <v>...</v>
      </c>
      <c r="O123" s="12" t="str">
        <f>IFERROR(__xludf.DUMMYFUNCTION("if(B123=0,""..."",GOOGLEFINANCE(B123,""changepct"")/100)"),"...")</f>
        <v>...</v>
      </c>
      <c r="P123" s="10" t="str">
        <f>IFERROR(__xludf.DUMMYFUNCTION("if(B123=0,""..."",GOOGLEFINANCE(B123,""change"")*H123)"),"...")</f>
        <v>...</v>
      </c>
      <c r="Q123" s="12" t="str">
        <f t="shared" si="4"/>
        <v>...</v>
      </c>
      <c r="R123" s="47" t="str">
        <f t="shared" si="5"/>
        <v>...</v>
      </c>
      <c r="S123" s="12" t="str">
        <f t="array" ref="S123">IF(B123=0,"...",(N123/IF(E123="ABIERTA",CCL!$E$2,VLOOKUP(F123,{CCL!M:N;CCL!$P:$Q},2,FALSE))/(J123/VLOOKUP(D123,{CCL!M:N;CCL!$P:$Q},2,FALSE))-1))</f>
        <v>...</v>
      </c>
      <c r="T123" s="47" t="str">
        <f>IF(B123=0,"...",N123/VLOOKUP(IF(E123="ABIERTA",TODAY(),F123),CCL!$A$12:$B$773,2,FALSE)-J123/VLOOKUP(D123,CCL!$A$12:$B235,2,FALSE))</f>
        <v>...</v>
      </c>
      <c r="U123" s="2"/>
      <c r="V123" s="10"/>
      <c r="W123" s="59" t="str">
        <f t="shared" si="16"/>
        <v>...</v>
      </c>
      <c r="X123" s="12" t="str">
        <f t="shared" si="17"/>
        <v/>
      </c>
      <c r="Y123" s="45" t="str">
        <f t="shared" si="18"/>
        <v>...</v>
      </c>
      <c r="Z123" s="45" t="str">
        <f t="shared" si="19"/>
        <v>...</v>
      </c>
      <c r="AA123" s="12" t="str">
        <f t="shared" si="20"/>
        <v>...</v>
      </c>
      <c r="AB123" s="45" t="str">
        <f t="shared" si="21"/>
        <v>...</v>
      </c>
      <c r="AC123" s="45" t="str">
        <f t="shared" si="22"/>
        <v>...</v>
      </c>
      <c r="AD123" s="12" t="str">
        <f t="shared" si="23"/>
        <v>...</v>
      </c>
      <c r="AE123" s="46" t="str">
        <f t="shared" si="24"/>
        <v>...</v>
      </c>
      <c r="AF123" s="2"/>
      <c r="AG123" s="2"/>
      <c r="AH123" s="2"/>
      <c r="AI123" s="2"/>
      <c r="AJ123" s="2"/>
      <c r="AK123" s="2"/>
    </row>
    <row r="124" ht="24.0" customHeight="1">
      <c r="A124" s="4"/>
      <c r="B124" s="30"/>
      <c r="C124" s="5" t="str">
        <f>IFERROR(__xludf.DUMMYFUNCTION("if(B124=0,""..."", sparkline(query(GOOGLEFINANCE(""BCBA:""&amp;B124,""price"",today()-$AI$36,today()),""select Col2"",0),{""charttype"",$AI$35}))"),"...")</f>
        <v>...</v>
      </c>
      <c r="D124" s="17"/>
      <c r="E124" s="31"/>
      <c r="F124" s="7"/>
      <c r="G124" s="8" t="str">
        <f t="shared" si="1"/>
        <v>...</v>
      </c>
      <c r="H124" s="31"/>
      <c r="I124" s="52"/>
      <c r="J124" s="45" t="str">
        <f t="shared" si="2"/>
        <v>...</v>
      </c>
      <c r="K124" s="47" t="str">
        <f t="array" ref="K124">IF(B124=0,"...",J124/VLOOKUP(D124,{CCL!M:N;CCL!$P:$Q},2,FALSE))</f>
        <v>...</v>
      </c>
      <c r="L124" s="45" t="str">
        <f>IFERROR(__xludf.DUMMYFUNCTION("if(B124=0,""..."",if(E124=""CERRADA"",""Valor Venta"", GOOGLEFINANCE(""BCBA:""&amp;B124)))"),"...")</f>
        <v>...</v>
      </c>
      <c r="M124" s="45" t="str">
        <f>if(B124=0,"...",L124*(1-VLOOKUP(A124,Config!$B$3:$C$22,2,FALSE)))</f>
        <v>...</v>
      </c>
      <c r="N124" s="45" t="str">
        <f t="shared" si="3"/>
        <v>...</v>
      </c>
      <c r="O124" s="12" t="str">
        <f>IFERROR(__xludf.DUMMYFUNCTION("if(B124=0,""..."",GOOGLEFINANCE(B124,""changepct"")/100)"),"...")</f>
        <v>...</v>
      </c>
      <c r="P124" s="10" t="str">
        <f>IFERROR(__xludf.DUMMYFUNCTION("if(B124=0,""..."",GOOGLEFINANCE(B124,""change"")*H124)"),"...")</f>
        <v>...</v>
      </c>
      <c r="Q124" s="12" t="str">
        <f t="shared" si="4"/>
        <v>...</v>
      </c>
      <c r="R124" s="47" t="str">
        <f t="shared" si="5"/>
        <v>...</v>
      </c>
      <c r="S124" s="12" t="str">
        <f t="array" ref="S124">IF(B124=0,"...",(N124/IF(E124="ABIERTA",CCL!$E$2,VLOOKUP(F124,{CCL!M:N;CCL!$P:$Q},2,FALSE))/(J124/VLOOKUP(D124,{CCL!M:N;CCL!$P:$Q},2,FALSE))-1))</f>
        <v>...</v>
      </c>
      <c r="T124" s="47" t="str">
        <f>IF(B124=0,"...",N124/VLOOKUP(IF(E124="ABIERTA",TODAY(),F124),CCL!$A$12:$B$773,2,FALSE)-J124/VLOOKUP(D124,CCL!$A$12:$B235,2,FALSE))</f>
        <v>...</v>
      </c>
      <c r="U124" s="2"/>
      <c r="V124" s="10"/>
      <c r="W124" s="59" t="str">
        <f t="shared" si="16"/>
        <v>...</v>
      </c>
      <c r="X124" s="12" t="str">
        <f t="shared" si="17"/>
        <v/>
      </c>
      <c r="Y124" s="45" t="str">
        <f t="shared" si="18"/>
        <v>...</v>
      </c>
      <c r="Z124" s="45" t="str">
        <f t="shared" si="19"/>
        <v>...</v>
      </c>
      <c r="AA124" s="12" t="str">
        <f t="shared" si="20"/>
        <v>...</v>
      </c>
      <c r="AB124" s="45" t="str">
        <f t="shared" si="21"/>
        <v>...</v>
      </c>
      <c r="AC124" s="45" t="str">
        <f t="shared" si="22"/>
        <v>...</v>
      </c>
      <c r="AD124" s="12" t="str">
        <f t="shared" si="23"/>
        <v>...</v>
      </c>
      <c r="AE124" s="46" t="str">
        <f t="shared" si="24"/>
        <v>...</v>
      </c>
      <c r="AF124" s="2"/>
      <c r="AG124" s="2"/>
      <c r="AH124" s="2"/>
      <c r="AI124" s="2"/>
      <c r="AJ124" s="2"/>
      <c r="AK124" s="2"/>
    </row>
    <row r="125" ht="24.0" customHeight="1">
      <c r="A125" s="4"/>
      <c r="B125" s="30"/>
      <c r="C125" s="5" t="str">
        <f>IFERROR(__xludf.DUMMYFUNCTION("if(B125=0,""..."", sparkline(query(GOOGLEFINANCE(""BCBA:""&amp;B125,""price"",today()-$AI$36,today()),""select Col2"",0),{""charttype"",$AI$35}))"),"...")</f>
        <v>...</v>
      </c>
      <c r="D125" s="17"/>
      <c r="E125" s="31"/>
      <c r="F125" s="7"/>
      <c r="G125" s="8" t="str">
        <f t="shared" si="1"/>
        <v>...</v>
      </c>
      <c r="H125" s="31"/>
      <c r="I125" s="52"/>
      <c r="J125" s="45" t="str">
        <f t="shared" si="2"/>
        <v>...</v>
      </c>
      <c r="K125" s="47" t="str">
        <f t="array" ref="K125">IF(B125=0,"...",J125/VLOOKUP(D125,{CCL!M:N;CCL!$P:$Q},2,FALSE))</f>
        <v>...</v>
      </c>
      <c r="L125" s="45" t="str">
        <f>IFERROR(__xludf.DUMMYFUNCTION("if(B125=0,""..."",if(E125=""CERRADA"",""Valor Venta"", GOOGLEFINANCE(""BCBA:""&amp;B125)))"),"...")</f>
        <v>...</v>
      </c>
      <c r="M125" s="45" t="str">
        <f>if(B125=0,"...",L125*(1-VLOOKUP(A125,Config!$B$3:$C$22,2,FALSE)))</f>
        <v>...</v>
      </c>
      <c r="N125" s="45" t="str">
        <f t="shared" si="3"/>
        <v>...</v>
      </c>
      <c r="O125" s="12" t="str">
        <f>IFERROR(__xludf.DUMMYFUNCTION("if(B125=0,""..."",GOOGLEFINANCE(B125,""changepct"")/100)"),"...")</f>
        <v>...</v>
      </c>
      <c r="P125" s="10" t="str">
        <f>IFERROR(__xludf.DUMMYFUNCTION("if(B125=0,""..."",GOOGLEFINANCE(B125,""change"")*H125)"),"...")</f>
        <v>...</v>
      </c>
      <c r="Q125" s="12" t="str">
        <f t="shared" si="4"/>
        <v>...</v>
      </c>
      <c r="R125" s="47" t="str">
        <f t="shared" si="5"/>
        <v>...</v>
      </c>
      <c r="S125" s="12" t="str">
        <f t="array" ref="S125">IF(B125=0,"...",(N125/IF(E125="ABIERTA",CCL!$E$2,VLOOKUP(F125,{CCL!M:N;CCL!$P:$Q},2,FALSE))/(J125/VLOOKUP(D125,{CCL!M:N;CCL!$P:$Q},2,FALSE))-1))</f>
        <v>...</v>
      </c>
      <c r="T125" s="47" t="str">
        <f>IF(B125=0,"...",N125/VLOOKUP(IF(E125="ABIERTA",TODAY(),F125),CCL!$A$12:$B$773,2,FALSE)-J125/VLOOKUP(D125,CCL!$A$12:$B235,2,FALSE))</f>
        <v>...</v>
      </c>
      <c r="U125" s="2"/>
      <c r="V125" s="10"/>
      <c r="W125" s="59" t="str">
        <f t="shared" si="16"/>
        <v>...</v>
      </c>
      <c r="X125" s="12" t="str">
        <f t="shared" si="17"/>
        <v/>
      </c>
      <c r="Y125" s="45" t="str">
        <f t="shared" si="18"/>
        <v>...</v>
      </c>
      <c r="Z125" s="45" t="str">
        <f t="shared" si="19"/>
        <v>...</v>
      </c>
      <c r="AA125" s="12" t="str">
        <f t="shared" si="20"/>
        <v>...</v>
      </c>
      <c r="AB125" s="45" t="str">
        <f t="shared" si="21"/>
        <v>...</v>
      </c>
      <c r="AC125" s="45" t="str">
        <f t="shared" si="22"/>
        <v>...</v>
      </c>
      <c r="AD125" s="12" t="str">
        <f t="shared" si="23"/>
        <v>...</v>
      </c>
      <c r="AE125" s="46" t="str">
        <f t="shared" si="24"/>
        <v>...</v>
      </c>
      <c r="AF125" s="2"/>
      <c r="AG125" s="2"/>
      <c r="AH125" s="2"/>
      <c r="AI125" s="2"/>
      <c r="AJ125" s="2"/>
      <c r="AK125" s="2"/>
    </row>
    <row r="126" ht="24.0" customHeight="1">
      <c r="A126" s="4"/>
      <c r="B126" s="30"/>
      <c r="C126" s="5" t="str">
        <f>IFERROR(__xludf.DUMMYFUNCTION("if(B126=0,""..."", sparkline(query(GOOGLEFINANCE(""BCBA:""&amp;B126,""price"",today()-$AI$36,today()),""select Col2"",0),{""charttype"",$AI$35}))"),"...")</f>
        <v>...</v>
      </c>
      <c r="D126" s="17"/>
      <c r="E126" s="31"/>
      <c r="F126" s="7"/>
      <c r="G126" s="8" t="str">
        <f t="shared" si="1"/>
        <v>...</v>
      </c>
      <c r="H126" s="31"/>
      <c r="I126" s="52"/>
      <c r="J126" s="45" t="str">
        <f t="shared" si="2"/>
        <v>...</v>
      </c>
      <c r="K126" s="47" t="str">
        <f t="array" ref="K126">IF(B126=0,"...",J126/VLOOKUP(D126,{CCL!M:N;CCL!$P:$Q},2,FALSE))</f>
        <v>...</v>
      </c>
      <c r="L126" s="45" t="str">
        <f>IFERROR(__xludf.DUMMYFUNCTION("if(B126=0,""..."",if(E126=""CERRADA"",""Valor Venta"", GOOGLEFINANCE(""BCBA:""&amp;B126)))"),"...")</f>
        <v>...</v>
      </c>
      <c r="M126" s="45" t="str">
        <f>if(B126=0,"...",L126*(1-VLOOKUP(A126,Config!$B$3:$C$22,2,FALSE)))</f>
        <v>...</v>
      </c>
      <c r="N126" s="45" t="str">
        <f t="shared" si="3"/>
        <v>...</v>
      </c>
      <c r="O126" s="12" t="str">
        <f>IFERROR(__xludf.DUMMYFUNCTION("if(B126=0,""..."",GOOGLEFINANCE(B126,""changepct"")/100)"),"...")</f>
        <v>...</v>
      </c>
      <c r="P126" s="10" t="str">
        <f>IFERROR(__xludf.DUMMYFUNCTION("if(B126=0,""..."",GOOGLEFINANCE(B126,""change"")*H126)"),"...")</f>
        <v>...</v>
      </c>
      <c r="Q126" s="12" t="str">
        <f t="shared" si="4"/>
        <v>...</v>
      </c>
      <c r="R126" s="47" t="str">
        <f t="shared" si="5"/>
        <v>...</v>
      </c>
      <c r="S126" s="12" t="str">
        <f t="array" ref="S126">IF(B126=0,"...",(N126/IF(E126="ABIERTA",CCL!$E$2,VLOOKUP(F126,{CCL!M:N;CCL!$P:$Q},2,FALSE))/(J126/VLOOKUP(D126,{CCL!M:N;CCL!$P:$Q},2,FALSE))-1))</f>
        <v>...</v>
      </c>
      <c r="T126" s="47" t="str">
        <f>IF(B126=0,"...",N126/VLOOKUP(IF(E126="ABIERTA",TODAY(),F126),CCL!$A$12:$B$773,2,FALSE)-J126/VLOOKUP(D126,CCL!$A$12:$B235,2,FALSE))</f>
        <v>...</v>
      </c>
      <c r="U126" s="2"/>
      <c r="V126" s="10"/>
      <c r="W126" s="59" t="str">
        <f t="shared" si="16"/>
        <v>...</v>
      </c>
      <c r="X126" s="12" t="str">
        <f t="shared" si="17"/>
        <v/>
      </c>
      <c r="Y126" s="45" t="str">
        <f t="shared" si="18"/>
        <v>...</v>
      </c>
      <c r="Z126" s="45" t="str">
        <f t="shared" si="19"/>
        <v>...</v>
      </c>
      <c r="AA126" s="12" t="str">
        <f t="shared" si="20"/>
        <v>...</v>
      </c>
      <c r="AB126" s="45" t="str">
        <f t="shared" si="21"/>
        <v>...</v>
      </c>
      <c r="AC126" s="45" t="str">
        <f t="shared" si="22"/>
        <v>...</v>
      </c>
      <c r="AD126" s="12" t="str">
        <f t="shared" si="23"/>
        <v>...</v>
      </c>
      <c r="AE126" s="46" t="str">
        <f t="shared" si="24"/>
        <v>...</v>
      </c>
      <c r="AF126" s="2"/>
      <c r="AG126" s="2"/>
      <c r="AH126" s="2"/>
      <c r="AI126" s="2"/>
      <c r="AJ126" s="2"/>
      <c r="AK126" s="2"/>
    </row>
    <row r="127" ht="24.0" customHeight="1">
      <c r="A127" s="4"/>
      <c r="B127" s="30"/>
      <c r="C127" s="5" t="str">
        <f>IFERROR(__xludf.DUMMYFUNCTION("if(B127=0,""..."", sparkline(query(GOOGLEFINANCE(""BCBA:""&amp;B127,""price"",today()-$AI$36,today()),""select Col2"",0),{""charttype"",$AI$35}))"),"...")</f>
        <v>...</v>
      </c>
      <c r="D127" s="17"/>
      <c r="E127" s="31"/>
      <c r="F127" s="7"/>
      <c r="G127" s="8" t="str">
        <f t="shared" si="1"/>
        <v>...</v>
      </c>
      <c r="H127" s="31"/>
      <c r="I127" s="52"/>
      <c r="J127" s="45" t="str">
        <f t="shared" si="2"/>
        <v>...</v>
      </c>
      <c r="K127" s="47" t="str">
        <f t="array" ref="K127">IF(B127=0,"...",J127/VLOOKUP(D127,{CCL!M:N;CCL!$P:$Q},2,FALSE))</f>
        <v>...</v>
      </c>
      <c r="L127" s="45" t="str">
        <f>IFERROR(__xludf.DUMMYFUNCTION("if(B127=0,""..."",if(E127=""CERRADA"",""Valor Venta"", GOOGLEFINANCE(""BCBA:""&amp;B127)))"),"...")</f>
        <v>...</v>
      </c>
      <c r="M127" s="45" t="str">
        <f>if(B127=0,"...",L127*(1-VLOOKUP(A127,Config!$B$3:$C$22,2,FALSE)))</f>
        <v>...</v>
      </c>
      <c r="N127" s="45" t="str">
        <f t="shared" si="3"/>
        <v>...</v>
      </c>
      <c r="O127" s="12" t="str">
        <f>IFERROR(__xludf.DUMMYFUNCTION("if(B127=0,""..."",GOOGLEFINANCE(B127,""changepct"")/100)"),"...")</f>
        <v>...</v>
      </c>
      <c r="P127" s="10" t="str">
        <f>IFERROR(__xludf.DUMMYFUNCTION("if(B127=0,""..."",GOOGLEFINANCE(B127,""change"")*H127)"),"...")</f>
        <v>...</v>
      </c>
      <c r="Q127" s="12" t="str">
        <f t="shared" si="4"/>
        <v>...</v>
      </c>
      <c r="R127" s="47" t="str">
        <f t="shared" si="5"/>
        <v>...</v>
      </c>
      <c r="S127" s="12" t="str">
        <f t="array" ref="S127">IF(B127=0,"...",(N127/IF(E127="ABIERTA",CCL!$E$2,VLOOKUP(F127,{CCL!M:N;CCL!$P:$Q},2,FALSE))/(J127/VLOOKUP(D127,{CCL!M:N;CCL!$P:$Q},2,FALSE))-1))</f>
        <v>...</v>
      </c>
      <c r="T127" s="47" t="str">
        <f>IF(B127=0,"...",N127/VLOOKUP(IF(E127="ABIERTA",TODAY(),F127),CCL!$A$12:$B$773,2,FALSE)-J127/VLOOKUP(D127,CCL!$A$12:$B235,2,FALSE))</f>
        <v>...</v>
      </c>
      <c r="U127" s="2"/>
      <c r="V127" s="10"/>
      <c r="W127" s="59" t="str">
        <f t="shared" si="16"/>
        <v>...</v>
      </c>
      <c r="X127" s="12" t="str">
        <f t="shared" si="17"/>
        <v/>
      </c>
      <c r="Y127" s="45" t="str">
        <f t="shared" si="18"/>
        <v>...</v>
      </c>
      <c r="Z127" s="45" t="str">
        <f t="shared" si="19"/>
        <v>...</v>
      </c>
      <c r="AA127" s="12" t="str">
        <f t="shared" si="20"/>
        <v>...</v>
      </c>
      <c r="AB127" s="45" t="str">
        <f t="shared" si="21"/>
        <v>...</v>
      </c>
      <c r="AC127" s="45" t="str">
        <f t="shared" si="22"/>
        <v>...</v>
      </c>
      <c r="AD127" s="12" t="str">
        <f t="shared" si="23"/>
        <v>...</v>
      </c>
      <c r="AE127" s="46" t="str">
        <f t="shared" si="24"/>
        <v>...</v>
      </c>
      <c r="AF127" s="2"/>
      <c r="AG127" s="2"/>
      <c r="AH127" s="2"/>
      <c r="AI127" s="2"/>
      <c r="AJ127" s="2"/>
      <c r="AK127" s="2"/>
    </row>
    <row r="128" ht="24.0" customHeight="1">
      <c r="A128" s="4"/>
      <c r="B128" s="30"/>
      <c r="C128" s="5" t="str">
        <f>IFERROR(__xludf.DUMMYFUNCTION("if(B128=0,""..."", sparkline(query(GOOGLEFINANCE(""BCBA:""&amp;B128,""price"",today()-$AI$36,today()),""select Col2"",0),{""charttype"",$AI$35}))"),"...")</f>
        <v>...</v>
      </c>
      <c r="D128" s="17"/>
      <c r="E128" s="31"/>
      <c r="F128" s="7"/>
      <c r="G128" s="8" t="str">
        <f t="shared" si="1"/>
        <v>...</v>
      </c>
      <c r="H128" s="31"/>
      <c r="I128" s="52"/>
      <c r="J128" s="45" t="str">
        <f t="shared" si="2"/>
        <v>...</v>
      </c>
      <c r="K128" s="47" t="str">
        <f t="array" ref="K128">IF(B128=0,"...",J128/VLOOKUP(D128,{CCL!M:N;CCL!$P:$Q},2,FALSE))</f>
        <v>...</v>
      </c>
      <c r="L128" s="45" t="str">
        <f>IFERROR(__xludf.DUMMYFUNCTION("if(B128=0,""..."",if(E128=""CERRADA"",""Valor Venta"", GOOGLEFINANCE(""BCBA:""&amp;B128)))"),"...")</f>
        <v>...</v>
      </c>
      <c r="M128" s="45" t="str">
        <f>if(B128=0,"...",L128*(1-VLOOKUP(A128,Config!$B$3:$C$22,2,FALSE)))</f>
        <v>...</v>
      </c>
      <c r="N128" s="45" t="str">
        <f t="shared" si="3"/>
        <v>...</v>
      </c>
      <c r="O128" s="12" t="str">
        <f>IFERROR(__xludf.DUMMYFUNCTION("if(B128=0,""..."",GOOGLEFINANCE(B128,""changepct"")/100)"),"...")</f>
        <v>...</v>
      </c>
      <c r="P128" s="10" t="str">
        <f>IFERROR(__xludf.DUMMYFUNCTION("if(B128=0,""..."",GOOGLEFINANCE(B128,""change"")*H128)"),"...")</f>
        <v>...</v>
      </c>
      <c r="Q128" s="12" t="str">
        <f t="shared" si="4"/>
        <v>...</v>
      </c>
      <c r="R128" s="47" t="str">
        <f t="shared" si="5"/>
        <v>...</v>
      </c>
      <c r="S128" s="12" t="str">
        <f t="array" ref="S128">IF(B128=0,"...",(N128/IF(E128="ABIERTA",CCL!$E$2,VLOOKUP(F128,{CCL!M:N;CCL!$P:$Q},2,FALSE))/(J128/VLOOKUP(D128,{CCL!M:N;CCL!$P:$Q},2,FALSE))-1))</f>
        <v>...</v>
      </c>
      <c r="T128" s="47" t="str">
        <f>IF(B128=0,"...",N128/VLOOKUP(IF(E128="ABIERTA",TODAY(),F128),CCL!$A$12:$B$773,2,FALSE)-J128/VLOOKUP(D128,CCL!$A$12:$B235,2,FALSE))</f>
        <v>...</v>
      </c>
      <c r="U128" s="2"/>
      <c r="V128" s="10"/>
      <c r="W128" s="59" t="str">
        <f t="shared" si="16"/>
        <v>...</v>
      </c>
      <c r="X128" s="12" t="str">
        <f t="shared" si="17"/>
        <v/>
      </c>
      <c r="Y128" s="45" t="str">
        <f t="shared" si="18"/>
        <v>...</v>
      </c>
      <c r="Z128" s="45" t="str">
        <f t="shared" si="19"/>
        <v>...</v>
      </c>
      <c r="AA128" s="12" t="str">
        <f t="shared" si="20"/>
        <v>...</v>
      </c>
      <c r="AB128" s="45" t="str">
        <f t="shared" si="21"/>
        <v>...</v>
      </c>
      <c r="AC128" s="45" t="str">
        <f t="shared" si="22"/>
        <v>...</v>
      </c>
      <c r="AD128" s="12" t="str">
        <f t="shared" si="23"/>
        <v>...</v>
      </c>
      <c r="AE128" s="46" t="str">
        <f t="shared" si="24"/>
        <v>...</v>
      </c>
      <c r="AF128" s="2"/>
      <c r="AG128" s="2"/>
      <c r="AH128" s="2"/>
      <c r="AI128" s="2"/>
      <c r="AJ128" s="2"/>
      <c r="AK128" s="2"/>
    </row>
    <row r="129" ht="24.0" customHeight="1">
      <c r="A129" s="4"/>
      <c r="B129" s="30"/>
      <c r="C129" s="5" t="str">
        <f>IFERROR(__xludf.DUMMYFUNCTION("if(B129=0,""..."", sparkline(query(GOOGLEFINANCE(""BCBA:""&amp;B129,""price"",today()-$AI$36,today()),""select Col2"",0),{""charttype"",$AI$35}))"),"...")</f>
        <v>...</v>
      </c>
      <c r="D129" s="17"/>
      <c r="E129" s="31"/>
      <c r="F129" s="7"/>
      <c r="G129" s="8" t="str">
        <f t="shared" si="1"/>
        <v>...</v>
      </c>
      <c r="H129" s="31"/>
      <c r="I129" s="52"/>
      <c r="J129" s="45" t="str">
        <f t="shared" si="2"/>
        <v>...</v>
      </c>
      <c r="K129" s="47" t="str">
        <f t="array" ref="K129">IF(B129=0,"...",J129/VLOOKUP(D129,{CCL!M:N;CCL!$P:$Q},2,FALSE))</f>
        <v>...</v>
      </c>
      <c r="L129" s="45" t="str">
        <f>IFERROR(__xludf.DUMMYFUNCTION("if(B129=0,""..."",if(E129=""CERRADA"",""Valor Venta"", GOOGLEFINANCE(""BCBA:""&amp;B129)))"),"...")</f>
        <v>...</v>
      </c>
      <c r="M129" s="45" t="str">
        <f>if(B129=0,"...",L129*(1-VLOOKUP(A129,Config!$B$3:$C$22,2,FALSE)))</f>
        <v>...</v>
      </c>
      <c r="N129" s="45" t="str">
        <f t="shared" si="3"/>
        <v>...</v>
      </c>
      <c r="O129" s="12" t="str">
        <f>IFERROR(__xludf.DUMMYFUNCTION("if(B129=0,""..."",GOOGLEFINANCE(B129,""changepct"")/100)"),"...")</f>
        <v>...</v>
      </c>
      <c r="P129" s="10" t="str">
        <f>IFERROR(__xludf.DUMMYFUNCTION("if(B129=0,""..."",GOOGLEFINANCE(B129,""change"")*H129)"),"...")</f>
        <v>...</v>
      </c>
      <c r="Q129" s="12" t="str">
        <f t="shared" si="4"/>
        <v>...</v>
      </c>
      <c r="R129" s="47" t="str">
        <f t="shared" si="5"/>
        <v>...</v>
      </c>
      <c r="S129" s="12" t="str">
        <f t="array" ref="S129">IF(B129=0,"...",(N129/IF(E129="ABIERTA",CCL!$E$2,VLOOKUP(F129,{CCL!M:N;CCL!$P:$Q},2,FALSE))/(J129/VLOOKUP(D129,{CCL!M:N;CCL!$P:$Q},2,FALSE))-1))</f>
        <v>...</v>
      </c>
      <c r="T129" s="47" t="str">
        <f>IF(B129=0,"...",N129/VLOOKUP(IF(E129="ABIERTA",TODAY(),F129),CCL!$A$12:$B$773,2,FALSE)-J129/VLOOKUP(D129,CCL!$A$12:$B235,2,FALSE))</f>
        <v>...</v>
      </c>
      <c r="U129" s="2"/>
      <c r="V129" s="10"/>
      <c r="W129" s="59" t="str">
        <f t="shared" si="16"/>
        <v>...</v>
      </c>
      <c r="X129" s="12" t="str">
        <f t="shared" si="17"/>
        <v/>
      </c>
      <c r="Y129" s="45" t="str">
        <f t="shared" si="18"/>
        <v>...</v>
      </c>
      <c r="Z129" s="45" t="str">
        <f t="shared" si="19"/>
        <v>...</v>
      </c>
      <c r="AA129" s="12" t="str">
        <f t="shared" si="20"/>
        <v>...</v>
      </c>
      <c r="AB129" s="45" t="str">
        <f t="shared" si="21"/>
        <v>...</v>
      </c>
      <c r="AC129" s="45" t="str">
        <f t="shared" si="22"/>
        <v>...</v>
      </c>
      <c r="AD129" s="12" t="str">
        <f t="shared" si="23"/>
        <v>...</v>
      </c>
      <c r="AE129" s="46" t="str">
        <f t="shared" si="24"/>
        <v>...</v>
      </c>
      <c r="AF129" s="2"/>
      <c r="AG129" s="2"/>
      <c r="AH129" s="2"/>
      <c r="AI129" s="2"/>
      <c r="AJ129" s="2"/>
      <c r="AK129" s="2"/>
    </row>
    <row r="130" ht="24.0" customHeight="1">
      <c r="A130" s="4"/>
      <c r="B130" s="30"/>
      <c r="C130" s="5" t="str">
        <f>IFERROR(__xludf.DUMMYFUNCTION("if(B130=0,""..."", sparkline(query(GOOGLEFINANCE(""BCBA:""&amp;B130,""price"",today()-$AI$36,today()),""select Col2"",0),{""charttype"",$AI$35}))"),"...")</f>
        <v>...</v>
      </c>
      <c r="D130" s="17"/>
      <c r="E130" s="31"/>
      <c r="F130" s="7"/>
      <c r="G130" s="8" t="str">
        <f t="shared" si="1"/>
        <v>...</v>
      </c>
      <c r="H130" s="31"/>
      <c r="I130" s="52"/>
      <c r="J130" s="45" t="str">
        <f t="shared" si="2"/>
        <v>...</v>
      </c>
      <c r="K130" s="47" t="str">
        <f t="array" ref="K130">IF(B130=0,"...",J130/VLOOKUP(D130,{CCL!M:N;CCL!$P:$Q},2,FALSE))</f>
        <v>...</v>
      </c>
      <c r="L130" s="45" t="str">
        <f>IFERROR(__xludf.DUMMYFUNCTION("if(B130=0,""..."",if(E130=""CERRADA"",""Valor Venta"", GOOGLEFINANCE(""BCBA:""&amp;B130)))"),"...")</f>
        <v>...</v>
      </c>
      <c r="M130" s="45" t="str">
        <f>if(B130=0,"...",L130*(1-VLOOKUP(A130,Config!$B$3:$C$22,2,FALSE)))</f>
        <v>...</v>
      </c>
      <c r="N130" s="45" t="str">
        <f t="shared" si="3"/>
        <v>...</v>
      </c>
      <c r="O130" s="12" t="str">
        <f>IFERROR(__xludf.DUMMYFUNCTION("if(B130=0,""..."",GOOGLEFINANCE(B130,""changepct"")/100)"),"...")</f>
        <v>...</v>
      </c>
      <c r="P130" s="10" t="str">
        <f>IFERROR(__xludf.DUMMYFUNCTION("if(B130=0,""..."",GOOGLEFINANCE(B130,""change"")*H130)"),"...")</f>
        <v>...</v>
      </c>
      <c r="Q130" s="12" t="str">
        <f t="shared" si="4"/>
        <v>...</v>
      </c>
      <c r="R130" s="47" t="str">
        <f t="shared" si="5"/>
        <v>...</v>
      </c>
      <c r="S130" s="12" t="str">
        <f t="array" ref="S130">IF(B130=0,"...",(N130/IF(E130="ABIERTA",CCL!$E$2,VLOOKUP(F130,{CCL!M:N;CCL!$P:$Q},2,FALSE))/(J130/VLOOKUP(D130,{CCL!M:N;CCL!$P:$Q},2,FALSE))-1))</f>
        <v>...</v>
      </c>
      <c r="T130" s="47" t="str">
        <f>IF(B130=0,"...",N130/VLOOKUP(IF(E130="ABIERTA",TODAY(),F130),CCL!$A$12:$B$773,2,FALSE)-J130/VLOOKUP(D130,CCL!$A$12:$B235,2,FALSE))</f>
        <v>...</v>
      </c>
      <c r="U130" s="2"/>
      <c r="V130" s="10"/>
      <c r="W130" s="59" t="str">
        <f t="shared" si="16"/>
        <v>...</v>
      </c>
      <c r="X130" s="12" t="str">
        <f t="shared" si="17"/>
        <v/>
      </c>
      <c r="Y130" s="45" t="str">
        <f t="shared" si="18"/>
        <v>...</v>
      </c>
      <c r="Z130" s="45" t="str">
        <f t="shared" si="19"/>
        <v>...</v>
      </c>
      <c r="AA130" s="12" t="str">
        <f t="shared" si="20"/>
        <v>...</v>
      </c>
      <c r="AB130" s="45" t="str">
        <f t="shared" si="21"/>
        <v>...</v>
      </c>
      <c r="AC130" s="45" t="str">
        <f t="shared" si="22"/>
        <v>...</v>
      </c>
      <c r="AD130" s="12" t="str">
        <f t="shared" si="23"/>
        <v>...</v>
      </c>
      <c r="AE130" s="46" t="str">
        <f t="shared" si="24"/>
        <v>...</v>
      </c>
      <c r="AF130" s="2"/>
      <c r="AG130" s="2"/>
      <c r="AH130" s="2"/>
      <c r="AI130" s="2"/>
      <c r="AJ130" s="2"/>
      <c r="AK130" s="2"/>
    </row>
    <row r="131" ht="24.0" customHeight="1">
      <c r="A131" s="4"/>
      <c r="B131" s="30"/>
      <c r="C131" s="5" t="str">
        <f>IFERROR(__xludf.DUMMYFUNCTION("if(B131=0,""..."", sparkline(query(GOOGLEFINANCE(""BCBA:""&amp;B131,""price"",today()-$AI$36,today()),""select Col2"",0),{""charttype"",$AI$35}))"),"...")</f>
        <v>...</v>
      </c>
      <c r="D131" s="17"/>
      <c r="E131" s="31"/>
      <c r="F131" s="7"/>
      <c r="G131" s="8" t="str">
        <f t="shared" si="1"/>
        <v>...</v>
      </c>
      <c r="H131" s="31"/>
      <c r="I131" s="52"/>
      <c r="J131" s="45" t="str">
        <f t="shared" si="2"/>
        <v>...</v>
      </c>
      <c r="K131" s="47" t="str">
        <f t="array" ref="K131">IF(B131=0,"...",J131/VLOOKUP(D131,{CCL!M:N;CCL!$P:$Q},2,FALSE))</f>
        <v>...</v>
      </c>
      <c r="L131" s="45" t="str">
        <f>IFERROR(__xludf.DUMMYFUNCTION("if(B131=0,""..."",if(E131=""CERRADA"",""Valor Venta"", GOOGLEFINANCE(""BCBA:""&amp;B131)))"),"...")</f>
        <v>...</v>
      </c>
      <c r="M131" s="45" t="str">
        <f>if(B131=0,"...",L131*(1-VLOOKUP(A131,Config!$B$3:$C$22,2,FALSE)))</f>
        <v>...</v>
      </c>
      <c r="N131" s="45" t="str">
        <f t="shared" si="3"/>
        <v>...</v>
      </c>
      <c r="O131" s="12" t="str">
        <f>IFERROR(__xludf.DUMMYFUNCTION("if(B131=0,""..."",GOOGLEFINANCE(B131,""changepct"")/100)"),"...")</f>
        <v>...</v>
      </c>
      <c r="P131" s="10" t="str">
        <f>IFERROR(__xludf.DUMMYFUNCTION("if(B131=0,""..."",GOOGLEFINANCE(B131,""change"")*H131)"),"...")</f>
        <v>...</v>
      </c>
      <c r="Q131" s="12" t="str">
        <f t="shared" si="4"/>
        <v>...</v>
      </c>
      <c r="R131" s="47" t="str">
        <f t="shared" si="5"/>
        <v>...</v>
      </c>
      <c r="S131" s="12" t="str">
        <f t="array" ref="S131">IF(B131=0,"...",(N131/IF(E131="ABIERTA",CCL!$E$2,VLOOKUP(F131,{CCL!M:N;CCL!$P:$Q},2,FALSE))/(J131/VLOOKUP(D131,{CCL!M:N;CCL!$P:$Q},2,FALSE))-1))</f>
        <v>...</v>
      </c>
      <c r="T131" s="47" t="str">
        <f>IF(B131=0,"...",N131/VLOOKUP(IF(E131="ABIERTA",TODAY(),F131),CCL!$A$12:$B$773,2,FALSE)-J131/VLOOKUP(D131,CCL!$A$12:$B235,2,FALSE))</f>
        <v>...</v>
      </c>
      <c r="U131" s="2"/>
      <c r="V131" s="10"/>
      <c r="W131" s="59" t="str">
        <f t="shared" si="16"/>
        <v>...</v>
      </c>
      <c r="X131" s="12" t="str">
        <f t="shared" si="17"/>
        <v/>
      </c>
      <c r="Y131" s="45" t="str">
        <f t="shared" si="18"/>
        <v>...</v>
      </c>
      <c r="Z131" s="45" t="str">
        <f t="shared" si="19"/>
        <v>...</v>
      </c>
      <c r="AA131" s="12" t="str">
        <f t="shared" si="20"/>
        <v>...</v>
      </c>
      <c r="AB131" s="45" t="str">
        <f t="shared" si="21"/>
        <v>...</v>
      </c>
      <c r="AC131" s="45" t="str">
        <f t="shared" si="22"/>
        <v>...</v>
      </c>
      <c r="AD131" s="12" t="str">
        <f t="shared" si="23"/>
        <v>...</v>
      </c>
      <c r="AE131" s="46" t="str">
        <f t="shared" si="24"/>
        <v>...</v>
      </c>
      <c r="AF131" s="2"/>
      <c r="AG131" s="2"/>
      <c r="AH131" s="2"/>
      <c r="AI131" s="2"/>
      <c r="AJ131" s="2"/>
      <c r="AK131" s="2"/>
    </row>
    <row r="132" ht="24.0" customHeight="1">
      <c r="A132" s="4"/>
      <c r="B132" s="30"/>
      <c r="C132" s="5" t="str">
        <f>IFERROR(__xludf.DUMMYFUNCTION("if(B132=0,""..."", sparkline(query(GOOGLEFINANCE(""BCBA:""&amp;B132,""price"",today()-$AI$36,today()),""select Col2"",0),{""charttype"",$AI$35}))"),"...")</f>
        <v>...</v>
      </c>
      <c r="D132" s="17"/>
      <c r="E132" s="31"/>
      <c r="F132" s="7"/>
      <c r="G132" s="8" t="str">
        <f t="shared" si="1"/>
        <v>...</v>
      </c>
      <c r="H132" s="31"/>
      <c r="I132" s="52"/>
      <c r="J132" s="45" t="str">
        <f t="shared" si="2"/>
        <v>...</v>
      </c>
      <c r="K132" s="47" t="str">
        <f t="array" ref="K132">IF(B132=0,"...",J132/VLOOKUP(D132,{CCL!M:N;CCL!$P:$Q},2,FALSE))</f>
        <v>...</v>
      </c>
      <c r="L132" s="45" t="str">
        <f>IFERROR(__xludf.DUMMYFUNCTION("if(B132=0,""..."",if(E132=""CERRADA"",""Valor Venta"", GOOGLEFINANCE(""BCBA:""&amp;B132)))"),"...")</f>
        <v>...</v>
      </c>
      <c r="M132" s="45" t="str">
        <f>if(B132=0,"...",L132*(1-VLOOKUP(A132,Config!$B$3:$C$22,2,FALSE)))</f>
        <v>...</v>
      </c>
      <c r="N132" s="45" t="str">
        <f t="shared" si="3"/>
        <v>...</v>
      </c>
      <c r="O132" s="12" t="str">
        <f>IFERROR(__xludf.DUMMYFUNCTION("if(B132=0,""..."",GOOGLEFINANCE(B132,""changepct"")/100)"),"...")</f>
        <v>...</v>
      </c>
      <c r="P132" s="10" t="str">
        <f>IFERROR(__xludf.DUMMYFUNCTION("if(B132=0,""..."",GOOGLEFINANCE(B132,""change"")*H132)"),"...")</f>
        <v>...</v>
      </c>
      <c r="Q132" s="12" t="str">
        <f t="shared" si="4"/>
        <v>...</v>
      </c>
      <c r="R132" s="47" t="str">
        <f t="shared" si="5"/>
        <v>...</v>
      </c>
      <c r="S132" s="12" t="str">
        <f t="array" ref="S132">IF(B132=0,"...",(N132/IF(E132="ABIERTA",CCL!$E$2,VLOOKUP(F132,{CCL!M:N;CCL!$P:$Q},2,FALSE))/(J132/VLOOKUP(D132,{CCL!M:N;CCL!$P:$Q},2,FALSE))-1))</f>
        <v>...</v>
      </c>
      <c r="T132" s="47" t="str">
        <f>IF(B132=0,"...",N132/VLOOKUP(IF(E132="ABIERTA",TODAY(),F132),CCL!$A$12:$B$773,2,FALSE)-J132/VLOOKUP(D132,CCL!$A$12:$B235,2,FALSE))</f>
        <v>...</v>
      </c>
      <c r="U132" s="2"/>
      <c r="V132" s="10"/>
      <c r="W132" s="59" t="str">
        <f t="shared" si="16"/>
        <v>...</v>
      </c>
      <c r="X132" s="12" t="str">
        <f t="shared" si="17"/>
        <v/>
      </c>
      <c r="Y132" s="45" t="str">
        <f t="shared" si="18"/>
        <v>...</v>
      </c>
      <c r="Z132" s="45" t="str">
        <f t="shared" si="19"/>
        <v>...</v>
      </c>
      <c r="AA132" s="12" t="str">
        <f t="shared" si="20"/>
        <v>...</v>
      </c>
      <c r="AB132" s="45" t="str">
        <f t="shared" si="21"/>
        <v>...</v>
      </c>
      <c r="AC132" s="45" t="str">
        <f t="shared" si="22"/>
        <v>...</v>
      </c>
      <c r="AD132" s="12" t="str">
        <f t="shared" si="23"/>
        <v>...</v>
      </c>
      <c r="AE132" s="46" t="str">
        <f t="shared" si="24"/>
        <v>...</v>
      </c>
      <c r="AF132" s="2"/>
      <c r="AG132" s="2"/>
      <c r="AH132" s="2"/>
      <c r="AI132" s="2"/>
      <c r="AJ132" s="2"/>
      <c r="AK132" s="2"/>
    </row>
    <row r="133" ht="24.0" customHeight="1">
      <c r="A133" s="4"/>
      <c r="B133" s="30"/>
      <c r="C133" s="5" t="str">
        <f>IFERROR(__xludf.DUMMYFUNCTION("if(B133=0,""..."", sparkline(query(GOOGLEFINANCE(""BCBA:""&amp;B133,""price"",today()-$AI$36,today()),""select Col2"",0),{""charttype"",$AI$35}))"),"...")</f>
        <v>...</v>
      </c>
      <c r="D133" s="17"/>
      <c r="E133" s="31"/>
      <c r="F133" s="7"/>
      <c r="G133" s="8" t="str">
        <f t="shared" si="1"/>
        <v>...</v>
      </c>
      <c r="H133" s="31"/>
      <c r="I133" s="52"/>
      <c r="J133" s="45" t="str">
        <f t="shared" si="2"/>
        <v>...</v>
      </c>
      <c r="K133" s="47" t="str">
        <f t="array" ref="K133">IF(B133=0,"...",J133/VLOOKUP(D133,{CCL!M:N;CCL!$P:$Q},2,FALSE))</f>
        <v>...</v>
      </c>
      <c r="L133" s="45" t="str">
        <f>IFERROR(__xludf.DUMMYFUNCTION("if(B133=0,""..."",if(E133=""CERRADA"",""Valor Venta"", GOOGLEFINANCE(""BCBA:""&amp;B133)))"),"...")</f>
        <v>...</v>
      </c>
      <c r="M133" s="45" t="str">
        <f>if(B133=0,"...",L133*(1-VLOOKUP(A133,Config!$B$3:$C$22,2,FALSE)))</f>
        <v>...</v>
      </c>
      <c r="N133" s="45" t="str">
        <f t="shared" si="3"/>
        <v>...</v>
      </c>
      <c r="O133" s="12" t="str">
        <f>IFERROR(__xludf.DUMMYFUNCTION("if(B133=0,""..."",GOOGLEFINANCE(B133,""changepct"")/100)"),"...")</f>
        <v>...</v>
      </c>
      <c r="P133" s="10" t="str">
        <f>IFERROR(__xludf.DUMMYFUNCTION("if(B133=0,""..."",GOOGLEFINANCE(B133,""change"")*H133)"),"...")</f>
        <v>...</v>
      </c>
      <c r="Q133" s="12" t="str">
        <f t="shared" si="4"/>
        <v>...</v>
      </c>
      <c r="R133" s="47" t="str">
        <f t="shared" si="5"/>
        <v>...</v>
      </c>
      <c r="S133" s="12" t="str">
        <f t="array" ref="S133">IF(B133=0,"...",(N133/IF(E133="ABIERTA",CCL!$E$2,VLOOKUP(F133,{CCL!M:N;CCL!$P:$Q},2,FALSE))/(J133/VLOOKUP(D133,{CCL!M:N;CCL!$P:$Q},2,FALSE))-1))</f>
        <v>...</v>
      </c>
      <c r="T133" s="47" t="str">
        <f>IF(B133=0,"...",N133/VLOOKUP(IF(E133="ABIERTA",TODAY(),F133),CCL!$A$12:$B$773,2,FALSE)-J133/VLOOKUP(D133,CCL!$A$12:$B235,2,FALSE))</f>
        <v>...</v>
      </c>
      <c r="U133" s="2"/>
      <c r="V133" s="10"/>
      <c r="W133" s="59" t="str">
        <f t="shared" si="16"/>
        <v>...</v>
      </c>
      <c r="X133" s="12" t="str">
        <f t="shared" si="17"/>
        <v/>
      </c>
      <c r="Y133" s="45" t="str">
        <f t="shared" si="18"/>
        <v>...</v>
      </c>
      <c r="Z133" s="45" t="str">
        <f t="shared" si="19"/>
        <v>...</v>
      </c>
      <c r="AA133" s="12" t="str">
        <f t="shared" si="20"/>
        <v>...</v>
      </c>
      <c r="AB133" s="45" t="str">
        <f t="shared" si="21"/>
        <v>...</v>
      </c>
      <c r="AC133" s="45" t="str">
        <f t="shared" si="22"/>
        <v>...</v>
      </c>
      <c r="AD133" s="12" t="str">
        <f t="shared" si="23"/>
        <v>...</v>
      </c>
      <c r="AE133" s="46" t="str">
        <f t="shared" si="24"/>
        <v>...</v>
      </c>
      <c r="AF133" s="2"/>
      <c r="AG133" s="2"/>
      <c r="AH133" s="2"/>
      <c r="AI133" s="2"/>
      <c r="AJ133" s="2"/>
      <c r="AK133" s="2"/>
    </row>
    <row r="134" ht="24.0" customHeight="1">
      <c r="A134" s="4"/>
      <c r="B134" s="30"/>
      <c r="C134" s="5" t="str">
        <f>IFERROR(__xludf.DUMMYFUNCTION("if(B134=0,""..."", sparkline(query(GOOGLEFINANCE(""BCBA:""&amp;B134,""price"",today()-$AI$36,today()),""select Col2"",0),{""charttype"",$AI$35}))"),"...")</f>
        <v>...</v>
      </c>
      <c r="D134" s="17"/>
      <c r="E134" s="31"/>
      <c r="F134" s="7"/>
      <c r="G134" s="8" t="str">
        <f t="shared" si="1"/>
        <v>...</v>
      </c>
      <c r="H134" s="31"/>
      <c r="I134" s="52"/>
      <c r="J134" s="45" t="str">
        <f t="shared" si="2"/>
        <v>...</v>
      </c>
      <c r="K134" s="47" t="str">
        <f t="array" ref="K134">IF(B134=0,"...",J134/VLOOKUP(D134,{CCL!M:N;CCL!$P:$Q},2,FALSE))</f>
        <v>...</v>
      </c>
      <c r="L134" s="45" t="str">
        <f>IFERROR(__xludf.DUMMYFUNCTION("if(B134=0,""..."",if(E134=""CERRADA"",""Valor Venta"", GOOGLEFINANCE(""BCBA:""&amp;B134)))"),"...")</f>
        <v>...</v>
      </c>
      <c r="M134" s="45" t="str">
        <f>if(B134=0,"...",L134*(1-VLOOKUP(A134,Config!$B$3:$C$22,2,FALSE)))</f>
        <v>...</v>
      </c>
      <c r="N134" s="45" t="str">
        <f t="shared" si="3"/>
        <v>...</v>
      </c>
      <c r="O134" s="12" t="str">
        <f>IFERROR(__xludf.DUMMYFUNCTION("if(B134=0,""..."",GOOGLEFINANCE(B134,""changepct"")/100)"),"...")</f>
        <v>...</v>
      </c>
      <c r="P134" s="10" t="str">
        <f>IFERROR(__xludf.DUMMYFUNCTION("if(B134=0,""..."",GOOGLEFINANCE(B134,""change"")*H134)"),"...")</f>
        <v>...</v>
      </c>
      <c r="Q134" s="12" t="str">
        <f t="shared" si="4"/>
        <v>...</v>
      </c>
      <c r="R134" s="47" t="str">
        <f t="shared" si="5"/>
        <v>...</v>
      </c>
      <c r="S134" s="12" t="str">
        <f t="array" ref="S134">IF(B134=0,"...",(N134/IF(E134="ABIERTA",CCL!$E$2,VLOOKUP(F134,{CCL!M:N;CCL!$P:$Q},2,FALSE))/(J134/VLOOKUP(D134,{CCL!M:N;CCL!$P:$Q},2,FALSE))-1))</f>
        <v>...</v>
      </c>
      <c r="T134" s="47" t="str">
        <f>IF(B134=0,"...",N134/VLOOKUP(IF(E134="ABIERTA",TODAY(),F134),CCL!$A$12:$B$773,2,FALSE)-J134/VLOOKUP(D134,CCL!$A$12:$B235,2,FALSE))</f>
        <v>...</v>
      </c>
      <c r="U134" s="2"/>
      <c r="V134" s="10"/>
      <c r="W134" s="59" t="str">
        <f t="shared" si="16"/>
        <v>...</v>
      </c>
      <c r="X134" s="12" t="str">
        <f t="shared" si="17"/>
        <v/>
      </c>
      <c r="Y134" s="45" t="str">
        <f t="shared" si="18"/>
        <v>...</v>
      </c>
      <c r="Z134" s="45" t="str">
        <f t="shared" si="19"/>
        <v>...</v>
      </c>
      <c r="AA134" s="12" t="str">
        <f t="shared" si="20"/>
        <v>...</v>
      </c>
      <c r="AB134" s="45" t="str">
        <f t="shared" si="21"/>
        <v>...</v>
      </c>
      <c r="AC134" s="45" t="str">
        <f t="shared" si="22"/>
        <v>...</v>
      </c>
      <c r="AD134" s="12" t="str">
        <f t="shared" si="23"/>
        <v>...</v>
      </c>
      <c r="AE134" s="46" t="str">
        <f t="shared" si="24"/>
        <v>...</v>
      </c>
      <c r="AF134" s="2"/>
      <c r="AG134" s="2"/>
      <c r="AH134" s="2"/>
      <c r="AI134" s="2"/>
      <c r="AJ134" s="2"/>
      <c r="AK134" s="2"/>
    </row>
    <row r="135" ht="24.0" customHeight="1">
      <c r="A135" s="4"/>
      <c r="B135" s="30"/>
      <c r="C135" s="5" t="str">
        <f>IFERROR(__xludf.DUMMYFUNCTION("if(B135=0,""..."", sparkline(query(GOOGLEFINANCE(""BCBA:""&amp;B135,""price"",today()-$AI$36,today()),""select Col2"",0),{""charttype"",$AI$35}))"),"...")</f>
        <v>...</v>
      </c>
      <c r="D135" s="17"/>
      <c r="E135" s="31"/>
      <c r="F135" s="7"/>
      <c r="G135" s="8" t="str">
        <f t="shared" si="1"/>
        <v>...</v>
      </c>
      <c r="H135" s="31"/>
      <c r="I135" s="52"/>
      <c r="J135" s="45" t="str">
        <f t="shared" si="2"/>
        <v>...</v>
      </c>
      <c r="K135" s="47" t="str">
        <f t="array" ref="K135">IF(B135=0,"...",J135/VLOOKUP(D135,{CCL!M:N;CCL!$P:$Q},2,FALSE))</f>
        <v>...</v>
      </c>
      <c r="L135" s="45" t="str">
        <f>IFERROR(__xludf.DUMMYFUNCTION("if(B135=0,""..."",if(E135=""CERRADA"",""Valor Venta"", GOOGLEFINANCE(""BCBA:""&amp;B135)))"),"...")</f>
        <v>...</v>
      </c>
      <c r="M135" s="45" t="str">
        <f>if(B135=0,"...",L135*(1-VLOOKUP(A135,Config!$B$3:$C$22,2,FALSE)))</f>
        <v>...</v>
      </c>
      <c r="N135" s="45" t="str">
        <f t="shared" si="3"/>
        <v>...</v>
      </c>
      <c r="O135" s="12" t="str">
        <f>IFERROR(__xludf.DUMMYFUNCTION("if(B135=0,""..."",GOOGLEFINANCE(B135,""changepct"")/100)"),"...")</f>
        <v>...</v>
      </c>
      <c r="P135" s="10" t="str">
        <f>IFERROR(__xludf.DUMMYFUNCTION("if(B135=0,""..."",GOOGLEFINANCE(B135,""change"")*H135)"),"...")</f>
        <v>...</v>
      </c>
      <c r="Q135" s="12" t="str">
        <f t="shared" si="4"/>
        <v>...</v>
      </c>
      <c r="R135" s="47" t="str">
        <f t="shared" si="5"/>
        <v>...</v>
      </c>
      <c r="S135" s="12" t="str">
        <f t="array" ref="S135">IF(B135=0,"...",(N135/IF(E135="ABIERTA",CCL!$E$2,VLOOKUP(F135,{CCL!M:N;CCL!$P:$Q},2,FALSE))/(J135/VLOOKUP(D135,{CCL!M:N;CCL!$P:$Q},2,FALSE))-1))</f>
        <v>...</v>
      </c>
      <c r="T135" s="47" t="str">
        <f>IF(B135=0,"...",N135/VLOOKUP(IF(E135="ABIERTA",TODAY(),F135),CCL!$A$12:$B$773,2,FALSE)-J135/VLOOKUP(D135,CCL!$A$12:$B235,2,FALSE))</f>
        <v>...</v>
      </c>
      <c r="U135" s="2"/>
      <c r="V135" s="10"/>
      <c r="W135" s="59" t="str">
        <f t="shared" si="16"/>
        <v>...</v>
      </c>
      <c r="X135" s="12" t="str">
        <f t="shared" si="17"/>
        <v/>
      </c>
      <c r="Y135" s="45" t="str">
        <f t="shared" si="18"/>
        <v>...</v>
      </c>
      <c r="Z135" s="45" t="str">
        <f t="shared" si="19"/>
        <v>...</v>
      </c>
      <c r="AA135" s="12" t="str">
        <f t="shared" si="20"/>
        <v>...</v>
      </c>
      <c r="AB135" s="45" t="str">
        <f t="shared" si="21"/>
        <v>...</v>
      </c>
      <c r="AC135" s="45" t="str">
        <f t="shared" si="22"/>
        <v>...</v>
      </c>
      <c r="AD135" s="12" t="str">
        <f t="shared" si="23"/>
        <v>...</v>
      </c>
      <c r="AE135" s="46" t="str">
        <f t="shared" si="24"/>
        <v>...</v>
      </c>
      <c r="AF135" s="2"/>
      <c r="AG135" s="2"/>
      <c r="AH135" s="2"/>
      <c r="AI135" s="2"/>
      <c r="AJ135" s="2"/>
      <c r="AK135" s="2"/>
    </row>
    <row r="136" ht="24.0" customHeight="1">
      <c r="A136" s="4"/>
      <c r="B136" s="30"/>
      <c r="C136" s="5" t="str">
        <f>IFERROR(__xludf.DUMMYFUNCTION("if(B136=0,""..."", sparkline(query(GOOGLEFINANCE(""BCBA:""&amp;B136,""price"",today()-$AI$36,today()),""select Col2"",0),{""charttype"",$AI$35}))"),"...")</f>
        <v>...</v>
      </c>
      <c r="D136" s="17"/>
      <c r="E136" s="31"/>
      <c r="F136" s="7"/>
      <c r="G136" s="8" t="str">
        <f t="shared" si="1"/>
        <v>...</v>
      </c>
      <c r="H136" s="31"/>
      <c r="I136" s="52"/>
      <c r="J136" s="45" t="str">
        <f t="shared" si="2"/>
        <v>...</v>
      </c>
      <c r="K136" s="47" t="str">
        <f t="array" ref="K136">IF(B136=0,"...",J136/VLOOKUP(D136,{CCL!M:N;CCL!$P:$Q},2,FALSE))</f>
        <v>...</v>
      </c>
      <c r="L136" s="45" t="str">
        <f>IFERROR(__xludf.DUMMYFUNCTION("if(B136=0,""..."",if(E136=""CERRADA"",""Valor Venta"", GOOGLEFINANCE(""BCBA:""&amp;B136)))"),"...")</f>
        <v>...</v>
      </c>
      <c r="M136" s="45" t="str">
        <f>if(B136=0,"...",L136*(1-VLOOKUP(A136,Config!$B$3:$C$22,2,FALSE)))</f>
        <v>...</v>
      </c>
      <c r="N136" s="45" t="str">
        <f t="shared" si="3"/>
        <v>...</v>
      </c>
      <c r="O136" s="12" t="str">
        <f>IFERROR(__xludf.DUMMYFUNCTION("if(B136=0,""..."",GOOGLEFINANCE(B136,""changepct"")/100)"),"...")</f>
        <v>...</v>
      </c>
      <c r="P136" s="10" t="str">
        <f>IFERROR(__xludf.DUMMYFUNCTION("if(B136=0,""..."",GOOGLEFINANCE(B136,""change"")*H136)"),"...")</f>
        <v>...</v>
      </c>
      <c r="Q136" s="12" t="str">
        <f t="shared" si="4"/>
        <v>...</v>
      </c>
      <c r="R136" s="47" t="str">
        <f t="shared" si="5"/>
        <v>...</v>
      </c>
      <c r="S136" s="12" t="str">
        <f t="array" ref="S136">IF(B136=0,"...",(N136/IF(E136="ABIERTA",CCL!$E$2,VLOOKUP(F136,{CCL!M:N;CCL!$P:$Q},2,FALSE))/(J136/VLOOKUP(D136,{CCL!M:N;CCL!$P:$Q},2,FALSE))-1))</f>
        <v>...</v>
      </c>
      <c r="T136" s="47" t="str">
        <f>IF(B136=0,"...",N136/VLOOKUP(IF(E136="ABIERTA",TODAY(),F136),CCL!$A$12:$B$773,2,FALSE)-J136/VLOOKUP(D136,CCL!$A$12:$B235,2,FALSE))</f>
        <v>...</v>
      </c>
      <c r="U136" s="2"/>
      <c r="V136" s="10"/>
      <c r="W136" s="59" t="str">
        <f t="shared" si="16"/>
        <v>...</v>
      </c>
      <c r="X136" s="12" t="str">
        <f t="shared" si="17"/>
        <v/>
      </c>
      <c r="Y136" s="45" t="str">
        <f t="shared" si="18"/>
        <v>...</v>
      </c>
      <c r="Z136" s="45" t="str">
        <f t="shared" si="19"/>
        <v>...</v>
      </c>
      <c r="AA136" s="12" t="str">
        <f t="shared" si="20"/>
        <v>...</v>
      </c>
      <c r="AB136" s="45" t="str">
        <f t="shared" si="21"/>
        <v>...</v>
      </c>
      <c r="AC136" s="45" t="str">
        <f t="shared" si="22"/>
        <v>...</v>
      </c>
      <c r="AD136" s="12" t="str">
        <f t="shared" si="23"/>
        <v>...</v>
      </c>
      <c r="AE136" s="46" t="str">
        <f t="shared" si="24"/>
        <v>...</v>
      </c>
      <c r="AF136" s="2"/>
      <c r="AG136" s="2"/>
      <c r="AH136" s="2"/>
      <c r="AI136" s="2"/>
      <c r="AJ136" s="2"/>
      <c r="AK136" s="2"/>
    </row>
    <row r="137" ht="24.0" customHeight="1">
      <c r="A137" s="4"/>
      <c r="B137" s="30"/>
      <c r="C137" s="5" t="str">
        <f>IFERROR(__xludf.DUMMYFUNCTION("if(B137=0,""..."", sparkline(query(GOOGLEFINANCE(""BCBA:""&amp;B137,""price"",today()-$AI$36,today()),""select Col2"",0),{""charttype"",$AI$35}))"),"...")</f>
        <v>...</v>
      </c>
      <c r="D137" s="17"/>
      <c r="E137" s="31"/>
      <c r="F137" s="7"/>
      <c r="G137" s="8" t="str">
        <f t="shared" si="1"/>
        <v>...</v>
      </c>
      <c r="H137" s="31"/>
      <c r="I137" s="52"/>
      <c r="J137" s="45" t="str">
        <f t="shared" si="2"/>
        <v>...</v>
      </c>
      <c r="K137" s="47" t="str">
        <f t="array" ref="K137">IF(B137=0,"...",J137/VLOOKUP(D137,{CCL!M:N;CCL!$P:$Q},2,FALSE))</f>
        <v>...</v>
      </c>
      <c r="L137" s="45" t="str">
        <f>IFERROR(__xludf.DUMMYFUNCTION("if(B137=0,""..."",if(E137=""CERRADA"",""Valor Venta"", GOOGLEFINANCE(""BCBA:""&amp;B137)))"),"...")</f>
        <v>...</v>
      </c>
      <c r="M137" s="45" t="str">
        <f>if(B137=0,"...",L137*(1-VLOOKUP(A137,Config!$B$3:$C$22,2,FALSE)))</f>
        <v>...</v>
      </c>
      <c r="N137" s="45" t="str">
        <f t="shared" si="3"/>
        <v>...</v>
      </c>
      <c r="O137" s="12" t="str">
        <f>IFERROR(__xludf.DUMMYFUNCTION("if(B137=0,""..."",GOOGLEFINANCE(B137,""changepct"")/100)"),"...")</f>
        <v>...</v>
      </c>
      <c r="P137" s="10" t="str">
        <f>IFERROR(__xludf.DUMMYFUNCTION("if(B137=0,""..."",GOOGLEFINANCE(B137,""change"")*H137)"),"...")</f>
        <v>...</v>
      </c>
      <c r="Q137" s="12" t="str">
        <f t="shared" si="4"/>
        <v>...</v>
      </c>
      <c r="R137" s="47" t="str">
        <f t="shared" si="5"/>
        <v>...</v>
      </c>
      <c r="S137" s="12" t="str">
        <f t="array" ref="S137">IF(B137=0,"...",(N137/IF(E137="ABIERTA",CCL!$E$2,VLOOKUP(F137,{CCL!M:N;CCL!$P:$Q},2,FALSE))/(J137/VLOOKUP(D137,{CCL!M:N;CCL!$P:$Q},2,FALSE))-1))</f>
        <v>...</v>
      </c>
      <c r="T137" s="47" t="str">
        <f>IF(B137=0,"...",N137/VLOOKUP(IF(E137="ABIERTA",TODAY(),F137),CCL!$A$12:$B$773,2,FALSE)-J137/VLOOKUP(D137,CCL!$A$12:$B235,2,FALSE))</f>
        <v>...</v>
      </c>
      <c r="U137" s="2"/>
      <c r="V137" s="10"/>
      <c r="W137" s="59" t="str">
        <f t="shared" si="16"/>
        <v>...</v>
      </c>
      <c r="X137" s="12" t="str">
        <f t="shared" si="17"/>
        <v/>
      </c>
      <c r="Y137" s="45" t="str">
        <f t="shared" si="18"/>
        <v>...</v>
      </c>
      <c r="Z137" s="45" t="str">
        <f t="shared" si="19"/>
        <v>...</v>
      </c>
      <c r="AA137" s="12" t="str">
        <f t="shared" si="20"/>
        <v>...</v>
      </c>
      <c r="AB137" s="45" t="str">
        <f t="shared" si="21"/>
        <v>...</v>
      </c>
      <c r="AC137" s="45" t="str">
        <f t="shared" si="22"/>
        <v>...</v>
      </c>
      <c r="AD137" s="12" t="str">
        <f t="shared" si="23"/>
        <v>...</v>
      </c>
      <c r="AE137" s="46" t="str">
        <f t="shared" si="24"/>
        <v>...</v>
      </c>
      <c r="AF137" s="2"/>
      <c r="AG137" s="2"/>
      <c r="AH137" s="2"/>
      <c r="AI137" s="2"/>
      <c r="AJ137" s="2"/>
      <c r="AK137" s="2"/>
    </row>
    <row r="138" ht="24.0" customHeight="1">
      <c r="A138" s="4"/>
      <c r="B138" s="30"/>
      <c r="C138" s="5" t="str">
        <f>IFERROR(__xludf.DUMMYFUNCTION("if(B138=0,""..."", sparkline(query(GOOGLEFINANCE(""BCBA:""&amp;B138,""price"",today()-$AI$36,today()),""select Col2"",0),{""charttype"",$AI$35}))"),"...")</f>
        <v>...</v>
      </c>
      <c r="D138" s="17"/>
      <c r="E138" s="31"/>
      <c r="F138" s="7"/>
      <c r="G138" s="8" t="str">
        <f t="shared" si="1"/>
        <v>...</v>
      </c>
      <c r="H138" s="31"/>
      <c r="I138" s="52"/>
      <c r="J138" s="45" t="str">
        <f t="shared" si="2"/>
        <v>...</v>
      </c>
      <c r="K138" s="47" t="str">
        <f t="array" ref="K138">IF(B138=0,"...",J138/VLOOKUP(D138,{CCL!M:N;CCL!$P:$Q},2,FALSE))</f>
        <v>...</v>
      </c>
      <c r="L138" s="45" t="str">
        <f>IFERROR(__xludf.DUMMYFUNCTION("if(B138=0,""..."",if(E138=""CERRADA"",""Valor Venta"", GOOGLEFINANCE(""BCBA:""&amp;B138)))"),"...")</f>
        <v>...</v>
      </c>
      <c r="M138" s="45" t="str">
        <f>if(B138=0,"...",L138*(1-VLOOKUP(A138,Config!$B$3:$C$22,2,FALSE)))</f>
        <v>...</v>
      </c>
      <c r="N138" s="45" t="str">
        <f t="shared" si="3"/>
        <v>...</v>
      </c>
      <c r="O138" s="12" t="str">
        <f>IFERROR(__xludf.DUMMYFUNCTION("if(B138=0,""..."",GOOGLEFINANCE(B138,""changepct"")/100)"),"...")</f>
        <v>...</v>
      </c>
      <c r="P138" s="10" t="str">
        <f>IFERROR(__xludf.DUMMYFUNCTION("if(B138=0,""..."",GOOGLEFINANCE(B138,""change"")*H138)"),"...")</f>
        <v>...</v>
      </c>
      <c r="Q138" s="12" t="str">
        <f t="shared" si="4"/>
        <v>...</v>
      </c>
      <c r="R138" s="47" t="str">
        <f t="shared" si="5"/>
        <v>...</v>
      </c>
      <c r="S138" s="12" t="str">
        <f t="array" ref="S138">IF(B138=0,"...",(N138/IF(E138="ABIERTA",CCL!$E$2,VLOOKUP(F138,{CCL!M:N;CCL!$P:$Q},2,FALSE))/(J138/VLOOKUP(D138,{CCL!M:N;CCL!$P:$Q},2,FALSE))-1))</f>
        <v>...</v>
      </c>
      <c r="T138" s="47" t="str">
        <f>IF(B138=0,"...",N138/VLOOKUP(IF(E138="ABIERTA",TODAY(),F138),CCL!$A$12:$B$773,2,FALSE)-J138/VLOOKUP(D138,CCL!$A$12:$B235,2,FALSE))</f>
        <v>...</v>
      </c>
      <c r="U138" s="2"/>
      <c r="V138" s="10"/>
      <c r="W138" s="59" t="str">
        <f t="shared" si="16"/>
        <v>...</v>
      </c>
      <c r="X138" s="12" t="str">
        <f t="shared" si="17"/>
        <v/>
      </c>
      <c r="Y138" s="45" t="str">
        <f t="shared" si="18"/>
        <v>...</v>
      </c>
      <c r="Z138" s="45" t="str">
        <f t="shared" si="19"/>
        <v>...</v>
      </c>
      <c r="AA138" s="12" t="str">
        <f t="shared" si="20"/>
        <v>...</v>
      </c>
      <c r="AB138" s="45" t="str">
        <f t="shared" si="21"/>
        <v>...</v>
      </c>
      <c r="AC138" s="45" t="str">
        <f t="shared" si="22"/>
        <v>...</v>
      </c>
      <c r="AD138" s="12" t="str">
        <f t="shared" si="23"/>
        <v>...</v>
      </c>
      <c r="AE138" s="46" t="str">
        <f t="shared" si="24"/>
        <v>...</v>
      </c>
      <c r="AF138" s="2"/>
      <c r="AG138" s="2"/>
      <c r="AH138" s="2"/>
      <c r="AI138" s="2"/>
      <c r="AJ138" s="2"/>
      <c r="AK138" s="2"/>
    </row>
    <row r="139" ht="24.0" customHeight="1">
      <c r="A139" s="4"/>
      <c r="B139" s="30"/>
      <c r="C139" s="5" t="str">
        <f>IFERROR(__xludf.DUMMYFUNCTION("if(B139=0,""..."", sparkline(query(GOOGLEFINANCE(""BCBA:""&amp;B139,""price"",today()-$AI$36,today()),""select Col2"",0),{""charttype"",$AI$35}))"),"...")</f>
        <v>...</v>
      </c>
      <c r="D139" s="17"/>
      <c r="E139" s="31"/>
      <c r="F139" s="7"/>
      <c r="G139" s="8" t="str">
        <f t="shared" si="1"/>
        <v>...</v>
      </c>
      <c r="H139" s="31"/>
      <c r="I139" s="52"/>
      <c r="J139" s="45" t="str">
        <f t="shared" si="2"/>
        <v>...</v>
      </c>
      <c r="K139" s="47" t="str">
        <f t="array" ref="K139">IF(B139=0,"...",J139/VLOOKUP(D139,{CCL!M:N;CCL!$P:$Q},2,FALSE))</f>
        <v>...</v>
      </c>
      <c r="L139" s="45" t="str">
        <f>IFERROR(__xludf.DUMMYFUNCTION("if(B139=0,""..."",if(E139=""CERRADA"",""Valor Venta"", GOOGLEFINANCE(""BCBA:""&amp;B139)))"),"...")</f>
        <v>...</v>
      </c>
      <c r="M139" s="45" t="str">
        <f>if(B139=0,"...",L139*(1-VLOOKUP(A139,Config!$B$3:$C$22,2,FALSE)))</f>
        <v>...</v>
      </c>
      <c r="N139" s="45" t="str">
        <f t="shared" si="3"/>
        <v>...</v>
      </c>
      <c r="O139" s="12" t="str">
        <f>IFERROR(__xludf.DUMMYFUNCTION("if(B139=0,""..."",GOOGLEFINANCE(B139,""changepct"")/100)"),"...")</f>
        <v>...</v>
      </c>
      <c r="P139" s="10" t="str">
        <f>IFERROR(__xludf.DUMMYFUNCTION("if(B139=0,""..."",GOOGLEFINANCE(B139,""change"")*H139)"),"...")</f>
        <v>...</v>
      </c>
      <c r="Q139" s="12" t="str">
        <f t="shared" si="4"/>
        <v>...</v>
      </c>
      <c r="R139" s="47" t="str">
        <f t="shared" si="5"/>
        <v>...</v>
      </c>
      <c r="S139" s="12" t="str">
        <f t="array" ref="S139">IF(B139=0,"...",(N139/IF(E139="ABIERTA",CCL!$E$2,VLOOKUP(F139,{CCL!M:N;CCL!$P:$Q},2,FALSE))/(J139/VLOOKUP(D139,{CCL!M:N;CCL!$P:$Q},2,FALSE))-1))</f>
        <v>...</v>
      </c>
      <c r="T139" s="47" t="str">
        <f>IF(B139=0,"...",N139/VLOOKUP(IF(E139="ABIERTA",TODAY(),F139),CCL!$A$12:$B$773,2,FALSE)-J139/VLOOKUP(D139,CCL!$A$12:$B235,2,FALSE))</f>
        <v>...</v>
      </c>
      <c r="U139" s="2"/>
      <c r="V139" s="10"/>
      <c r="W139" s="59" t="str">
        <f t="shared" si="16"/>
        <v>...</v>
      </c>
      <c r="X139" s="12" t="str">
        <f t="shared" si="17"/>
        <v/>
      </c>
      <c r="Y139" s="45" t="str">
        <f t="shared" si="18"/>
        <v>...</v>
      </c>
      <c r="Z139" s="45" t="str">
        <f t="shared" si="19"/>
        <v>...</v>
      </c>
      <c r="AA139" s="12" t="str">
        <f t="shared" si="20"/>
        <v>...</v>
      </c>
      <c r="AB139" s="45" t="str">
        <f t="shared" si="21"/>
        <v>...</v>
      </c>
      <c r="AC139" s="45" t="str">
        <f t="shared" si="22"/>
        <v>...</v>
      </c>
      <c r="AD139" s="12" t="str">
        <f t="shared" si="23"/>
        <v>...</v>
      </c>
      <c r="AE139" s="46" t="str">
        <f t="shared" si="24"/>
        <v>...</v>
      </c>
      <c r="AF139" s="2"/>
      <c r="AG139" s="2"/>
      <c r="AH139" s="2"/>
      <c r="AI139" s="2"/>
      <c r="AJ139" s="2"/>
      <c r="AK139" s="2"/>
    </row>
    <row r="140" ht="24.0" customHeight="1">
      <c r="A140" s="4"/>
      <c r="B140" s="30"/>
      <c r="C140" s="5" t="str">
        <f>IFERROR(__xludf.DUMMYFUNCTION("if(B140=0,""..."", sparkline(query(GOOGLEFINANCE(""BCBA:""&amp;B140,""price"",today()-$AI$36,today()),""select Col2"",0),{""charttype"",$AI$35}))"),"...")</f>
        <v>...</v>
      </c>
      <c r="D140" s="17"/>
      <c r="E140" s="31"/>
      <c r="F140" s="7"/>
      <c r="G140" s="8" t="str">
        <f t="shared" si="1"/>
        <v>...</v>
      </c>
      <c r="H140" s="31"/>
      <c r="I140" s="52"/>
      <c r="J140" s="45" t="str">
        <f t="shared" si="2"/>
        <v>...</v>
      </c>
      <c r="K140" s="47" t="str">
        <f t="array" ref="K140">IF(B140=0,"...",J140/VLOOKUP(D140,{CCL!M:N;CCL!$P:$Q},2,FALSE))</f>
        <v>...</v>
      </c>
      <c r="L140" s="45" t="str">
        <f>IFERROR(__xludf.DUMMYFUNCTION("if(B140=0,""..."",if(E140=""CERRADA"",""Valor Venta"", GOOGLEFINANCE(""BCBA:""&amp;B140)))"),"...")</f>
        <v>...</v>
      </c>
      <c r="M140" s="45" t="str">
        <f>if(B140=0,"...",L140*(1-VLOOKUP(A140,Config!$B$3:$C$22,2,FALSE)))</f>
        <v>...</v>
      </c>
      <c r="N140" s="45" t="str">
        <f t="shared" si="3"/>
        <v>...</v>
      </c>
      <c r="O140" s="12" t="str">
        <f>IFERROR(__xludf.DUMMYFUNCTION("if(B140=0,""..."",GOOGLEFINANCE(B140,""changepct"")/100)"),"...")</f>
        <v>...</v>
      </c>
      <c r="P140" s="10" t="str">
        <f>IFERROR(__xludf.DUMMYFUNCTION("if(B140=0,""..."",GOOGLEFINANCE(B140,""change"")*H140)"),"...")</f>
        <v>...</v>
      </c>
      <c r="Q140" s="12" t="str">
        <f t="shared" si="4"/>
        <v>...</v>
      </c>
      <c r="R140" s="47" t="str">
        <f t="shared" si="5"/>
        <v>...</v>
      </c>
      <c r="S140" s="12" t="str">
        <f t="array" ref="S140">IF(B140=0,"...",(N140/IF(E140="ABIERTA",CCL!$E$2,VLOOKUP(F140,{CCL!M:N;CCL!$P:$Q},2,FALSE))/(J140/VLOOKUP(D140,{CCL!M:N;CCL!$P:$Q},2,FALSE))-1))</f>
        <v>...</v>
      </c>
      <c r="T140" s="47" t="str">
        <f>IF(B140=0,"...",N140/VLOOKUP(IF(E140="ABIERTA",TODAY(),F140),CCL!$A$12:$B$773,2,FALSE)-J140/VLOOKUP(D140,CCL!$A$12:$B235,2,FALSE))</f>
        <v>...</v>
      </c>
      <c r="U140" s="2"/>
      <c r="V140" s="10"/>
      <c r="W140" s="59" t="str">
        <f t="shared" si="16"/>
        <v>...</v>
      </c>
      <c r="X140" s="12" t="str">
        <f t="shared" si="17"/>
        <v/>
      </c>
      <c r="Y140" s="45" t="str">
        <f t="shared" si="18"/>
        <v>...</v>
      </c>
      <c r="Z140" s="45" t="str">
        <f t="shared" si="19"/>
        <v>...</v>
      </c>
      <c r="AA140" s="12" t="str">
        <f t="shared" si="20"/>
        <v>...</v>
      </c>
      <c r="AB140" s="45" t="str">
        <f t="shared" si="21"/>
        <v>...</v>
      </c>
      <c r="AC140" s="45" t="str">
        <f t="shared" si="22"/>
        <v>...</v>
      </c>
      <c r="AD140" s="12" t="str">
        <f t="shared" si="23"/>
        <v>...</v>
      </c>
      <c r="AE140" s="46" t="str">
        <f t="shared" si="24"/>
        <v>...</v>
      </c>
      <c r="AF140" s="2"/>
      <c r="AG140" s="2"/>
      <c r="AH140" s="2"/>
      <c r="AI140" s="2"/>
      <c r="AJ140" s="2"/>
      <c r="AK140" s="2"/>
    </row>
    <row r="141" ht="24.0" customHeight="1">
      <c r="A141" s="4"/>
      <c r="B141" s="30"/>
      <c r="C141" s="5" t="str">
        <f>IFERROR(__xludf.DUMMYFUNCTION("if(B141=0,""..."", sparkline(query(GOOGLEFINANCE(""BCBA:""&amp;B141,""price"",today()-$AI$36,today()),""select Col2"",0),{""charttype"",$AI$35}))"),"...")</f>
        <v>...</v>
      </c>
      <c r="D141" s="17"/>
      <c r="E141" s="31"/>
      <c r="F141" s="7"/>
      <c r="G141" s="8" t="str">
        <f t="shared" si="1"/>
        <v>...</v>
      </c>
      <c r="H141" s="31"/>
      <c r="I141" s="52"/>
      <c r="J141" s="45" t="str">
        <f t="shared" si="2"/>
        <v>...</v>
      </c>
      <c r="K141" s="47" t="str">
        <f t="array" ref="K141">IF(B141=0,"...",J141/VLOOKUP(D141,{CCL!M:N;CCL!$P:$Q},2,FALSE))</f>
        <v>...</v>
      </c>
      <c r="L141" s="45" t="str">
        <f>IFERROR(__xludf.DUMMYFUNCTION("if(B141=0,""..."",if(E141=""CERRADA"",""Valor Venta"", GOOGLEFINANCE(""BCBA:""&amp;B141)))"),"...")</f>
        <v>...</v>
      </c>
      <c r="M141" s="45" t="str">
        <f>if(B141=0,"...",L141*(1-VLOOKUP(A141,Config!$B$3:$C$22,2,FALSE)))</f>
        <v>...</v>
      </c>
      <c r="N141" s="45" t="str">
        <f t="shared" si="3"/>
        <v>...</v>
      </c>
      <c r="O141" s="12" t="str">
        <f>IFERROR(__xludf.DUMMYFUNCTION("if(B141=0,""..."",GOOGLEFINANCE(B141,""changepct"")/100)"),"...")</f>
        <v>...</v>
      </c>
      <c r="P141" s="10" t="str">
        <f>IFERROR(__xludf.DUMMYFUNCTION("if(B141=0,""..."",GOOGLEFINANCE(B141,""change"")*H141)"),"...")</f>
        <v>...</v>
      </c>
      <c r="Q141" s="12" t="str">
        <f t="shared" si="4"/>
        <v>...</v>
      </c>
      <c r="R141" s="47" t="str">
        <f t="shared" si="5"/>
        <v>...</v>
      </c>
      <c r="S141" s="12" t="str">
        <f t="array" ref="S141">IF(B141=0,"...",(N141/IF(E141="ABIERTA",CCL!$E$2,VLOOKUP(F141,{CCL!M:N;CCL!$P:$Q},2,FALSE))/(J141/VLOOKUP(D141,{CCL!M:N;CCL!$P:$Q},2,FALSE))-1))</f>
        <v>...</v>
      </c>
      <c r="T141" s="47" t="str">
        <f>IF(B141=0,"...",N141/VLOOKUP(IF(E141="ABIERTA",TODAY(),F141),CCL!$A$12:$B$773,2,FALSE)-J141/VLOOKUP(D141,CCL!$A$12:$B235,2,FALSE))</f>
        <v>...</v>
      </c>
      <c r="U141" s="2"/>
      <c r="V141" s="10"/>
      <c r="W141" s="59" t="str">
        <f t="shared" si="16"/>
        <v>...</v>
      </c>
      <c r="X141" s="12" t="str">
        <f t="shared" si="17"/>
        <v/>
      </c>
      <c r="Y141" s="45" t="str">
        <f t="shared" si="18"/>
        <v>...</v>
      </c>
      <c r="Z141" s="45" t="str">
        <f t="shared" si="19"/>
        <v>...</v>
      </c>
      <c r="AA141" s="12" t="str">
        <f t="shared" si="20"/>
        <v>...</v>
      </c>
      <c r="AB141" s="45" t="str">
        <f t="shared" si="21"/>
        <v>...</v>
      </c>
      <c r="AC141" s="45" t="str">
        <f t="shared" si="22"/>
        <v>...</v>
      </c>
      <c r="AD141" s="12" t="str">
        <f t="shared" si="23"/>
        <v>...</v>
      </c>
      <c r="AE141" s="46" t="str">
        <f t="shared" si="24"/>
        <v>...</v>
      </c>
      <c r="AF141" s="2"/>
      <c r="AG141" s="2"/>
      <c r="AH141" s="2"/>
      <c r="AI141" s="2"/>
      <c r="AJ141" s="2"/>
      <c r="AK141" s="2"/>
    </row>
    <row r="142" ht="24.0" customHeight="1">
      <c r="A142" s="4"/>
      <c r="B142" s="30"/>
      <c r="C142" s="5" t="str">
        <f>IFERROR(__xludf.DUMMYFUNCTION("if(B142=0,""..."", sparkline(query(GOOGLEFINANCE(""BCBA:""&amp;B142,""price"",today()-$AI$36,today()),""select Col2"",0),{""charttype"",$AI$35}))"),"...")</f>
        <v>...</v>
      </c>
      <c r="D142" s="17"/>
      <c r="E142" s="31"/>
      <c r="F142" s="7"/>
      <c r="G142" s="8" t="str">
        <f t="shared" si="1"/>
        <v>...</v>
      </c>
      <c r="H142" s="31"/>
      <c r="I142" s="52"/>
      <c r="J142" s="45" t="str">
        <f t="shared" si="2"/>
        <v>...</v>
      </c>
      <c r="K142" s="47" t="str">
        <f t="array" ref="K142">IF(B142=0,"...",J142/VLOOKUP(D142,{CCL!M:N;CCL!$P:$Q},2,FALSE))</f>
        <v>...</v>
      </c>
      <c r="L142" s="45" t="str">
        <f>IFERROR(__xludf.DUMMYFUNCTION("if(B142=0,""..."",if(E142=""CERRADA"",""Valor Venta"", GOOGLEFINANCE(""BCBA:""&amp;B142)))"),"...")</f>
        <v>...</v>
      </c>
      <c r="M142" s="45" t="str">
        <f>if(B142=0,"...",L142*(1-VLOOKUP(A142,Config!$B$3:$C$22,2,FALSE)))</f>
        <v>...</v>
      </c>
      <c r="N142" s="45" t="str">
        <f t="shared" si="3"/>
        <v>...</v>
      </c>
      <c r="O142" s="12" t="str">
        <f>IFERROR(__xludf.DUMMYFUNCTION("if(B142=0,""..."",GOOGLEFINANCE(B142,""changepct"")/100)"),"...")</f>
        <v>...</v>
      </c>
      <c r="P142" s="10" t="str">
        <f>IFERROR(__xludf.DUMMYFUNCTION("if(B142=0,""..."",GOOGLEFINANCE(B142,""change"")*H142)"),"...")</f>
        <v>...</v>
      </c>
      <c r="Q142" s="12" t="str">
        <f t="shared" si="4"/>
        <v>...</v>
      </c>
      <c r="R142" s="47" t="str">
        <f t="shared" si="5"/>
        <v>...</v>
      </c>
      <c r="S142" s="12" t="str">
        <f t="array" ref="S142">IF(B142=0,"...",(N142/IF(E142="ABIERTA",CCL!$E$2,VLOOKUP(F142,{CCL!M:N;CCL!$P:$Q},2,FALSE))/(J142/VLOOKUP(D142,{CCL!M:N;CCL!$P:$Q},2,FALSE))-1))</f>
        <v>...</v>
      </c>
      <c r="T142" s="47" t="str">
        <f>IF(B142=0,"...",N142/VLOOKUP(IF(E142="ABIERTA",TODAY(),F142),CCL!$A$12:$B$773,2,FALSE)-J142/VLOOKUP(D142,CCL!$A$12:$B235,2,FALSE))</f>
        <v>...</v>
      </c>
      <c r="U142" s="2"/>
      <c r="V142" s="10"/>
      <c r="W142" s="59" t="str">
        <f t="shared" si="16"/>
        <v>...</v>
      </c>
      <c r="X142" s="12" t="str">
        <f t="shared" si="17"/>
        <v/>
      </c>
      <c r="Y142" s="45" t="str">
        <f t="shared" si="18"/>
        <v>...</v>
      </c>
      <c r="Z142" s="45" t="str">
        <f t="shared" si="19"/>
        <v>...</v>
      </c>
      <c r="AA142" s="12" t="str">
        <f t="shared" si="20"/>
        <v>...</v>
      </c>
      <c r="AB142" s="45" t="str">
        <f t="shared" si="21"/>
        <v>...</v>
      </c>
      <c r="AC142" s="45" t="str">
        <f t="shared" si="22"/>
        <v>...</v>
      </c>
      <c r="AD142" s="12" t="str">
        <f t="shared" si="23"/>
        <v>...</v>
      </c>
      <c r="AE142" s="46" t="str">
        <f t="shared" si="24"/>
        <v>...</v>
      </c>
      <c r="AF142" s="2"/>
      <c r="AG142" s="2"/>
      <c r="AH142" s="2"/>
      <c r="AI142" s="2"/>
      <c r="AJ142" s="2"/>
      <c r="AK142" s="2"/>
    </row>
    <row r="143" ht="24.0" customHeight="1">
      <c r="A143" s="4"/>
      <c r="B143" s="30"/>
      <c r="C143" s="5" t="str">
        <f>IFERROR(__xludf.DUMMYFUNCTION("if(B143=0,""..."", sparkline(query(GOOGLEFINANCE(""BCBA:""&amp;B143,""price"",today()-$AI$36,today()),""select Col2"",0),{""charttype"",$AI$35}))"),"...")</f>
        <v>...</v>
      </c>
      <c r="D143" s="17"/>
      <c r="E143" s="31"/>
      <c r="F143" s="7"/>
      <c r="G143" s="8" t="str">
        <f t="shared" si="1"/>
        <v>...</v>
      </c>
      <c r="H143" s="31"/>
      <c r="I143" s="52"/>
      <c r="J143" s="45" t="str">
        <f t="shared" si="2"/>
        <v>...</v>
      </c>
      <c r="K143" s="47" t="str">
        <f t="array" ref="K143">IF(B143=0,"...",J143/VLOOKUP(D143,{CCL!M:N;CCL!$P:$Q},2,FALSE))</f>
        <v>...</v>
      </c>
      <c r="L143" s="45" t="str">
        <f>IFERROR(__xludf.DUMMYFUNCTION("if(B143=0,""..."",if(E143=""CERRADA"",""Valor Venta"", GOOGLEFINANCE(""BCBA:""&amp;B143)))"),"...")</f>
        <v>...</v>
      </c>
      <c r="M143" s="45" t="str">
        <f>if(B143=0,"...",L143*(1-VLOOKUP(A143,Config!$B$3:$C$22,2,FALSE)))</f>
        <v>...</v>
      </c>
      <c r="N143" s="45" t="str">
        <f t="shared" si="3"/>
        <v>...</v>
      </c>
      <c r="O143" s="12" t="str">
        <f>IFERROR(__xludf.DUMMYFUNCTION("if(B143=0,""..."",GOOGLEFINANCE(B143,""changepct"")/100)"),"...")</f>
        <v>...</v>
      </c>
      <c r="P143" s="10" t="str">
        <f>IFERROR(__xludf.DUMMYFUNCTION("if(B143=0,""..."",GOOGLEFINANCE(B143,""change"")*H143)"),"...")</f>
        <v>...</v>
      </c>
      <c r="Q143" s="12" t="str">
        <f t="shared" si="4"/>
        <v>...</v>
      </c>
      <c r="R143" s="47" t="str">
        <f t="shared" si="5"/>
        <v>...</v>
      </c>
      <c r="S143" s="12" t="str">
        <f t="array" ref="S143">IF(B143=0,"...",(N143/IF(E143="ABIERTA",CCL!$E$2,VLOOKUP(F143,{CCL!M:N;CCL!$P:$Q},2,FALSE))/(J143/VLOOKUP(D143,{CCL!M:N;CCL!$P:$Q},2,FALSE))-1))</f>
        <v>...</v>
      </c>
      <c r="T143" s="47" t="str">
        <f>IF(B143=0,"...",N143/VLOOKUP(IF(E143="ABIERTA",TODAY(),F143),CCL!$A$12:$B$773,2,FALSE)-J143/VLOOKUP(D143,CCL!$A$12:$B235,2,FALSE))</f>
        <v>...</v>
      </c>
      <c r="U143" s="2"/>
      <c r="V143" s="10"/>
      <c r="W143" s="59" t="str">
        <f t="shared" si="16"/>
        <v>...</v>
      </c>
      <c r="X143" s="12" t="str">
        <f t="shared" si="17"/>
        <v/>
      </c>
      <c r="Y143" s="45" t="str">
        <f t="shared" si="18"/>
        <v>...</v>
      </c>
      <c r="Z143" s="45" t="str">
        <f t="shared" si="19"/>
        <v>...</v>
      </c>
      <c r="AA143" s="12" t="str">
        <f t="shared" si="20"/>
        <v>...</v>
      </c>
      <c r="AB143" s="45" t="str">
        <f t="shared" si="21"/>
        <v>...</v>
      </c>
      <c r="AC143" s="45" t="str">
        <f t="shared" si="22"/>
        <v>...</v>
      </c>
      <c r="AD143" s="12" t="str">
        <f t="shared" si="23"/>
        <v>...</v>
      </c>
      <c r="AE143" s="46" t="str">
        <f t="shared" si="24"/>
        <v>...</v>
      </c>
      <c r="AF143" s="2"/>
      <c r="AG143" s="2"/>
      <c r="AH143" s="2"/>
      <c r="AI143" s="2"/>
      <c r="AJ143" s="2"/>
      <c r="AK143" s="2"/>
    </row>
    <row r="144" ht="24.0" customHeight="1">
      <c r="A144" s="4"/>
      <c r="B144" s="30"/>
      <c r="C144" s="5" t="str">
        <f>IFERROR(__xludf.DUMMYFUNCTION("if(B144=0,""..."", sparkline(query(GOOGLEFINANCE(""BCBA:""&amp;B144,""price"",today()-$AI$36,today()),""select Col2"",0),{""charttype"",$AI$35}))"),"...")</f>
        <v>...</v>
      </c>
      <c r="D144" s="17"/>
      <c r="E144" s="31"/>
      <c r="F144" s="7"/>
      <c r="G144" s="8" t="str">
        <f t="shared" si="1"/>
        <v>...</v>
      </c>
      <c r="H144" s="31"/>
      <c r="I144" s="52"/>
      <c r="J144" s="45" t="str">
        <f t="shared" si="2"/>
        <v>...</v>
      </c>
      <c r="K144" s="47" t="str">
        <f t="array" ref="K144">IF(B144=0,"...",J144/VLOOKUP(D144,{CCL!M:N;CCL!$P:$Q},2,FALSE))</f>
        <v>...</v>
      </c>
      <c r="L144" s="45" t="str">
        <f>IFERROR(__xludf.DUMMYFUNCTION("if(B144=0,""..."",if(E144=""CERRADA"",""Valor Venta"", GOOGLEFINANCE(""BCBA:""&amp;B144)))"),"...")</f>
        <v>...</v>
      </c>
      <c r="M144" s="45" t="str">
        <f>if(B144=0,"...",L144*(1-VLOOKUP(A144,Config!$B$3:$C$22,2,FALSE)))</f>
        <v>...</v>
      </c>
      <c r="N144" s="45" t="str">
        <f t="shared" si="3"/>
        <v>...</v>
      </c>
      <c r="O144" s="12" t="str">
        <f>IFERROR(__xludf.DUMMYFUNCTION("if(B144=0,""..."",GOOGLEFINANCE(B144,""changepct"")/100)"),"...")</f>
        <v>...</v>
      </c>
      <c r="P144" s="10" t="str">
        <f>IFERROR(__xludf.DUMMYFUNCTION("if(B144=0,""..."",GOOGLEFINANCE(B144,""change"")*H144)"),"...")</f>
        <v>...</v>
      </c>
      <c r="Q144" s="12" t="str">
        <f t="shared" si="4"/>
        <v>...</v>
      </c>
      <c r="R144" s="47" t="str">
        <f t="shared" si="5"/>
        <v>...</v>
      </c>
      <c r="S144" s="12" t="str">
        <f t="array" ref="S144">IF(B144=0,"...",(N144/IF(E144="ABIERTA",CCL!$E$2,VLOOKUP(F144,{CCL!M:N;CCL!$P:$Q},2,FALSE))/(J144/VLOOKUP(D144,{CCL!M:N;CCL!$P:$Q},2,FALSE))-1))</f>
        <v>...</v>
      </c>
      <c r="T144" s="47" t="str">
        <f>IF(B144=0,"...",N144/VLOOKUP(IF(E144="ABIERTA",TODAY(),F144),CCL!$A$12:$B$773,2,FALSE)-J144/VLOOKUP(D144,CCL!$A$12:$B235,2,FALSE))</f>
        <v>...</v>
      </c>
      <c r="U144" s="2"/>
      <c r="V144" s="10"/>
      <c r="W144" s="59" t="str">
        <f t="shared" si="16"/>
        <v>...</v>
      </c>
      <c r="X144" s="12" t="str">
        <f t="shared" si="17"/>
        <v/>
      </c>
      <c r="Y144" s="45" t="str">
        <f t="shared" si="18"/>
        <v>...</v>
      </c>
      <c r="Z144" s="45" t="str">
        <f t="shared" si="19"/>
        <v>...</v>
      </c>
      <c r="AA144" s="12" t="str">
        <f t="shared" si="20"/>
        <v>...</v>
      </c>
      <c r="AB144" s="45" t="str">
        <f t="shared" si="21"/>
        <v>...</v>
      </c>
      <c r="AC144" s="45" t="str">
        <f t="shared" si="22"/>
        <v>...</v>
      </c>
      <c r="AD144" s="12" t="str">
        <f t="shared" si="23"/>
        <v>...</v>
      </c>
      <c r="AE144" s="46" t="str">
        <f t="shared" si="24"/>
        <v>...</v>
      </c>
      <c r="AF144" s="2"/>
      <c r="AG144" s="2"/>
      <c r="AH144" s="2"/>
      <c r="AI144" s="2"/>
      <c r="AJ144" s="2"/>
      <c r="AK144" s="2"/>
    </row>
    <row r="145" ht="24.0" customHeight="1">
      <c r="A145" s="4"/>
      <c r="B145" s="30"/>
      <c r="C145" s="5" t="str">
        <f>IFERROR(__xludf.DUMMYFUNCTION("if(B145=0,""..."", sparkline(query(GOOGLEFINANCE(""BCBA:""&amp;B145,""price"",today()-$AI$36,today()),""select Col2"",0),{""charttype"",$AI$35}))"),"...")</f>
        <v>...</v>
      </c>
      <c r="D145" s="17"/>
      <c r="E145" s="31"/>
      <c r="F145" s="7"/>
      <c r="G145" s="8" t="str">
        <f t="shared" si="1"/>
        <v>...</v>
      </c>
      <c r="H145" s="31"/>
      <c r="I145" s="52"/>
      <c r="J145" s="45" t="str">
        <f t="shared" si="2"/>
        <v>...</v>
      </c>
      <c r="K145" s="47" t="str">
        <f t="array" ref="K145">IF(B145=0,"...",J145/VLOOKUP(D145,{CCL!M:N;CCL!$P:$Q},2,FALSE))</f>
        <v>...</v>
      </c>
      <c r="L145" s="45" t="str">
        <f>IFERROR(__xludf.DUMMYFUNCTION("if(B145=0,""..."",if(E145=""CERRADA"",""Valor Venta"", GOOGLEFINANCE(""BCBA:""&amp;B145)))"),"...")</f>
        <v>...</v>
      </c>
      <c r="M145" s="45" t="str">
        <f>if(B145=0,"...",L145*(1-VLOOKUP(A145,Config!$B$3:$C$22,2,FALSE)))</f>
        <v>...</v>
      </c>
      <c r="N145" s="45" t="str">
        <f t="shared" si="3"/>
        <v>...</v>
      </c>
      <c r="O145" s="12" t="str">
        <f>IFERROR(__xludf.DUMMYFUNCTION("if(B145=0,""..."",GOOGLEFINANCE(B145,""changepct"")/100)"),"...")</f>
        <v>...</v>
      </c>
      <c r="P145" s="10" t="str">
        <f>IFERROR(__xludf.DUMMYFUNCTION("if(B145=0,""..."",GOOGLEFINANCE(B145,""change"")*H145)"),"...")</f>
        <v>...</v>
      </c>
      <c r="Q145" s="12" t="str">
        <f t="shared" si="4"/>
        <v>...</v>
      </c>
      <c r="R145" s="47" t="str">
        <f t="shared" si="5"/>
        <v>...</v>
      </c>
      <c r="S145" s="12" t="str">
        <f t="array" ref="S145">IF(B145=0,"...",(N145/IF(E145="ABIERTA",CCL!$E$2,VLOOKUP(F145,{CCL!M:N;CCL!$P:$Q},2,FALSE))/(J145/VLOOKUP(D145,{CCL!M:N;CCL!$P:$Q},2,FALSE))-1))</f>
        <v>...</v>
      </c>
      <c r="T145" s="47" t="str">
        <f>IF(B145=0,"...",N145/VLOOKUP(IF(E145="ABIERTA",TODAY(),F145),CCL!$A$12:$B$773,2,FALSE)-J145/VLOOKUP(D145,CCL!$A$12:$B235,2,FALSE))</f>
        <v>...</v>
      </c>
      <c r="U145" s="2"/>
      <c r="V145" s="10"/>
      <c r="W145" s="59" t="str">
        <f t="shared" si="16"/>
        <v>...</v>
      </c>
      <c r="X145" s="12" t="str">
        <f t="shared" si="17"/>
        <v/>
      </c>
      <c r="Y145" s="45" t="str">
        <f t="shared" si="18"/>
        <v>...</v>
      </c>
      <c r="Z145" s="45" t="str">
        <f t="shared" si="19"/>
        <v>...</v>
      </c>
      <c r="AA145" s="12" t="str">
        <f t="shared" si="20"/>
        <v>...</v>
      </c>
      <c r="AB145" s="45" t="str">
        <f t="shared" si="21"/>
        <v>...</v>
      </c>
      <c r="AC145" s="45" t="str">
        <f t="shared" si="22"/>
        <v>...</v>
      </c>
      <c r="AD145" s="12" t="str">
        <f t="shared" si="23"/>
        <v>...</v>
      </c>
      <c r="AE145" s="46" t="str">
        <f t="shared" si="24"/>
        <v>...</v>
      </c>
      <c r="AF145" s="2"/>
      <c r="AG145" s="2"/>
      <c r="AH145" s="2"/>
      <c r="AI145" s="2"/>
      <c r="AJ145" s="2"/>
      <c r="AK145" s="2"/>
    </row>
    <row r="146" ht="24.0" customHeight="1">
      <c r="A146" s="4"/>
      <c r="B146" s="30"/>
      <c r="C146" s="5" t="str">
        <f>IFERROR(__xludf.DUMMYFUNCTION("if(B146=0,""..."", sparkline(query(GOOGLEFINANCE(""BCBA:""&amp;B146,""price"",today()-$AI$36,today()),""select Col2"",0),{""charttype"",$AI$35}))"),"...")</f>
        <v>...</v>
      </c>
      <c r="D146" s="17"/>
      <c r="E146" s="31"/>
      <c r="F146" s="7"/>
      <c r="G146" s="8" t="str">
        <f t="shared" si="1"/>
        <v>...</v>
      </c>
      <c r="H146" s="31"/>
      <c r="I146" s="52"/>
      <c r="J146" s="45" t="str">
        <f t="shared" si="2"/>
        <v>...</v>
      </c>
      <c r="K146" s="47" t="str">
        <f t="array" ref="K146">IF(B146=0,"...",J146/VLOOKUP(D146,{CCL!M:N;CCL!$P:$Q},2,FALSE))</f>
        <v>...</v>
      </c>
      <c r="L146" s="45" t="str">
        <f>IFERROR(__xludf.DUMMYFUNCTION("if(B146=0,""..."",if(E146=""CERRADA"",""Valor Venta"", GOOGLEFINANCE(""BCBA:""&amp;B146)))"),"...")</f>
        <v>...</v>
      </c>
      <c r="M146" s="45" t="str">
        <f>if(B146=0,"...",L146*(1-VLOOKUP(A146,Config!$B$3:$C$22,2,FALSE)))</f>
        <v>...</v>
      </c>
      <c r="N146" s="45" t="str">
        <f t="shared" si="3"/>
        <v>...</v>
      </c>
      <c r="O146" s="12" t="str">
        <f>IFERROR(__xludf.DUMMYFUNCTION("if(B146=0,""..."",GOOGLEFINANCE(B146,""changepct"")/100)"),"...")</f>
        <v>...</v>
      </c>
      <c r="P146" s="10" t="str">
        <f>IFERROR(__xludf.DUMMYFUNCTION("if(B146=0,""..."",GOOGLEFINANCE(B146,""change"")*H146)"),"...")</f>
        <v>...</v>
      </c>
      <c r="Q146" s="12" t="str">
        <f t="shared" si="4"/>
        <v>...</v>
      </c>
      <c r="R146" s="47" t="str">
        <f t="shared" si="5"/>
        <v>...</v>
      </c>
      <c r="S146" s="12" t="str">
        <f t="array" ref="S146">IF(B146=0,"...",(N146/IF(E146="ABIERTA",CCL!$E$2,VLOOKUP(F146,{CCL!M:N;CCL!$P:$Q},2,FALSE))/(J146/VLOOKUP(D146,{CCL!M:N;CCL!$P:$Q},2,FALSE))-1))</f>
        <v>...</v>
      </c>
      <c r="T146" s="47" t="str">
        <f>IF(B146=0,"...",N146/VLOOKUP(IF(E146="ABIERTA",TODAY(),F146),CCL!$A$12:$B$773,2,FALSE)-J146/VLOOKUP(D146,CCL!$A$12:$B235,2,FALSE))</f>
        <v>...</v>
      </c>
      <c r="U146" s="2"/>
      <c r="V146" s="10"/>
      <c r="W146" s="59" t="str">
        <f t="shared" si="16"/>
        <v>...</v>
      </c>
      <c r="X146" s="12" t="str">
        <f t="shared" si="17"/>
        <v/>
      </c>
      <c r="Y146" s="45" t="str">
        <f t="shared" si="18"/>
        <v>...</v>
      </c>
      <c r="Z146" s="45" t="str">
        <f t="shared" si="19"/>
        <v>...</v>
      </c>
      <c r="AA146" s="12" t="str">
        <f t="shared" si="20"/>
        <v>...</v>
      </c>
      <c r="AB146" s="45" t="str">
        <f t="shared" si="21"/>
        <v>...</v>
      </c>
      <c r="AC146" s="45" t="str">
        <f t="shared" si="22"/>
        <v>...</v>
      </c>
      <c r="AD146" s="12" t="str">
        <f t="shared" si="23"/>
        <v>...</v>
      </c>
      <c r="AE146" s="46" t="str">
        <f t="shared" si="24"/>
        <v>...</v>
      </c>
      <c r="AF146" s="2"/>
      <c r="AG146" s="2"/>
      <c r="AH146" s="2"/>
      <c r="AI146" s="2"/>
      <c r="AJ146" s="2"/>
      <c r="AK146" s="2"/>
    </row>
    <row r="147" ht="24.0" customHeight="1">
      <c r="A147" s="4"/>
      <c r="B147" s="30"/>
      <c r="C147" s="5" t="str">
        <f>IFERROR(__xludf.DUMMYFUNCTION("if(B147=0,""..."", sparkline(query(GOOGLEFINANCE(""BCBA:""&amp;B147,""price"",today()-$AI$36,today()),""select Col2"",0),{""charttype"",$AI$35}))"),"...")</f>
        <v>...</v>
      </c>
      <c r="D147" s="17"/>
      <c r="E147" s="31"/>
      <c r="F147" s="7"/>
      <c r="G147" s="8" t="str">
        <f t="shared" si="1"/>
        <v>...</v>
      </c>
      <c r="H147" s="31"/>
      <c r="I147" s="52"/>
      <c r="J147" s="45" t="str">
        <f t="shared" si="2"/>
        <v>...</v>
      </c>
      <c r="K147" s="47" t="str">
        <f t="array" ref="K147">IF(B147=0,"...",J147/VLOOKUP(D147,{CCL!M:N;CCL!$P:$Q},2,FALSE))</f>
        <v>...</v>
      </c>
      <c r="L147" s="45" t="str">
        <f>IFERROR(__xludf.DUMMYFUNCTION("if(B147=0,""..."",if(E147=""CERRADA"",""Valor Venta"", GOOGLEFINANCE(""BCBA:""&amp;B147)))"),"...")</f>
        <v>...</v>
      </c>
      <c r="M147" s="45" t="str">
        <f>if(B147=0,"...",L147*(1-VLOOKUP(A147,Config!$B$3:$C$22,2,FALSE)))</f>
        <v>...</v>
      </c>
      <c r="N147" s="45" t="str">
        <f t="shared" si="3"/>
        <v>...</v>
      </c>
      <c r="O147" s="12" t="str">
        <f>IFERROR(__xludf.DUMMYFUNCTION("if(B147=0,""..."",GOOGLEFINANCE(B147,""changepct"")/100)"),"...")</f>
        <v>...</v>
      </c>
      <c r="P147" s="10" t="str">
        <f>IFERROR(__xludf.DUMMYFUNCTION("if(B147=0,""..."",GOOGLEFINANCE(B147,""change"")*H147)"),"...")</f>
        <v>...</v>
      </c>
      <c r="Q147" s="12" t="str">
        <f t="shared" si="4"/>
        <v>...</v>
      </c>
      <c r="R147" s="47" t="str">
        <f t="shared" si="5"/>
        <v>...</v>
      </c>
      <c r="S147" s="12" t="str">
        <f t="array" ref="S147">IF(B147=0,"...",(N147/IF(E147="ABIERTA",CCL!$E$2,VLOOKUP(F147,{CCL!M:N;CCL!$P:$Q},2,FALSE))/(J147/VLOOKUP(D147,{CCL!M:N;CCL!$P:$Q},2,FALSE))-1))</f>
        <v>...</v>
      </c>
      <c r="T147" s="47" t="str">
        <f>IF(B147=0,"...",N147/VLOOKUP(IF(E147="ABIERTA",TODAY(),F147),CCL!$A$12:$B$773,2,FALSE)-J147/VLOOKUP(D147,CCL!$A$12:$B235,2,FALSE))</f>
        <v>...</v>
      </c>
      <c r="U147" s="2"/>
      <c r="V147" s="10"/>
      <c r="W147" s="59" t="str">
        <f t="shared" si="16"/>
        <v>...</v>
      </c>
      <c r="X147" s="12" t="str">
        <f t="shared" si="17"/>
        <v/>
      </c>
      <c r="Y147" s="45" t="str">
        <f t="shared" si="18"/>
        <v>...</v>
      </c>
      <c r="Z147" s="45" t="str">
        <f t="shared" si="19"/>
        <v>...</v>
      </c>
      <c r="AA147" s="12" t="str">
        <f t="shared" si="20"/>
        <v>...</v>
      </c>
      <c r="AB147" s="45" t="str">
        <f t="shared" si="21"/>
        <v>...</v>
      </c>
      <c r="AC147" s="45" t="str">
        <f t="shared" si="22"/>
        <v>...</v>
      </c>
      <c r="AD147" s="12" t="str">
        <f t="shared" si="23"/>
        <v>...</v>
      </c>
      <c r="AE147" s="46" t="str">
        <f t="shared" si="24"/>
        <v>...</v>
      </c>
      <c r="AF147" s="2"/>
      <c r="AG147" s="2"/>
      <c r="AH147" s="2"/>
      <c r="AI147" s="2"/>
      <c r="AJ147" s="2"/>
      <c r="AK147" s="2"/>
    </row>
    <row r="148" ht="24.0" customHeight="1">
      <c r="A148" s="4"/>
      <c r="B148" s="30"/>
      <c r="C148" s="5" t="str">
        <f>IFERROR(__xludf.DUMMYFUNCTION("if(B148=0,""..."", sparkline(query(GOOGLEFINANCE(""BCBA:""&amp;B148,""price"",today()-$AI$36,today()),""select Col2"",0),{""charttype"",$AI$35}))"),"...")</f>
        <v>...</v>
      </c>
      <c r="D148" s="17"/>
      <c r="E148" s="31"/>
      <c r="F148" s="7"/>
      <c r="G148" s="8" t="str">
        <f t="shared" si="1"/>
        <v>...</v>
      </c>
      <c r="H148" s="31"/>
      <c r="I148" s="52"/>
      <c r="J148" s="45" t="str">
        <f t="shared" si="2"/>
        <v>...</v>
      </c>
      <c r="K148" s="47" t="str">
        <f t="array" ref="K148">IF(B148=0,"...",J148/VLOOKUP(D148,{CCL!M:N;CCL!$P:$Q},2,FALSE))</f>
        <v>...</v>
      </c>
      <c r="L148" s="45" t="str">
        <f>IFERROR(__xludf.DUMMYFUNCTION("if(B148=0,""..."",if(E148=""CERRADA"",""Valor Venta"", GOOGLEFINANCE(""BCBA:""&amp;B148)))"),"...")</f>
        <v>...</v>
      </c>
      <c r="M148" s="45" t="str">
        <f>if(B148=0,"...",L148*(1-VLOOKUP(A148,Config!$B$3:$C$22,2,FALSE)))</f>
        <v>...</v>
      </c>
      <c r="N148" s="45" t="str">
        <f t="shared" si="3"/>
        <v>...</v>
      </c>
      <c r="O148" s="12" t="str">
        <f>IFERROR(__xludf.DUMMYFUNCTION("if(B148=0,""..."",GOOGLEFINANCE(B148,""changepct"")/100)"),"...")</f>
        <v>...</v>
      </c>
      <c r="P148" s="10" t="str">
        <f>IFERROR(__xludf.DUMMYFUNCTION("if(B148=0,""..."",GOOGLEFINANCE(B148,""change"")*H148)"),"...")</f>
        <v>...</v>
      </c>
      <c r="Q148" s="12" t="str">
        <f t="shared" si="4"/>
        <v>...</v>
      </c>
      <c r="R148" s="47" t="str">
        <f t="shared" si="5"/>
        <v>...</v>
      </c>
      <c r="S148" s="12" t="str">
        <f t="array" ref="S148">IF(B148=0,"...",(N148/IF(E148="ABIERTA",CCL!$E$2,VLOOKUP(F148,{CCL!M:N;CCL!$P:$Q},2,FALSE))/(J148/VLOOKUP(D148,{CCL!M:N;CCL!$P:$Q},2,FALSE))-1))</f>
        <v>...</v>
      </c>
      <c r="T148" s="47" t="str">
        <f>IF(B148=0,"...",N148/VLOOKUP(IF(E148="ABIERTA",TODAY(),F148),CCL!$A$12:$B$773,2,FALSE)-J148/VLOOKUP(D148,CCL!$A$12:$B235,2,FALSE))</f>
        <v>...</v>
      </c>
      <c r="U148" s="2"/>
      <c r="V148" s="10"/>
      <c r="W148" s="59" t="str">
        <f t="shared" si="16"/>
        <v>...</v>
      </c>
      <c r="X148" s="12" t="str">
        <f t="shared" si="17"/>
        <v/>
      </c>
      <c r="Y148" s="45" t="str">
        <f t="shared" si="18"/>
        <v>...</v>
      </c>
      <c r="Z148" s="45" t="str">
        <f t="shared" si="19"/>
        <v>...</v>
      </c>
      <c r="AA148" s="12" t="str">
        <f t="shared" si="20"/>
        <v>...</v>
      </c>
      <c r="AB148" s="45" t="str">
        <f t="shared" si="21"/>
        <v>...</v>
      </c>
      <c r="AC148" s="45" t="str">
        <f t="shared" si="22"/>
        <v>...</v>
      </c>
      <c r="AD148" s="12" t="str">
        <f t="shared" si="23"/>
        <v>...</v>
      </c>
      <c r="AE148" s="46" t="str">
        <f t="shared" si="24"/>
        <v>...</v>
      </c>
      <c r="AF148" s="2"/>
      <c r="AG148" s="2"/>
      <c r="AH148" s="2"/>
      <c r="AI148" s="2"/>
      <c r="AJ148" s="2"/>
      <c r="AK148" s="2"/>
    </row>
    <row r="149" ht="24.0" customHeight="1">
      <c r="A149" s="4"/>
      <c r="B149" s="30"/>
      <c r="C149" s="5" t="str">
        <f>IFERROR(__xludf.DUMMYFUNCTION("if(B149=0,""..."", sparkline(query(GOOGLEFINANCE(""BCBA:""&amp;B149,""price"",today()-$AI$36,today()),""select Col2"",0),{""charttype"",$AI$35}))"),"...")</f>
        <v>...</v>
      </c>
      <c r="D149" s="17"/>
      <c r="E149" s="31"/>
      <c r="F149" s="7"/>
      <c r="G149" s="8" t="str">
        <f t="shared" si="1"/>
        <v>...</v>
      </c>
      <c r="H149" s="31"/>
      <c r="I149" s="52"/>
      <c r="J149" s="45" t="str">
        <f t="shared" si="2"/>
        <v>...</v>
      </c>
      <c r="K149" s="47" t="str">
        <f t="array" ref="K149">IF(B149=0,"...",J149/VLOOKUP(D149,{CCL!M:N;CCL!$P:$Q},2,FALSE))</f>
        <v>...</v>
      </c>
      <c r="L149" s="45" t="str">
        <f>IFERROR(__xludf.DUMMYFUNCTION("if(B149=0,""..."",if(E149=""CERRADA"",""Valor Venta"", GOOGLEFINANCE(""BCBA:""&amp;B149)))"),"...")</f>
        <v>...</v>
      </c>
      <c r="M149" s="45" t="str">
        <f>if(B149=0,"...",L149*(1-VLOOKUP(A149,Config!$B$3:$C$22,2,FALSE)))</f>
        <v>...</v>
      </c>
      <c r="N149" s="45" t="str">
        <f t="shared" si="3"/>
        <v>...</v>
      </c>
      <c r="O149" s="12" t="str">
        <f>IFERROR(__xludf.DUMMYFUNCTION("if(B149=0,""..."",GOOGLEFINANCE(B149,""changepct"")/100)"),"...")</f>
        <v>...</v>
      </c>
      <c r="P149" s="10" t="str">
        <f>IFERROR(__xludf.DUMMYFUNCTION("if(B149=0,""..."",GOOGLEFINANCE(B149,""change"")*H149)"),"...")</f>
        <v>...</v>
      </c>
      <c r="Q149" s="12" t="str">
        <f t="shared" si="4"/>
        <v>...</v>
      </c>
      <c r="R149" s="47" t="str">
        <f t="shared" si="5"/>
        <v>...</v>
      </c>
      <c r="S149" s="12" t="str">
        <f t="array" ref="S149">IF(B149=0,"...",(N149/IF(E149="ABIERTA",CCL!$E$2,VLOOKUP(F149,{CCL!M:N;CCL!$P:$Q},2,FALSE))/(J149/VLOOKUP(D149,{CCL!M:N;CCL!$P:$Q},2,FALSE))-1))</f>
        <v>...</v>
      </c>
      <c r="T149" s="47" t="str">
        <f>IF(B149=0,"...",N149/VLOOKUP(IF(E149="ABIERTA",TODAY(),F149),CCL!$A$12:$B$773,2,FALSE)-J149/VLOOKUP(D149,CCL!$A$12:$B235,2,FALSE))</f>
        <v>...</v>
      </c>
      <c r="U149" s="2"/>
      <c r="V149" s="10"/>
      <c r="W149" s="59" t="str">
        <f t="shared" si="16"/>
        <v>...</v>
      </c>
      <c r="X149" s="12" t="str">
        <f t="shared" si="17"/>
        <v/>
      </c>
      <c r="Y149" s="45" t="str">
        <f t="shared" si="18"/>
        <v>...</v>
      </c>
      <c r="Z149" s="45" t="str">
        <f t="shared" si="19"/>
        <v>...</v>
      </c>
      <c r="AA149" s="12" t="str">
        <f t="shared" si="20"/>
        <v>...</v>
      </c>
      <c r="AB149" s="45" t="str">
        <f t="shared" si="21"/>
        <v>...</v>
      </c>
      <c r="AC149" s="45" t="str">
        <f t="shared" si="22"/>
        <v>...</v>
      </c>
      <c r="AD149" s="12" t="str">
        <f t="shared" si="23"/>
        <v>...</v>
      </c>
      <c r="AE149" s="46" t="str">
        <f t="shared" si="24"/>
        <v>...</v>
      </c>
      <c r="AF149" s="2"/>
      <c r="AG149" s="2"/>
      <c r="AH149" s="2"/>
      <c r="AI149" s="2"/>
      <c r="AJ149" s="2"/>
      <c r="AK149" s="2"/>
    </row>
    <row r="150" ht="24.0" customHeight="1">
      <c r="A150" s="4"/>
      <c r="B150" s="30"/>
      <c r="C150" s="5" t="str">
        <f>IFERROR(__xludf.DUMMYFUNCTION("if(B150=0,""..."", sparkline(query(GOOGLEFINANCE(""BCBA:""&amp;B150,""price"",today()-$AI$36,today()),""select Col2"",0),{""charttype"",$AI$35}))"),"...")</f>
        <v>...</v>
      </c>
      <c r="D150" s="17"/>
      <c r="E150" s="31"/>
      <c r="F150" s="7"/>
      <c r="G150" s="8" t="str">
        <f t="shared" si="1"/>
        <v>...</v>
      </c>
      <c r="H150" s="31"/>
      <c r="I150" s="52"/>
      <c r="J150" s="45" t="str">
        <f t="shared" si="2"/>
        <v>...</v>
      </c>
      <c r="K150" s="47" t="str">
        <f t="array" ref="K150">IF(B150=0,"...",J150/VLOOKUP(D150,{CCL!M:N;CCL!$P:$Q},2,FALSE))</f>
        <v>...</v>
      </c>
      <c r="L150" s="45" t="str">
        <f>IFERROR(__xludf.DUMMYFUNCTION("if(B150=0,""..."",if(E150=""CERRADA"",""Valor Venta"", GOOGLEFINANCE(""BCBA:""&amp;B150)))"),"...")</f>
        <v>...</v>
      </c>
      <c r="M150" s="45" t="str">
        <f>if(B150=0,"...",L150*(1-VLOOKUP(A150,Config!$B$3:$C$22,2,FALSE)))</f>
        <v>...</v>
      </c>
      <c r="N150" s="45" t="str">
        <f t="shared" si="3"/>
        <v>...</v>
      </c>
      <c r="O150" s="12" t="str">
        <f>IFERROR(__xludf.DUMMYFUNCTION("if(B150=0,""..."",GOOGLEFINANCE(B150,""changepct"")/100)"),"...")</f>
        <v>...</v>
      </c>
      <c r="P150" s="10" t="str">
        <f>IFERROR(__xludf.DUMMYFUNCTION("if(B150=0,""..."",GOOGLEFINANCE(B150,""change"")*H150)"),"...")</f>
        <v>...</v>
      </c>
      <c r="Q150" s="12" t="str">
        <f t="shared" si="4"/>
        <v>...</v>
      </c>
      <c r="R150" s="47" t="str">
        <f t="shared" si="5"/>
        <v>...</v>
      </c>
      <c r="S150" s="12" t="str">
        <f t="array" ref="S150">IF(B150=0,"...",(N150/IF(E150="ABIERTA",CCL!$E$2,VLOOKUP(F150,{CCL!M:N;CCL!$P:$Q},2,FALSE))/(J150/VLOOKUP(D150,{CCL!M:N;CCL!$P:$Q},2,FALSE))-1))</f>
        <v>...</v>
      </c>
      <c r="T150" s="47" t="str">
        <f>IF(B150=0,"...",N150/VLOOKUP(IF(E150="ABIERTA",TODAY(),F150),CCL!$A$12:$B$773,2,FALSE)-J150/VLOOKUP(D150,CCL!$A$12:$B235,2,FALSE))</f>
        <v>...</v>
      </c>
      <c r="U150" s="2"/>
      <c r="V150" s="10"/>
      <c r="W150" s="59" t="str">
        <f t="shared" si="16"/>
        <v>...</v>
      </c>
      <c r="X150" s="12" t="str">
        <f t="shared" si="17"/>
        <v/>
      </c>
      <c r="Y150" s="45" t="str">
        <f t="shared" si="18"/>
        <v>...</v>
      </c>
      <c r="Z150" s="45" t="str">
        <f t="shared" si="19"/>
        <v>...</v>
      </c>
      <c r="AA150" s="12" t="str">
        <f t="shared" si="20"/>
        <v>...</v>
      </c>
      <c r="AB150" s="45" t="str">
        <f t="shared" si="21"/>
        <v>...</v>
      </c>
      <c r="AC150" s="45" t="str">
        <f t="shared" si="22"/>
        <v>...</v>
      </c>
      <c r="AD150" s="12" t="str">
        <f t="shared" si="23"/>
        <v>...</v>
      </c>
      <c r="AE150" s="46" t="str">
        <f t="shared" si="24"/>
        <v>...</v>
      </c>
      <c r="AF150" s="2"/>
      <c r="AG150" s="2"/>
      <c r="AH150" s="2"/>
      <c r="AI150" s="2"/>
      <c r="AJ150" s="2"/>
      <c r="AK150" s="2"/>
    </row>
    <row r="151" ht="24.0" customHeight="1">
      <c r="A151" s="4"/>
      <c r="B151" s="30"/>
      <c r="C151" s="5" t="str">
        <f>IFERROR(__xludf.DUMMYFUNCTION("if(B151=0,""..."", sparkline(query(GOOGLEFINANCE(""BCBA:""&amp;B151,""price"",today()-$AI$36,today()),""select Col2"",0),{""charttype"",$AI$35}))"),"...")</f>
        <v>...</v>
      </c>
      <c r="D151" s="17"/>
      <c r="E151" s="31"/>
      <c r="F151" s="7"/>
      <c r="G151" s="8" t="str">
        <f t="shared" si="1"/>
        <v>...</v>
      </c>
      <c r="H151" s="31"/>
      <c r="I151" s="52"/>
      <c r="J151" s="45" t="str">
        <f t="shared" si="2"/>
        <v>...</v>
      </c>
      <c r="K151" s="47" t="str">
        <f t="array" ref="K151">IF(B151=0,"...",J151/VLOOKUP(D151,{CCL!M:N;CCL!$P:$Q},2,FALSE))</f>
        <v>...</v>
      </c>
      <c r="L151" s="45" t="str">
        <f>IFERROR(__xludf.DUMMYFUNCTION("if(B151=0,""..."",if(E151=""CERRADA"",""Valor Venta"", GOOGLEFINANCE(""BCBA:""&amp;B151)))"),"...")</f>
        <v>...</v>
      </c>
      <c r="M151" s="45" t="str">
        <f>if(B151=0,"...",L151*(1-VLOOKUP(A151,Config!$B$3:$C$22,2,FALSE)))</f>
        <v>...</v>
      </c>
      <c r="N151" s="45" t="str">
        <f t="shared" si="3"/>
        <v>...</v>
      </c>
      <c r="O151" s="12" t="str">
        <f>IFERROR(__xludf.DUMMYFUNCTION("if(B151=0,""..."",GOOGLEFINANCE(B151,""changepct"")/100)"),"...")</f>
        <v>...</v>
      </c>
      <c r="P151" s="10" t="str">
        <f>IFERROR(__xludf.DUMMYFUNCTION("if(B151=0,""..."",GOOGLEFINANCE(B151,""change"")*H151)"),"...")</f>
        <v>...</v>
      </c>
      <c r="Q151" s="12" t="str">
        <f t="shared" si="4"/>
        <v>...</v>
      </c>
      <c r="R151" s="47" t="str">
        <f t="shared" si="5"/>
        <v>...</v>
      </c>
      <c r="S151" s="12" t="str">
        <f t="array" ref="S151">IF(B151=0,"...",(N151/IF(E151="ABIERTA",CCL!$E$2,VLOOKUP(F151,{CCL!M:N;CCL!$P:$Q},2,FALSE))/(J151/VLOOKUP(D151,{CCL!M:N;CCL!$P:$Q},2,FALSE))-1))</f>
        <v>...</v>
      </c>
      <c r="T151" s="47" t="str">
        <f>IF(B151=0,"...",N151/VLOOKUP(IF(E151="ABIERTA",TODAY(),F151),CCL!$A$12:$B$773,2,FALSE)-J151/VLOOKUP(D151,CCL!$A$12:$B235,2,FALSE))</f>
        <v>...</v>
      </c>
      <c r="U151" s="2"/>
      <c r="V151" s="10"/>
      <c r="W151" s="59" t="str">
        <f t="shared" si="16"/>
        <v>...</v>
      </c>
      <c r="X151" s="12" t="str">
        <f t="shared" si="17"/>
        <v/>
      </c>
      <c r="Y151" s="45" t="str">
        <f t="shared" si="18"/>
        <v>...</v>
      </c>
      <c r="Z151" s="45" t="str">
        <f t="shared" si="19"/>
        <v>...</v>
      </c>
      <c r="AA151" s="12" t="str">
        <f t="shared" si="20"/>
        <v>...</v>
      </c>
      <c r="AB151" s="45" t="str">
        <f t="shared" si="21"/>
        <v>...</v>
      </c>
      <c r="AC151" s="45" t="str">
        <f t="shared" si="22"/>
        <v>...</v>
      </c>
      <c r="AD151" s="12" t="str">
        <f t="shared" si="23"/>
        <v>...</v>
      </c>
      <c r="AE151" s="46" t="str">
        <f t="shared" si="24"/>
        <v>...</v>
      </c>
      <c r="AF151" s="2"/>
      <c r="AG151" s="2"/>
      <c r="AH151" s="2"/>
      <c r="AI151" s="2"/>
      <c r="AJ151" s="2"/>
      <c r="AK151" s="2"/>
    </row>
    <row r="152" ht="24.0" customHeight="1">
      <c r="A152" s="4"/>
      <c r="B152" s="30"/>
      <c r="C152" s="5" t="str">
        <f>IFERROR(__xludf.DUMMYFUNCTION("if(B152=0,""..."", sparkline(query(GOOGLEFINANCE(""BCBA:""&amp;B152,""price"",today()-$AI$36,today()),""select Col2"",0),{""charttype"",$AI$35}))"),"...")</f>
        <v>...</v>
      </c>
      <c r="D152" s="17"/>
      <c r="E152" s="31"/>
      <c r="F152" s="7"/>
      <c r="G152" s="8" t="str">
        <f t="shared" si="1"/>
        <v>...</v>
      </c>
      <c r="H152" s="31"/>
      <c r="I152" s="52"/>
      <c r="J152" s="45" t="str">
        <f t="shared" si="2"/>
        <v>...</v>
      </c>
      <c r="K152" s="47" t="str">
        <f t="array" ref="K152">IF(B152=0,"...",J152/VLOOKUP(D152,{CCL!M:N;CCL!$P:$Q},2,FALSE))</f>
        <v>...</v>
      </c>
      <c r="L152" s="45" t="str">
        <f>IFERROR(__xludf.DUMMYFUNCTION("if(B152=0,""..."",if(E152=""CERRADA"",""Valor Venta"", GOOGLEFINANCE(""BCBA:""&amp;B152)))"),"...")</f>
        <v>...</v>
      </c>
      <c r="M152" s="45" t="str">
        <f>if(B152=0,"...",L152*(1-VLOOKUP(A152,Config!$B$3:$C$22,2,FALSE)))</f>
        <v>...</v>
      </c>
      <c r="N152" s="45" t="str">
        <f t="shared" si="3"/>
        <v>...</v>
      </c>
      <c r="O152" s="12" t="str">
        <f>IFERROR(__xludf.DUMMYFUNCTION("if(B152=0,""..."",GOOGLEFINANCE(B152,""changepct"")/100)"),"...")</f>
        <v>...</v>
      </c>
      <c r="P152" s="10" t="str">
        <f>IFERROR(__xludf.DUMMYFUNCTION("if(B152=0,""..."",GOOGLEFINANCE(B152,""change"")*H152)"),"...")</f>
        <v>...</v>
      </c>
      <c r="Q152" s="12" t="str">
        <f t="shared" si="4"/>
        <v>...</v>
      </c>
      <c r="R152" s="47" t="str">
        <f t="shared" si="5"/>
        <v>...</v>
      </c>
      <c r="S152" s="12" t="str">
        <f t="array" ref="S152">IF(B152=0,"...",(N152/IF(E152="ABIERTA",CCL!$E$2,VLOOKUP(F152,{CCL!M:N;CCL!$P:$Q},2,FALSE))/(J152/VLOOKUP(D152,{CCL!M:N;CCL!$P:$Q},2,FALSE))-1))</f>
        <v>...</v>
      </c>
      <c r="T152" s="47" t="str">
        <f>IF(B152=0,"...",N152/VLOOKUP(IF(E152="ABIERTA",TODAY(),F152),CCL!$A$12:$B$773,2,FALSE)-J152/VLOOKUP(D152,CCL!$A$12:$B235,2,FALSE))</f>
        <v>...</v>
      </c>
      <c r="U152" s="2"/>
      <c r="V152" s="10"/>
      <c r="W152" s="59" t="str">
        <f t="shared" si="16"/>
        <v>...</v>
      </c>
      <c r="X152" s="12" t="str">
        <f t="shared" si="17"/>
        <v/>
      </c>
      <c r="Y152" s="45" t="str">
        <f t="shared" si="18"/>
        <v>...</v>
      </c>
      <c r="Z152" s="45" t="str">
        <f t="shared" si="19"/>
        <v>...</v>
      </c>
      <c r="AA152" s="12" t="str">
        <f t="shared" si="20"/>
        <v>...</v>
      </c>
      <c r="AB152" s="45" t="str">
        <f t="shared" si="21"/>
        <v>...</v>
      </c>
      <c r="AC152" s="45" t="str">
        <f t="shared" si="22"/>
        <v>...</v>
      </c>
      <c r="AD152" s="12" t="str">
        <f t="shared" si="23"/>
        <v>...</v>
      </c>
      <c r="AE152" s="46" t="str">
        <f t="shared" si="24"/>
        <v>...</v>
      </c>
      <c r="AF152" s="2"/>
      <c r="AG152" s="2"/>
      <c r="AH152" s="2"/>
      <c r="AI152" s="2"/>
      <c r="AJ152" s="2"/>
      <c r="AK152" s="2"/>
    </row>
    <row r="153" ht="24.0" customHeight="1">
      <c r="A153" s="4"/>
      <c r="B153" s="30"/>
      <c r="C153" s="5" t="str">
        <f>IFERROR(__xludf.DUMMYFUNCTION("if(B153=0,""..."", sparkline(query(GOOGLEFINANCE(""BCBA:""&amp;B153,""price"",today()-$AI$36,today()),""select Col2"",0),{""charttype"",$AI$35}))"),"...")</f>
        <v>...</v>
      </c>
      <c r="D153" s="17"/>
      <c r="E153" s="31"/>
      <c r="F153" s="7"/>
      <c r="G153" s="8" t="str">
        <f t="shared" si="1"/>
        <v>...</v>
      </c>
      <c r="H153" s="31"/>
      <c r="I153" s="52"/>
      <c r="J153" s="45" t="str">
        <f t="shared" si="2"/>
        <v>...</v>
      </c>
      <c r="K153" s="47" t="str">
        <f t="array" ref="K153">IF(B153=0,"...",J153/VLOOKUP(D153,{CCL!M:N;CCL!$P:$Q},2,FALSE))</f>
        <v>...</v>
      </c>
      <c r="L153" s="45" t="str">
        <f>IFERROR(__xludf.DUMMYFUNCTION("if(B153=0,""..."",if(E153=""CERRADA"",""Valor Venta"", GOOGLEFINANCE(""BCBA:""&amp;B153)))"),"...")</f>
        <v>...</v>
      </c>
      <c r="M153" s="45" t="str">
        <f>if(B153=0,"...",L153*(1-VLOOKUP(A153,Config!$B$3:$C$22,2,FALSE)))</f>
        <v>...</v>
      </c>
      <c r="N153" s="45" t="str">
        <f t="shared" si="3"/>
        <v>...</v>
      </c>
      <c r="O153" s="12" t="str">
        <f>IFERROR(__xludf.DUMMYFUNCTION("if(B153=0,""..."",GOOGLEFINANCE(B153,""changepct"")/100)"),"...")</f>
        <v>...</v>
      </c>
      <c r="P153" s="10" t="str">
        <f>IFERROR(__xludf.DUMMYFUNCTION("if(B153=0,""..."",GOOGLEFINANCE(B153,""change"")*H153)"),"...")</f>
        <v>...</v>
      </c>
      <c r="Q153" s="12" t="str">
        <f t="shared" si="4"/>
        <v>...</v>
      </c>
      <c r="R153" s="47" t="str">
        <f t="shared" si="5"/>
        <v>...</v>
      </c>
      <c r="S153" s="12" t="str">
        <f t="array" ref="S153">IF(B153=0,"...",(N153/IF(E153="ABIERTA",CCL!$E$2,VLOOKUP(F153,{CCL!M:N;CCL!$P:$Q},2,FALSE))/(J153/VLOOKUP(D153,{CCL!M:N;CCL!$P:$Q},2,FALSE))-1))</f>
        <v>...</v>
      </c>
      <c r="T153" s="47" t="str">
        <f>IF(B153=0,"...",N153/VLOOKUP(IF(E153="ABIERTA",TODAY(),F153),CCL!$A$12:$B$773,2,FALSE)-J153/VLOOKUP(D153,CCL!$A$12:$B235,2,FALSE))</f>
        <v>...</v>
      </c>
      <c r="U153" s="2"/>
      <c r="V153" s="10"/>
      <c r="W153" s="59" t="str">
        <f t="shared" si="16"/>
        <v>...</v>
      </c>
      <c r="X153" s="12" t="str">
        <f t="shared" si="17"/>
        <v/>
      </c>
      <c r="Y153" s="45" t="str">
        <f t="shared" si="18"/>
        <v>...</v>
      </c>
      <c r="Z153" s="45" t="str">
        <f t="shared" si="19"/>
        <v>...</v>
      </c>
      <c r="AA153" s="12" t="str">
        <f t="shared" si="20"/>
        <v>...</v>
      </c>
      <c r="AB153" s="45" t="str">
        <f t="shared" si="21"/>
        <v>...</v>
      </c>
      <c r="AC153" s="45" t="str">
        <f t="shared" si="22"/>
        <v>...</v>
      </c>
      <c r="AD153" s="12" t="str">
        <f t="shared" si="23"/>
        <v>...</v>
      </c>
      <c r="AE153" s="46" t="str">
        <f t="shared" si="24"/>
        <v>...</v>
      </c>
      <c r="AF153" s="2"/>
      <c r="AG153" s="2"/>
      <c r="AH153" s="2"/>
      <c r="AI153" s="2"/>
      <c r="AJ153" s="2"/>
      <c r="AK153" s="2"/>
    </row>
    <row r="154" ht="24.0" customHeight="1">
      <c r="A154" s="4"/>
      <c r="B154" s="30"/>
      <c r="C154" s="5" t="str">
        <f>IFERROR(__xludf.DUMMYFUNCTION("if(B154=0,""..."", sparkline(query(GOOGLEFINANCE(""BCBA:""&amp;B154,""price"",today()-$AI$36,today()),""select Col2"",0),{""charttype"",$AI$35}))"),"...")</f>
        <v>...</v>
      </c>
      <c r="D154" s="17"/>
      <c r="E154" s="31"/>
      <c r="F154" s="7"/>
      <c r="G154" s="8" t="str">
        <f t="shared" si="1"/>
        <v>...</v>
      </c>
      <c r="H154" s="31"/>
      <c r="I154" s="52"/>
      <c r="J154" s="45" t="str">
        <f t="shared" si="2"/>
        <v>...</v>
      </c>
      <c r="K154" s="47" t="str">
        <f t="array" ref="K154">IF(B154=0,"...",J154/VLOOKUP(D154,{CCL!M:N;CCL!$P:$Q},2,FALSE))</f>
        <v>...</v>
      </c>
      <c r="L154" s="45" t="str">
        <f>IFERROR(__xludf.DUMMYFUNCTION("if(B154=0,""..."",if(E154=""CERRADA"",""Valor Venta"", GOOGLEFINANCE(""BCBA:""&amp;B154)))"),"...")</f>
        <v>...</v>
      </c>
      <c r="M154" s="45" t="str">
        <f>if(B154=0,"...",L154*(1-VLOOKUP(A154,Config!$B$3:$C$22,2,FALSE)))</f>
        <v>...</v>
      </c>
      <c r="N154" s="45" t="str">
        <f t="shared" si="3"/>
        <v>...</v>
      </c>
      <c r="O154" s="12" t="str">
        <f>IFERROR(__xludf.DUMMYFUNCTION("if(B154=0,""..."",GOOGLEFINANCE(B154,""changepct"")/100)"),"...")</f>
        <v>...</v>
      </c>
      <c r="P154" s="10" t="str">
        <f>IFERROR(__xludf.DUMMYFUNCTION("if(B154=0,""..."",GOOGLEFINANCE(B154,""change"")*H154)"),"...")</f>
        <v>...</v>
      </c>
      <c r="Q154" s="12" t="str">
        <f t="shared" si="4"/>
        <v>...</v>
      </c>
      <c r="R154" s="47" t="str">
        <f t="shared" si="5"/>
        <v>...</v>
      </c>
      <c r="S154" s="12" t="str">
        <f t="array" ref="S154">IF(B154=0,"...",(N154/IF(E154="ABIERTA",CCL!$E$2,VLOOKUP(F154,{CCL!M:N;CCL!$P:$Q},2,FALSE))/(J154/VLOOKUP(D154,{CCL!M:N;CCL!$P:$Q},2,FALSE))-1))</f>
        <v>...</v>
      </c>
      <c r="T154" s="47" t="str">
        <f>IF(B154=0,"...",N154/VLOOKUP(IF(E154="ABIERTA",TODAY(),F154),CCL!$A$12:$B$773,2,FALSE)-J154/VLOOKUP(D154,CCL!$A$12:$B235,2,FALSE))</f>
        <v>...</v>
      </c>
      <c r="U154" s="2"/>
      <c r="V154" s="10"/>
      <c r="W154" s="59" t="str">
        <f t="shared" si="16"/>
        <v>...</v>
      </c>
      <c r="X154" s="12" t="str">
        <f t="shared" si="17"/>
        <v/>
      </c>
      <c r="Y154" s="45" t="str">
        <f t="shared" si="18"/>
        <v>...</v>
      </c>
      <c r="Z154" s="45" t="str">
        <f t="shared" si="19"/>
        <v>...</v>
      </c>
      <c r="AA154" s="12" t="str">
        <f t="shared" si="20"/>
        <v>...</v>
      </c>
      <c r="AB154" s="45" t="str">
        <f t="shared" si="21"/>
        <v>...</v>
      </c>
      <c r="AC154" s="45" t="str">
        <f t="shared" si="22"/>
        <v>...</v>
      </c>
      <c r="AD154" s="12" t="str">
        <f t="shared" si="23"/>
        <v>...</v>
      </c>
      <c r="AE154" s="46" t="str">
        <f t="shared" si="24"/>
        <v>...</v>
      </c>
      <c r="AF154" s="2"/>
      <c r="AG154" s="2"/>
      <c r="AH154" s="2"/>
      <c r="AI154" s="2"/>
      <c r="AJ154" s="2"/>
      <c r="AK154" s="2"/>
    </row>
    <row r="155" ht="24.0" customHeight="1">
      <c r="A155" s="4"/>
      <c r="B155" s="30"/>
      <c r="C155" s="5" t="str">
        <f>IFERROR(__xludf.DUMMYFUNCTION("if(B155=0,""..."", sparkline(query(GOOGLEFINANCE(""BCBA:""&amp;B155,""price"",today()-$AI$36,today()),""select Col2"",0),{""charttype"",$AI$35}))"),"...")</f>
        <v>...</v>
      </c>
      <c r="D155" s="17"/>
      <c r="E155" s="31"/>
      <c r="F155" s="7"/>
      <c r="G155" s="8" t="str">
        <f t="shared" si="1"/>
        <v>...</v>
      </c>
      <c r="H155" s="31"/>
      <c r="I155" s="52"/>
      <c r="J155" s="45" t="str">
        <f t="shared" si="2"/>
        <v>...</v>
      </c>
      <c r="K155" s="47" t="str">
        <f t="array" ref="K155">IF(B155=0,"...",J155/VLOOKUP(D155,{CCL!M:N;CCL!$P:$Q},2,FALSE))</f>
        <v>...</v>
      </c>
      <c r="L155" s="45" t="str">
        <f>IFERROR(__xludf.DUMMYFUNCTION("if(B155=0,""..."",if(E155=""CERRADA"",""Valor Venta"", GOOGLEFINANCE(""BCBA:""&amp;B155)))"),"...")</f>
        <v>...</v>
      </c>
      <c r="M155" s="45" t="str">
        <f>if(B155=0,"...",L155*(1-VLOOKUP(A155,Config!$B$3:$C$22,2,FALSE)))</f>
        <v>...</v>
      </c>
      <c r="N155" s="45" t="str">
        <f t="shared" si="3"/>
        <v>...</v>
      </c>
      <c r="O155" s="12" t="str">
        <f>IFERROR(__xludf.DUMMYFUNCTION("if(B155=0,""..."",GOOGLEFINANCE(B155,""changepct"")/100)"),"...")</f>
        <v>...</v>
      </c>
      <c r="P155" s="10" t="str">
        <f>IFERROR(__xludf.DUMMYFUNCTION("if(B155=0,""..."",GOOGLEFINANCE(B155,""change"")*H155)"),"...")</f>
        <v>...</v>
      </c>
      <c r="Q155" s="12" t="str">
        <f t="shared" si="4"/>
        <v>...</v>
      </c>
      <c r="R155" s="47" t="str">
        <f t="shared" si="5"/>
        <v>...</v>
      </c>
      <c r="S155" s="12" t="str">
        <f t="array" ref="S155">IF(B155=0,"...",(N155/IF(E155="ABIERTA",CCL!$E$2,VLOOKUP(F155,{CCL!M:N;CCL!$P:$Q},2,FALSE))/(J155/VLOOKUP(D155,{CCL!M:N;CCL!$P:$Q},2,FALSE))-1))</f>
        <v>...</v>
      </c>
      <c r="T155" s="47" t="str">
        <f>IF(B155=0,"...",N155/VLOOKUP(IF(E155="ABIERTA",TODAY(),F155),CCL!$A$12:$B$773,2,FALSE)-J155/VLOOKUP(D155,CCL!$A$12:$B235,2,FALSE))</f>
        <v>...</v>
      </c>
      <c r="U155" s="2"/>
      <c r="V155" s="10"/>
      <c r="W155" s="59" t="str">
        <f t="shared" si="16"/>
        <v>...</v>
      </c>
      <c r="X155" s="12" t="str">
        <f t="shared" si="17"/>
        <v/>
      </c>
      <c r="Y155" s="45" t="str">
        <f t="shared" si="18"/>
        <v>...</v>
      </c>
      <c r="Z155" s="45" t="str">
        <f t="shared" si="19"/>
        <v>...</v>
      </c>
      <c r="AA155" s="12" t="str">
        <f t="shared" si="20"/>
        <v>...</v>
      </c>
      <c r="AB155" s="45" t="str">
        <f t="shared" si="21"/>
        <v>...</v>
      </c>
      <c r="AC155" s="45" t="str">
        <f t="shared" si="22"/>
        <v>...</v>
      </c>
      <c r="AD155" s="12" t="str">
        <f t="shared" si="23"/>
        <v>...</v>
      </c>
      <c r="AE155" s="46" t="str">
        <f t="shared" si="24"/>
        <v>...</v>
      </c>
      <c r="AF155" s="2"/>
      <c r="AG155" s="2"/>
      <c r="AH155" s="2"/>
      <c r="AI155" s="2"/>
      <c r="AJ155" s="2"/>
      <c r="AK155" s="2"/>
    </row>
    <row r="156" ht="24.0" customHeight="1">
      <c r="A156" s="4"/>
      <c r="B156" s="30"/>
      <c r="C156" s="5" t="str">
        <f>IFERROR(__xludf.DUMMYFUNCTION("if(B156=0,""..."", sparkline(query(GOOGLEFINANCE(""BCBA:""&amp;B156,""price"",today()-$AI$36,today()),""select Col2"",0),{""charttype"",$AI$35}))"),"...")</f>
        <v>...</v>
      </c>
      <c r="D156" s="17"/>
      <c r="E156" s="31"/>
      <c r="F156" s="7"/>
      <c r="G156" s="8" t="str">
        <f t="shared" si="1"/>
        <v>...</v>
      </c>
      <c r="H156" s="31"/>
      <c r="I156" s="52"/>
      <c r="J156" s="45" t="str">
        <f t="shared" si="2"/>
        <v>...</v>
      </c>
      <c r="K156" s="47" t="str">
        <f t="array" ref="K156">IF(B156=0,"...",J156/VLOOKUP(D156,{CCL!M:N;CCL!$P:$Q},2,FALSE))</f>
        <v>...</v>
      </c>
      <c r="L156" s="45" t="str">
        <f>IFERROR(__xludf.DUMMYFUNCTION("if(B156=0,""..."",if(E156=""CERRADA"",""Valor Venta"", GOOGLEFINANCE(""BCBA:""&amp;B156)))"),"...")</f>
        <v>...</v>
      </c>
      <c r="M156" s="45" t="str">
        <f>if(B156=0,"...",L156*(1-VLOOKUP(A156,Config!$B$3:$C$22,2,FALSE)))</f>
        <v>...</v>
      </c>
      <c r="N156" s="45" t="str">
        <f t="shared" si="3"/>
        <v>...</v>
      </c>
      <c r="O156" s="12" t="str">
        <f>IFERROR(__xludf.DUMMYFUNCTION("if(B156=0,""..."",GOOGLEFINANCE(B156,""changepct"")/100)"),"...")</f>
        <v>...</v>
      </c>
      <c r="P156" s="10" t="str">
        <f>IFERROR(__xludf.DUMMYFUNCTION("if(B156=0,""..."",GOOGLEFINANCE(B156,""change"")*H156)"),"...")</f>
        <v>...</v>
      </c>
      <c r="Q156" s="12" t="str">
        <f t="shared" si="4"/>
        <v>...</v>
      </c>
      <c r="R156" s="47" t="str">
        <f t="shared" si="5"/>
        <v>...</v>
      </c>
      <c r="S156" s="12" t="str">
        <f t="array" ref="S156">IF(B156=0,"...",(N156/IF(E156="ABIERTA",CCL!$E$2,VLOOKUP(F156,{CCL!M:N;CCL!$P:$Q},2,FALSE))/(J156/VLOOKUP(D156,{CCL!M:N;CCL!$P:$Q},2,FALSE))-1))</f>
        <v>...</v>
      </c>
      <c r="T156" s="47" t="str">
        <f>IF(B156=0,"...",N156/VLOOKUP(IF(E156="ABIERTA",TODAY(),F156),CCL!$A$12:$B$773,2,FALSE)-J156/VLOOKUP(D156,CCL!$A$12:$B235,2,FALSE))</f>
        <v>...</v>
      </c>
      <c r="U156" s="2"/>
      <c r="V156" s="10"/>
      <c r="W156" s="59" t="str">
        <f t="shared" si="16"/>
        <v>...</v>
      </c>
      <c r="X156" s="12" t="str">
        <f t="shared" si="17"/>
        <v/>
      </c>
      <c r="Y156" s="45" t="str">
        <f t="shared" si="18"/>
        <v>...</v>
      </c>
      <c r="Z156" s="45" t="str">
        <f t="shared" si="19"/>
        <v>...</v>
      </c>
      <c r="AA156" s="12" t="str">
        <f t="shared" si="20"/>
        <v>...</v>
      </c>
      <c r="AB156" s="45" t="str">
        <f t="shared" si="21"/>
        <v>...</v>
      </c>
      <c r="AC156" s="45" t="str">
        <f t="shared" si="22"/>
        <v>...</v>
      </c>
      <c r="AD156" s="12" t="str">
        <f t="shared" si="23"/>
        <v>...</v>
      </c>
      <c r="AE156" s="46" t="str">
        <f t="shared" si="24"/>
        <v>...</v>
      </c>
      <c r="AF156" s="2"/>
      <c r="AG156" s="2"/>
      <c r="AH156" s="2"/>
      <c r="AI156" s="2"/>
      <c r="AJ156" s="2"/>
      <c r="AK156" s="2"/>
    </row>
    <row r="157" ht="24.0" customHeight="1">
      <c r="A157" s="4"/>
      <c r="B157" s="30"/>
      <c r="C157" s="5" t="str">
        <f>IFERROR(__xludf.DUMMYFUNCTION("if(B157=0,""..."", sparkline(query(GOOGLEFINANCE(""BCBA:""&amp;B157,""price"",today()-$AI$36,today()),""select Col2"",0),{""charttype"",$AI$35}))"),"...")</f>
        <v>...</v>
      </c>
      <c r="D157" s="17"/>
      <c r="E157" s="31"/>
      <c r="F157" s="7"/>
      <c r="G157" s="8" t="str">
        <f t="shared" si="1"/>
        <v>...</v>
      </c>
      <c r="H157" s="31"/>
      <c r="I157" s="52"/>
      <c r="J157" s="45" t="str">
        <f t="shared" si="2"/>
        <v>...</v>
      </c>
      <c r="K157" s="47" t="str">
        <f t="array" ref="K157">IF(B157=0,"...",J157/VLOOKUP(D157,{CCL!M:N;CCL!$P:$Q},2,FALSE))</f>
        <v>...</v>
      </c>
      <c r="L157" s="45" t="str">
        <f>IFERROR(__xludf.DUMMYFUNCTION("if(B157=0,""..."",if(E157=""CERRADA"",""Valor Venta"", GOOGLEFINANCE(""BCBA:""&amp;B157)))"),"...")</f>
        <v>...</v>
      </c>
      <c r="M157" s="45" t="str">
        <f>if(B157=0,"...",L157*(1-VLOOKUP(A157,Config!$B$3:$C$22,2,FALSE)))</f>
        <v>...</v>
      </c>
      <c r="N157" s="45" t="str">
        <f t="shared" si="3"/>
        <v>...</v>
      </c>
      <c r="O157" s="12" t="str">
        <f>IFERROR(__xludf.DUMMYFUNCTION("if(B157=0,""..."",GOOGLEFINANCE(B157,""changepct"")/100)"),"...")</f>
        <v>...</v>
      </c>
      <c r="P157" s="10" t="str">
        <f>IFERROR(__xludf.DUMMYFUNCTION("if(B157=0,""..."",GOOGLEFINANCE(B157,""change"")*H157)"),"...")</f>
        <v>...</v>
      </c>
      <c r="Q157" s="12" t="str">
        <f t="shared" si="4"/>
        <v>...</v>
      </c>
      <c r="R157" s="47" t="str">
        <f t="shared" si="5"/>
        <v>...</v>
      </c>
      <c r="S157" s="12" t="str">
        <f t="array" ref="S157">IF(B157=0,"...",(N157/IF(E157="ABIERTA",CCL!$E$2,VLOOKUP(F157,{CCL!M:N;CCL!$P:$Q},2,FALSE))/(J157/VLOOKUP(D157,{CCL!M:N;CCL!$P:$Q},2,FALSE))-1))</f>
        <v>...</v>
      </c>
      <c r="T157" s="47" t="str">
        <f>IF(B157=0,"...",N157/VLOOKUP(IF(E157="ABIERTA",TODAY(),F157),CCL!$A$12:$B$773,2,FALSE)-J157/VLOOKUP(D157,CCL!$A$12:$B235,2,FALSE))</f>
        <v>...</v>
      </c>
      <c r="U157" s="2"/>
      <c r="V157" s="10"/>
      <c r="W157" s="59" t="str">
        <f t="shared" si="16"/>
        <v>...</v>
      </c>
      <c r="X157" s="12" t="str">
        <f t="shared" si="17"/>
        <v/>
      </c>
      <c r="Y157" s="45" t="str">
        <f t="shared" si="18"/>
        <v>...</v>
      </c>
      <c r="Z157" s="45" t="str">
        <f t="shared" si="19"/>
        <v>...</v>
      </c>
      <c r="AA157" s="12" t="str">
        <f t="shared" si="20"/>
        <v>...</v>
      </c>
      <c r="AB157" s="45" t="str">
        <f t="shared" si="21"/>
        <v>...</v>
      </c>
      <c r="AC157" s="45" t="str">
        <f t="shared" si="22"/>
        <v>...</v>
      </c>
      <c r="AD157" s="12" t="str">
        <f t="shared" si="23"/>
        <v>...</v>
      </c>
      <c r="AE157" s="46" t="str">
        <f t="shared" si="24"/>
        <v>...</v>
      </c>
      <c r="AF157" s="2"/>
      <c r="AG157" s="2"/>
      <c r="AH157" s="2"/>
      <c r="AI157" s="2"/>
      <c r="AJ157" s="2"/>
      <c r="AK157" s="2"/>
    </row>
    <row r="158" ht="24.0" customHeight="1">
      <c r="A158" s="4"/>
      <c r="B158" s="30"/>
      <c r="C158" s="5" t="str">
        <f>IFERROR(__xludf.DUMMYFUNCTION("if(B158=0,""..."", sparkline(query(GOOGLEFINANCE(""BCBA:""&amp;B158,""price"",today()-$AI$36,today()),""select Col2"",0),{""charttype"",$AI$35}))"),"...")</f>
        <v>...</v>
      </c>
      <c r="D158" s="17"/>
      <c r="E158" s="31"/>
      <c r="F158" s="7"/>
      <c r="G158" s="8" t="str">
        <f t="shared" si="1"/>
        <v>...</v>
      </c>
      <c r="H158" s="31"/>
      <c r="I158" s="52"/>
      <c r="J158" s="45" t="str">
        <f t="shared" si="2"/>
        <v>...</v>
      </c>
      <c r="K158" s="47" t="str">
        <f t="array" ref="K158">IF(B158=0,"...",J158/VLOOKUP(D158,{CCL!M:N;CCL!$P:$Q},2,FALSE))</f>
        <v>...</v>
      </c>
      <c r="L158" s="45" t="str">
        <f>IFERROR(__xludf.DUMMYFUNCTION("if(B158=0,""..."",if(E158=""CERRADA"",""Valor Venta"", GOOGLEFINANCE(""BCBA:""&amp;B158)))"),"...")</f>
        <v>...</v>
      </c>
      <c r="M158" s="45" t="str">
        <f>if(B158=0,"...",L158*(1-VLOOKUP(A158,Config!$B$3:$C$22,2,FALSE)))</f>
        <v>...</v>
      </c>
      <c r="N158" s="45" t="str">
        <f t="shared" si="3"/>
        <v>...</v>
      </c>
      <c r="O158" s="12" t="str">
        <f>IFERROR(__xludf.DUMMYFUNCTION("if(B158=0,""..."",GOOGLEFINANCE(B158,""changepct"")/100)"),"...")</f>
        <v>...</v>
      </c>
      <c r="P158" s="10" t="str">
        <f>IFERROR(__xludf.DUMMYFUNCTION("if(B158=0,""..."",GOOGLEFINANCE(B158,""change"")*H158)"),"...")</f>
        <v>...</v>
      </c>
      <c r="Q158" s="12" t="str">
        <f t="shared" si="4"/>
        <v>...</v>
      </c>
      <c r="R158" s="47" t="str">
        <f t="shared" si="5"/>
        <v>...</v>
      </c>
      <c r="S158" s="12" t="str">
        <f t="array" ref="S158">IF(B158=0,"...",(N158/IF(E158="ABIERTA",CCL!$E$2,VLOOKUP(F158,{CCL!M:N;CCL!$P:$Q},2,FALSE))/(J158/VLOOKUP(D158,{CCL!M:N;CCL!$P:$Q},2,FALSE))-1))</f>
        <v>...</v>
      </c>
      <c r="T158" s="47" t="str">
        <f>IF(B158=0,"...",N158/VLOOKUP(IF(E158="ABIERTA",TODAY(),F158),CCL!$A$12:$B$773,2,FALSE)-J158/VLOOKUP(D158,CCL!$A$12:$B235,2,FALSE))</f>
        <v>...</v>
      </c>
      <c r="U158" s="2"/>
      <c r="V158" s="10"/>
      <c r="W158" s="59" t="str">
        <f t="shared" si="16"/>
        <v>...</v>
      </c>
      <c r="X158" s="12" t="str">
        <f t="shared" si="17"/>
        <v/>
      </c>
      <c r="Y158" s="45" t="str">
        <f t="shared" si="18"/>
        <v>...</v>
      </c>
      <c r="Z158" s="45" t="str">
        <f t="shared" si="19"/>
        <v>...</v>
      </c>
      <c r="AA158" s="12" t="str">
        <f t="shared" si="20"/>
        <v>...</v>
      </c>
      <c r="AB158" s="45" t="str">
        <f t="shared" si="21"/>
        <v>...</v>
      </c>
      <c r="AC158" s="45" t="str">
        <f t="shared" si="22"/>
        <v>...</v>
      </c>
      <c r="AD158" s="12" t="str">
        <f t="shared" si="23"/>
        <v>...</v>
      </c>
      <c r="AE158" s="46" t="str">
        <f t="shared" si="24"/>
        <v>...</v>
      </c>
      <c r="AF158" s="2"/>
      <c r="AG158" s="2"/>
      <c r="AH158" s="2"/>
      <c r="AI158" s="2"/>
      <c r="AJ158" s="2"/>
      <c r="AK158" s="2"/>
    </row>
    <row r="159" ht="24.0" customHeight="1">
      <c r="A159" s="4"/>
      <c r="B159" s="30"/>
      <c r="C159" s="5" t="str">
        <f>IFERROR(__xludf.DUMMYFUNCTION("if(B159=0,""..."", sparkline(query(GOOGLEFINANCE(""BCBA:""&amp;B159,""price"",today()-$AI$36,today()),""select Col2"",0),{""charttype"",$AI$35}))"),"...")</f>
        <v>...</v>
      </c>
      <c r="D159" s="17"/>
      <c r="E159" s="31"/>
      <c r="F159" s="7"/>
      <c r="G159" s="8" t="str">
        <f t="shared" si="1"/>
        <v>...</v>
      </c>
      <c r="H159" s="31"/>
      <c r="I159" s="52"/>
      <c r="J159" s="45" t="str">
        <f t="shared" si="2"/>
        <v>...</v>
      </c>
      <c r="K159" s="47" t="str">
        <f t="array" ref="K159">IF(B159=0,"...",J159/VLOOKUP(D159,{CCL!M:N;CCL!$P:$Q},2,FALSE))</f>
        <v>...</v>
      </c>
      <c r="L159" s="45" t="str">
        <f>IFERROR(__xludf.DUMMYFUNCTION("if(B159=0,""..."",if(E159=""CERRADA"",""Valor Venta"", GOOGLEFINANCE(""BCBA:""&amp;B159)))"),"...")</f>
        <v>...</v>
      </c>
      <c r="M159" s="45" t="str">
        <f>if(B159=0,"...",L159*(1-VLOOKUP(A159,Config!$B$3:$C$22,2,FALSE)))</f>
        <v>...</v>
      </c>
      <c r="N159" s="45" t="str">
        <f t="shared" si="3"/>
        <v>...</v>
      </c>
      <c r="O159" s="12" t="str">
        <f>IFERROR(__xludf.DUMMYFUNCTION("if(B159=0,""..."",GOOGLEFINANCE(B159,""changepct"")/100)"),"...")</f>
        <v>...</v>
      </c>
      <c r="P159" s="10" t="str">
        <f>IFERROR(__xludf.DUMMYFUNCTION("if(B159=0,""..."",GOOGLEFINANCE(B159,""change"")*H159)"),"...")</f>
        <v>...</v>
      </c>
      <c r="Q159" s="12" t="str">
        <f t="shared" si="4"/>
        <v>...</v>
      </c>
      <c r="R159" s="47" t="str">
        <f t="shared" si="5"/>
        <v>...</v>
      </c>
      <c r="S159" s="12" t="str">
        <f t="array" ref="S159">IF(B159=0,"...",(N159/IF(E159="ABIERTA",CCL!$E$2,VLOOKUP(F159,{CCL!M:N;CCL!$P:$Q},2,FALSE))/(J159/VLOOKUP(D159,{CCL!M:N;CCL!$P:$Q},2,FALSE))-1))</f>
        <v>...</v>
      </c>
      <c r="T159" s="47" t="str">
        <f>IF(B159=0,"...",N159/VLOOKUP(IF(E159="ABIERTA",TODAY(),F159),CCL!$A$12:$B$773,2,FALSE)-J159/VLOOKUP(D159,CCL!$A$12:$B235,2,FALSE))</f>
        <v>...</v>
      </c>
      <c r="U159" s="2"/>
      <c r="V159" s="10"/>
      <c r="W159" s="59" t="str">
        <f t="shared" si="16"/>
        <v>...</v>
      </c>
      <c r="X159" s="12" t="str">
        <f t="shared" si="17"/>
        <v/>
      </c>
      <c r="Y159" s="45" t="str">
        <f t="shared" si="18"/>
        <v>...</v>
      </c>
      <c r="Z159" s="45" t="str">
        <f t="shared" si="19"/>
        <v>...</v>
      </c>
      <c r="AA159" s="12" t="str">
        <f t="shared" si="20"/>
        <v>...</v>
      </c>
      <c r="AB159" s="45" t="str">
        <f t="shared" si="21"/>
        <v>...</v>
      </c>
      <c r="AC159" s="45" t="str">
        <f t="shared" si="22"/>
        <v>...</v>
      </c>
      <c r="AD159" s="12" t="str">
        <f t="shared" si="23"/>
        <v>...</v>
      </c>
      <c r="AE159" s="46" t="str">
        <f t="shared" si="24"/>
        <v>...</v>
      </c>
      <c r="AF159" s="2"/>
      <c r="AG159" s="2"/>
      <c r="AH159" s="2"/>
      <c r="AI159" s="2"/>
      <c r="AJ159" s="2"/>
      <c r="AK159" s="2"/>
    </row>
    <row r="160" ht="24.0" customHeight="1">
      <c r="A160" s="4"/>
      <c r="B160" s="30"/>
      <c r="C160" s="5" t="str">
        <f>IFERROR(__xludf.DUMMYFUNCTION("if(B160=0,""..."", sparkline(query(GOOGLEFINANCE(""BCBA:""&amp;B160,""price"",today()-$AI$36,today()),""select Col2"",0),{""charttype"",$AI$35}))"),"...")</f>
        <v>...</v>
      </c>
      <c r="D160" s="17"/>
      <c r="E160" s="31"/>
      <c r="F160" s="7"/>
      <c r="G160" s="8" t="str">
        <f t="shared" si="1"/>
        <v>...</v>
      </c>
      <c r="H160" s="31"/>
      <c r="I160" s="52"/>
      <c r="J160" s="45" t="str">
        <f t="shared" si="2"/>
        <v>...</v>
      </c>
      <c r="K160" s="47" t="str">
        <f t="array" ref="K160">IF(B160=0,"...",J160/VLOOKUP(D160,{CCL!M:N;CCL!$P:$Q},2,FALSE))</f>
        <v>...</v>
      </c>
      <c r="L160" s="45" t="str">
        <f>IFERROR(__xludf.DUMMYFUNCTION("if(B160=0,""..."",if(E160=""CERRADA"",""Valor Venta"", GOOGLEFINANCE(""BCBA:""&amp;B160)))"),"...")</f>
        <v>...</v>
      </c>
      <c r="M160" s="45" t="str">
        <f>if(B160=0,"...",L160*(1-VLOOKUP(A160,Config!$B$3:$C$22,2,FALSE)))</f>
        <v>...</v>
      </c>
      <c r="N160" s="45" t="str">
        <f t="shared" si="3"/>
        <v>...</v>
      </c>
      <c r="O160" s="12" t="str">
        <f>IFERROR(__xludf.DUMMYFUNCTION("if(B160=0,""..."",GOOGLEFINANCE(B160,""changepct"")/100)"),"...")</f>
        <v>...</v>
      </c>
      <c r="P160" s="10" t="str">
        <f>IFERROR(__xludf.DUMMYFUNCTION("if(B160=0,""..."",GOOGLEFINANCE(B160,""change"")*H160)"),"...")</f>
        <v>...</v>
      </c>
      <c r="Q160" s="12" t="str">
        <f t="shared" si="4"/>
        <v>...</v>
      </c>
      <c r="R160" s="47" t="str">
        <f t="shared" si="5"/>
        <v>...</v>
      </c>
      <c r="S160" s="12" t="str">
        <f t="array" ref="S160">IF(B160=0,"...",(N160/IF(E160="ABIERTA",CCL!$E$2,VLOOKUP(F160,{CCL!M:N;CCL!$P:$Q},2,FALSE))/(J160/VLOOKUP(D160,{CCL!M:N;CCL!$P:$Q},2,FALSE))-1))</f>
        <v>...</v>
      </c>
      <c r="T160" s="47" t="str">
        <f>IF(B160=0,"...",N160/VLOOKUP(IF(E160="ABIERTA",TODAY(),F160),CCL!$A$12:$B$773,2,FALSE)-J160/VLOOKUP(D160,CCL!$A$12:$B235,2,FALSE))</f>
        <v>...</v>
      </c>
      <c r="U160" s="2"/>
      <c r="V160" s="10"/>
      <c r="W160" s="59" t="str">
        <f t="shared" si="16"/>
        <v>...</v>
      </c>
      <c r="X160" s="12" t="str">
        <f t="shared" si="17"/>
        <v/>
      </c>
      <c r="Y160" s="45" t="str">
        <f t="shared" si="18"/>
        <v>...</v>
      </c>
      <c r="Z160" s="45" t="str">
        <f t="shared" si="19"/>
        <v>...</v>
      </c>
      <c r="AA160" s="12" t="str">
        <f t="shared" si="20"/>
        <v>...</v>
      </c>
      <c r="AB160" s="45" t="str">
        <f t="shared" si="21"/>
        <v>...</v>
      </c>
      <c r="AC160" s="45" t="str">
        <f t="shared" si="22"/>
        <v>...</v>
      </c>
      <c r="AD160" s="12" t="str">
        <f t="shared" si="23"/>
        <v>...</v>
      </c>
      <c r="AE160" s="46" t="str">
        <f t="shared" si="24"/>
        <v>...</v>
      </c>
      <c r="AF160" s="2"/>
      <c r="AG160" s="2"/>
      <c r="AH160" s="2"/>
      <c r="AI160" s="2"/>
      <c r="AJ160" s="2"/>
      <c r="AK160" s="2"/>
    </row>
    <row r="161" ht="24.0" customHeight="1">
      <c r="A161" s="4"/>
      <c r="B161" s="30"/>
      <c r="C161" s="5" t="str">
        <f>IFERROR(__xludf.DUMMYFUNCTION("if(B161=0,""..."", sparkline(query(GOOGLEFINANCE(""BCBA:""&amp;B161,""price"",today()-$AI$36,today()),""select Col2"",0),{""charttype"",$AI$35}))"),"...")</f>
        <v>...</v>
      </c>
      <c r="D161" s="17"/>
      <c r="E161" s="31"/>
      <c r="F161" s="7"/>
      <c r="G161" s="8" t="str">
        <f t="shared" si="1"/>
        <v>...</v>
      </c>
      <c r="H161" s="31"/>
      <c r="I161" s="52"/>
      <c r="J161" s="45" t="str">
        <f t="shared" si="2"/>
        <v>...</v>
      </c>
      <c r="K161" s="47" t="str">
        <f t="array" ref="K161">IF(B161=0,"...",J161/VLOOKUP(D161,{CCL!M:N;CCL!$P:$Q},2,FALSE))</f>
        <v>...</v>
      </c>
      <c r="L161" s="45" t="str">
        <f>IFERROR(__xludf.DUMMYFUNCTION("if(B161=0,""..."",if(E161=""CERRADA"",""Valor Venta"", GOOGLEFINANCE(""BCBA:""&amp;B161)))"),"...")</f>
        <v>...</v>
      </c>
      <c r="M161" s="45" t="str">
        <f>if(B161=0,"...",L161*(1-VLOOKUP(A161,Config!$B$3:$C$22,2,FALSE)))</f>
        <v>...</v>
      </c>
      <c r="N161" s="45" t="str">
        <f t="shared" si="3"/>
        <v>...</v>
      </c>
      <c r="O161" s="12" t="str">
        <f>IFERROR(__xludf.DUMMYFUNCTION("if(B161=0,""..."",GOOGLEFINANCE(B161,""changepct"")/100)"),"...")</f>
        <v>...</v>
      </c>
      <c r="P161" s="10" t="str">
        <f>IFERROR(__xludf.DUMMYFUNCTION("if(B161=0,""..."",GOOGLEFINANCE(B161,""change"")*H161)"),"...")</f>
        <v>...</v>
      </c>
      <c r="Q161" s="12" t="str">
        <f t="shared" si="4"/>
        <v>...</v>
      </c>
      <c r="R161" s="47" t="str">
        <f t="shared" si="5"/>
        <v>...</v>
      </c>
      <c r="S161" s="12" t="str">
        <f t="array" ref="S161">IF(B161=0,"...",(N161/IF(E161="ABIERTA",CCL!$E$2,VLOOKUP(F161,{CCL!M:N;CCL!$P:$Q},2,FALSE))/(J161/VLOOKUP(D161,{CCL!M:N;CCL!$P:$Q},2,FALSE))-1))</f>
        <v>...</v>
      </c>
      <c r="T161" s="47" t="str">
        <f>IF(B161=0,"...",N161/VLOOKUP(IF(E161="ABIERTA",TODAY(),F161),CCL!$A$12:$B$773,2,FALSE)-J161/VLOOKUP(D161,CCL!$A$12:$B235,2,FALSE))</f>
        <v>...</v>
      </c>
      <c r="U161" s="2"/>
      <c r="V161" s="10"/>
      <c r="W161" s="59" t="str">
        <f t="shared" si="16"/>
        <v>...</v>
      </c>
      <c r="X161" s="12" t="str">
        <f t="shared" si="17"/>
        <v/>
      </c>
      <c r="Y161" s="45" t="str">
        <f t="shared" si="18"/>
        <v>...</v>
      </c>
      <c r="Z161" s="45" t="str">
        <f t="shared" si="19"/>
        <v>...</v>
      </c>
      <c r="AA161" s="12" t="str">
        <f t="shared" si="20"/>
        <v>...</v>
      </c>
      <c r="AB161" s="45" t="str">
        <f t="shared" si="21"/>
        <v>...</v>
      </c>
      <c r="AC161" s="45" t="str">
        <f t="shared" si="22"/>
        <v>...</v>
      </c>
      <c r="AD161" s="12" t="str">
        <f t="shared" si="23"/>
        <v>...</v>
      </c>
      <c r="AE161" s="46" t="str">
        <f t="shared" si="24"/>
        <v>...</v>
      </c>
      <c r="AF161" s="2"/>
      <c r="AG161" s="2"/>
      <c r="AH161" s="2"/>
      <c r="AI161" s="2"/>
      <c r="AJ161" s="2"/>
      <c r="AK161" s="2"/>
    </row>
    <row r="162" ht="24.0" customHeight="1">
      <c r="A162" s="4"/>
      <c r="B162" s="30"/>
      <c r="C162" s="5" t="str">
        <f>IFERROR(__xludf.DUMMYFUNCTION("if(B162=0,""..."", sparkline(query(GOOGLEFINANCE(""BCBA:""&amp;B162,""price"",today()-$AI$36,today()),""select Col2"",0),{""charttype"",$AI$35}))"),"...")</f>
        <v>...</v>
      </c>
      <c r="D162" s="17"/>
      <c r="E162" s="31"/>
      <c r="F162" s="7"/>
      <c r="G162" s="8" t="str">
        <f t="shared" si="1"/>
        <v>...</v>
      </c>
      <c r="H162" s="31"/>
      <c r="I162" s="52"/>
      <c r="J162" s="45" t="str">
        <f t="shared" si="2"/>
        <v>...</v>
      </c>
      <c r="K162" s="47" t="str">
        <f t="array" ref="K162">IF(B162=0,"...",J162/VLOOKUP(D162,{CCL!M:N;CCL!$P:$Q},2,FALSE))</f>
        <v>...</v>
      </c>
      <c r="L162" s="45" t="str">
        <f>IFERROR(__xludf.DUMMYFUNCTION("if(B162=0,""..."",if(E162=""CERRADA"",""Valor Venta"", GOOGLEFINANCE(""BCBA:""&amp;B162)))"),"...")</f>
        <v>...</v>
      </c>
      <c r="M162" s="45" t="str">
        <f>if(B162=0,"...",L162*(1-VLOOKUP(A162,Config!$B$3:$C$22,2,FALSE)))</f>
        <v>...</v>
      </c>
      <c r="N162" s="45" t="str">
        <f t="shared" si="3"/>
        <v>...</v>
      </c>
      <c r="O162" s="12" t="str">
        <f>IFERROR(__xludf.DUMMYFUNCTION("if(B162=0,""..."",GOOGLEFINANCE(B162,""changepct"")/100)"),"...")</f>
        <v>...</v>
      </c>
      <c r="P162" s="10" t="str">
        <f>IFERROR(__xludf.DUMMYFUNCTION("if(B162=0,""..."",GOOGLEFINANCE(B162,""change"")*H162)"),"...")</f>
        <v>...</v>
      </c>
      <c r="Q162" s="12" t="str">
        <f t="shared" si="4"/>
        <v>...</v>
      </c>
      <c r="R162" s="47" t="str">
        <f t="shared" si="5"/>
        <v>...</v>
      </c>
      <c r="S162" s="12" t="str">
        <f t="array" ref="S162">IF(B162=0,"...",(N162/IF(E162="ABIERTA",CCL!$E$2,VLOOKUP(F162,{CCL!M:N;CCL!$P:$Q},2,FALSE))/(J162/VLOOKUP(D162,{CCL!M:N;CCL!$P:$Q},2,FALSE))-1))</f>
        <v>...</v>
      </c>
      <c r="T162" s="47" t="str">
        <f>IF(B162=0,"...",N162/VLOOKUP(IF(E162="ABIERTA",TODAY(),F162),CCL!$A$12:$B$773,2,FALSE)-J162/VLOOKUP(D162,CCL!$A$12:$B235,2,FALSE))</f>
        <v>...</v>
      </c>
      <c r="U162" s="2"/>
      <c r="V162" s="10"/>
      <c r="W162" s="59" t="str">
        <f t="shared" si="16"/>
        <v>...</v>
      </c>
      <c r="X162" s="12" t="str">
        <f t="shared" si="17"/>
        <v/>
      </c>
      <c r="Y162" s="45" t="str">
        <f t="shared" si="18"/>
        <v>...</v>
      </c>
      <c r="Z162" s="45" t="str">
        <f t="shared" si="19"/>
        <v>...</v>
      </c>
      <c r="AA162" s="12" t="str">
        <f t="shared" si="20"/>
        <v>...</v>
      </c>
      <c r="AB162" s="45" t="str">
        <f t="shared" si="21"/>
        <v>...</v>
      </c>
      <c r="AC162" s="45" t="str">
        <f t="shared" si="22"/>
        <v>...</v>
      </c>
      <c r="AD162" s="12" t="str">
        <f t="shared" si="23"/>
        <v>...</v>
      </c>
      <c r="AE162" s="46" t="str">
        <f t="shared" si="24"/>
        <v>...</v>
      </c>
      <c r="AF162" s="2"/>
      <c r="AG162" s="2"/>
      <c r="AH162" s="2"/>
      <c r="AI162" s="2"/>
      <c r="AJ162" s="2"/>
      <c r="AK162" s="2"/>
    </row>
    <row r="163" ht="24.0" customHeight="1">
      <c r="A163" s="4"/>
      <c r="B163" s="30"/>
      <c r="C163" s="5" t="str">
        <f>IFERROR(__xludf.DUMMYFUNCTION("if(B163=0,""..."", sparkline(query(GOOGLEFINANCE(""BCBA:""&amp;B163,""price"",today()-$AI$36,today()),""select Col2"",0),{""charttype"",$AI$35}))"),"...")</f>
        <v>...</v>
      </c>
      <c r="D163" s="17"/>
      <c r="E163" s="31"/>
      <c r="F163" s="7"/>
      <c r="G163" s="8" t="str">
        <f t="shared" si="1"/>
        <v>...</v>
      </c>
      <c r="H163" s="31"/>
      <c r="I163" s="52"/>
      <c r="J163" s="45" t="str">
        <f t="shared" si="2"/>
        <v>...</v>
      </c>
      <c r="K163" s="47" t="str">
        <f t="array" ref="K163">IF(B163=0,"...",J163/VLOOKUP(D163,{CCL!M:N;CCL!$P:$Q},2,FALSE))</f>
        <v>...</v>
      </c>
      <c r="L163" s="45" t="str">
        <f>IFERROR(__xludf.DUMMYFUNCTION("if(B163=0,""..."",if(E163=""CERRADA"",""Valor Venta"", GOOGLEFINANCE(""BCBA:""&amp;B163)))"),"...")</f>
        <v>...</v>
      </c>
      <c r="M163" s="45" t="str">
        <f>if(B163=0,"...",L163*(1-VLOOKUP(A163,Config!$B$3:$C$22,2,FALSE)))</f>
        <v>...</v>
      </c>
      <c r="N163" s="45" t="str">
        <f t="shared" si="3"/>
        <v>...</v>
      </c>
      <c r="O163" s="12" t="str">
        <f>IFERROR(__xludf.DUMMYFUNCTION("if(B163=0,""..."",GOOGLEFINANCE(B163,""changepct"")/100)"),"...")</f>
        <v>...</v>
      </c>
      <c r="P163" s="10" t="str">
        <f>IFERROR(__xludf.DUMMYFUNCTION("if(B163=0,""..."",GOOGLEFINANCE(B163,""change"")*H163)"),"...")</f>
        <v>...</v>
      </c>
      <c r="Q163" s="12" t="str">
        <f t="shared" si="4"/>
        <v>...</v>
      </c>
      <c r="R163" s="47" t="str">
        <f t="shared" si="5"/>
        <v>...</v>
      </c>
      <c r="S163" s="12" t="str">
        <f t="array" ref="S163">IF(B163=0,"...",(N163/IF(E163="ABIERTA",CCL!$E$2,VLOOKUP(F163,{CCL!M:N;CCL!$P:$Q},2,FALSE))/(J163/VLOOKUP(D163,{CCL!M:N;CCL!$P:$Q},2,FALSE))-1))</f>
        <v>...</v>
      </c>
      <c r="T163" s="47" t="str">
        <f>IF(B163=0,"...",N163/VLOOKUP(IF(E163="ABIERTA",TODAY(),F163),CCL!$A$12:$B$773,2,FALSE)-J163/VLOOKUP(D163,CCL!$A$12:$B235,2,FALSE))</f>
        <v>...</v>
      </c>
      <c r="U163" s="2"/>
      <c r="V163" s="10"/>
      <c r="W163" s="59" t="str">
        <f t="shared" si="16"/>
        <v>...</v>
      </c>
      <c r="X163" s="12" t="str">
        <f t="shared" si="17"/>
        <v/>
      </c>
      <c r="Y163" s="45" t="str">
        <f t="shared" si="18"/>
        <v>...</v>
      </c>
      <c r="Z163" s="45" t="str">
        <f t="shared" si="19"/>
        <v>...</v>
      </c>
      <c r="AA163" s="12" t="str">
        <f t="shared" si="20"/>
        <v>...</v>
      </c>
      <c r="AB163" s="45" t="str">
        <f t="shared" si="21"/>
        <v>...</v>
      </c>
      <c r="AC163" s="45" t="str">
        <f t="shared" si="22"/>
        <v>...</v>
      </c>
      <c r="AD163" s="12" t="str">
        <f t="shared" si="23"/>
        <v>...</v>
      </c>
      <c r="AE163" s="46" t="str">
        <f t="shared" si="24"/>
        <v>...</v>
      </c>
      <c r="AF163" s="2"/>
      <c r="AG163" s="2"/>
      <c r="AH163" s="2"/>
      <c r="AI163" s="2"/>
      <c r="AJ163" s="2"/>
      <c r="AK163" s="2"/>
    </row>
    <row r="164" ht="24.0" customHeight="1">
      <c r="A164" s="4"/>
      <c r="B164" s="30"/>
      <c r="C164" s="5" t="str">
        <f>IFERROR(__xludf.DUMMYFUNCTION("if(B164=0,""..."", sparkline(query(GOOGLEFINANCE(""BCBA:""&amp;B164,""price"",today()-$AI$36,today()),""select Col2"",0),{""charttype"",$AI$35}))"),"...")</f>
        <v>...</v>
      </c>
      <c r="D164" s="17"/>
      <c r="E164" s="31"/>
      <c r="F164" s="7"/>
      <c r="G164" s="8" t="str">
        <f t="shared" si="1"/>
        <v>...</v>
      </c>
      <c r="H164" s="31"/>
      <c r="I164" s="52"/>
      <c r="J164" s="45" t="str">
        <f t="shared" si="2"/>
        <v>...</v>
      </c>
      <c r="K164" s="47" t="str">
        <f t="array" ref="K164">IF(B164=0,"...",J164/VLOOKUP(D164,{CCL!M:N;CCL!$P:$Q},2,FALSE))</f>
        <v>...</v>
      </c>
      <c r="L164" s="45" t="str">
        <f>IFERROR(__xludf.DUMMYFUNCTION("if(B164=0,""..."",if(E164=""CERRADA"",""Valor Venta"", GOOGLEFINANCE(""BCBA:""&amp;B164)))"),"...")</f>
        <v>...</v>
      </c>
      <c r="M164" s="45" t="str">
        <f>if(B164=0,"...",L164*(1-VLOOKUP(A164,Config!$B$3:$C$22,2,FALSE)))</f>
        <v>...</v>
      </c>
      <c r="N164" s="45" t="str">
        <f t="shared" si="3"/>
        <v>...</v>
      </c>
      <c r="O164" s="12" t="str">
        <f>IFERROR(__xludf.DUMMYFUNCTION("if(B164=0,""..."",GOOGLEFINANCE(B164,""changepct"")/100)"),"...")</f>
        <v>...</v>
      </c>
      <c r="P164" s="10" t="str">
        <f>IFERROR(__xludf.DUMMYFUNCTION("if(B164=0,""..."",GOOGLEFINANCE(B164,""change"")*H164)"),"...")</f>
        <v>...</v>
      </c>
      <c r="Q164" s="12" t="str">
        <f t="shared" si="4"/>
        <v>...</v>
      </c>
      <c r="R164" s="47" t="str">
        <f t="shared" si="5"/>
        <v>...</v>
      </c>
      <c r="S164" s="12" t="str">
        <f t="array" ref="S164">IF(B164=0,"...",(N164/IF(E164="ABIERTA",CCL!$E$2,VLOOKUP(F164,{CCL!M:N;CCL!$P:$Q},2,FALSE))/(J164/VLOOKUP(D164,{CCL!M:N;CCL!$P:$Q},2,FALSE))-1))</f>
        <v>...</v>
      </c>
      <c r="T164" s="47" t="str">
        <f>IF(B164=0,"...",N164/VLOOKUP(IF(E164="ABIERTA",TODAY(),F164),CCL!$A$12:$B$773,2,FALSE)-J164/VLOOKUP(D164,CCL!$A$12:$B235,2,FALSE))</f>
        <v>...</v>
      </c>
      <c r="U164" s="2"/>
      <c r="V164" s="10"/>
      <c r="W164" s="59" t="str">
        <f t="shared" si="16"/>
        <v>...</v>
      </c>
      <c r="X164" s="12" t="str">
        <f t="shared" si="17"/>
        <v/>
      </c>
      <c r="Y164" s="45" t="str">
        <f t="shared" si="18"/>
        <v>...</v>
      </c>
      <c r="Z164" s="45" t="str">
        <f t="shared" si="19"/>
        <v>...</v>
      </c>
      <c r="AA164" s="12" t="str">
        <f t="shared" si="20"/>
        <v>...</v>
      </c>
      <c r="AB164" s="45" t="str">
        <f t="shared" si="21"/>
        <v>...</v>
      </c>
      <c r="AC164" s="45" t="str">
        <f t="shared" si="22"/>
        <v>...</v>
      </c>
      <c r="AD164" s="12" t="str">
        <f t="shared" si="23"/>
        <v>...</v>
      </c>
      <c r="AE164" s="46" t="str">
        <f t="shared" si="24"/>
        <v>...</v>
      </c>
      <c r="AF164" s="2"/>
      <c r="AG164" s="2"/>
      <c r="AH164" s="2"/>
      <c r="AI164" s="2"/>
      <c r="AJ164" s="2"/>
      <c r="AK164" s="2"/>
    </row>
    <row r="165" ht="24.0" customHeight="1">
      <c r="A165" s="4"/>
      <c r="B165" s="30"/>
      <c r="C165" s="5" t="str">
        <f>IFERROR(__xludf.DUMMYFUNCTION("if(B165=0,""..."", sparkline(query(GOOGLEFINANCE(""BCBA:""&amp;B165,""price"",today()-$AI$36,today()),""select Col2"",0),{""charttype"",$AI$35}))"),"...")</f>
        <v>...</v>
      </c>
      <c r="D165" s="17"/>
      <c r="E165" s="31"/>
      <c r="F165" s="7"/>
      <c r="G165" s="8" t="str">
        <f t="shared" si="1"/>
        <v>...</v>
      </c>
      <c r="H165" s="31"/>
      <c r="I165" s="52"/>
      <c r="J165" s="45" t="str">
        <f t="shared" si="2"/>
        <v>...</v>
      </c>
      <c r="K165" s="47" t="str">
        <f t="array" ref="K165">IF(B165=0,"...",J165/VLOOKUP(D165,{CCL!M:N;CCL!$P:$Q},2,FALSE))</f>
        <v>...</v>
      </c>
      <c r="L165" s="45" t="str">
        <f>IFERROR(__xludf.DUMMYFUNCTION("if(B165=0,""..."",if(E165=""CERRADA"",""Valor Venta"", GOOGLEFINANCE(""BCBA:""&amp;B165)))"),"...")</f>
        <v>...</v>
      </c>
      <c r="M165" s="45" t="str">
        <f>if(B165=0,"...",L165*(1-VLOOKUP(A165,Config!$B$3:$C$22,2,FALSE)))</f>
        <v>...</v>
      </c>
      <c r="N165" s="45" t="str">
        <f t="shared" si="3"/>
        <v>...</v>
      </c>
      <c r="O165" s="12" t="str">
        <f>IFERROR(__xludf.DUMMYFUNCTION("if(B165=0,""..."",GOOGLEFINANCE(B165,""changepct"")/100)"),"...")</f>
        <v>...</v>
      </c>
      <c r="P165" s="10" t="str">
        <f>IFERROR(__xludf.DUMMYFUNCTION("if(B165=0,""..."",GOOGLEFINANCE(B165,""change"")*H165)"),"...")</f>
        <v>...</v>
      </c>
      <c r="Q165" s="12" t="str">
        <f t="shared" si="4"/>
        <v>...</v>
      </c>
      <c r="R165" s="47" t="str">
        <f t="shared" si="5"/>
        <v>...</v>
      </c>
      <c r="S165" s="12" t="str">
        <f t="array" ref="S165">IF(B165=0,"...",(N165/IF(E165="ABIERTA",CCL!$E$2,VLOOKUP(F165,{CCL!M:N;CCL!$P:$Q},2,FALSE))/(J165/VLOOKUP(D165,{CCL!M:N;CCL!$P:$Q},2,FALSE))-1))</f>
        <v>...</v>
      </c>
      <c r="T165" s="47" t="str">
        <f>IF(B165=0,"...",N165/VLOOKUP(IF(E165="ABIERTA",TODAY(),F165),CCL!$A$12:$B$773,2,FALSE)-J165/VLOOKUP(D165,CCL!$A$12:$B235,2,FALSE))</f>
        <v>...</v>
      </c>
      <c r="U165" s="2"/>
      <c r="V165" s="10"/>
      <c r="W165" s="59" t="str">
        <f t="shared" si="16"/>
        <v>...</v>
      </c>
      <c r="X165" s="12" t="str">
        <f t="shared" si="17"/>
        <v/>
      </c>
      <c r="Y165" s="45" t="str">
        <f t="shared" si="18"/>
        <v>...</v>
      </c>
      <c r="Z165" s="45" t="str">
        <f t="shared" si="19"/>
        <v>...</v>
      </c>
      <c r="AA165" s="12" t="str">
        <f t="shared" si="20"/>
        <v>...</v>
      </c>
      <c r="AB165" s="45" t="str">
        <f t="shared" si="21"/>
        <v>...</v>
      </c>
      <c r="AC165" s="45" t="str">
        <f t="shared" si="22"/>
        <v>...</v>
      </c>
      <c r="AD165" s="12" t="str">
        <f t="shared" si="23"/>
        <v>...</v>
      </c>
      <c r="AE165" s="46" t="str">
        <f t="shared" si="24"/>
        <v>...</v>
      </c>
      <c r="AF165" s="2"/>
      <c r="AG165" s="2"/>
      <c r="AH165" s="2"/>
      <c r="AI165" s="2"/>
      <c r="AJ165" s="2"/>
      <c r="AK165" s="2"/>
    </row>
    <row r="166" ht="24.0" customHeight="1">
      <c r="A166" s="4"/>
      <c r="B166" s="30"/>
      <c r="C166" s="5" t="str">
        <f>IFERROR(__xludf.DUMMYFUNCTION("if(B166=0,""..."", sparkline(query(GOOGLEFINANCE(""BCBA:""&amp;B166,""price"",today()-$AI$36,today()),""select Col2"",0),{""charttype"",$AI$35}))"),"...")</f>
        <v>...</v>
      </c>
      <c r="D166" s="17"/>
      <c r="E166" s="31"/>
      <c r="F166" s="7"/>
      <c r="G166" s="8" t="str">
        <f t="shared" si="1"/>
        <v>...</v>
      </c>
      <c r="H166" s="31"/>
      <c r="I166" s="52"/>
      <c r="J166" s="45" t="str">
        <f t="shared" si="2"/>
        <v>...</v>
      </c>
      <c r="K166" s="47" t="str">
        <f t="array" ref="K166">IF(B166=0,"...",J166/VLOOKUP(D166,{CCL!M:N;CCL!$P:$Q},2,FALSE))</f>
        <v>...</v>
      </c>
      <c r="L166" s="45" t="str">
        <f>IFERROR(__xludf.DUMMYFUNCTION("if(B166=0,""..."",if(E166=""CERRADA"",""Valor Venta"", GOOGLEFINANCE(""BCBA:""&amp;B166)))"),"...")</f>
        <v>...</v>
      </c>
      <c r="M166" s="45" t="str">
        <f>if(B166=0,"...",L166*(1-VLOOKUP(A166,Config!$B$3:$C$22,2,FALSE)))</f>
        <v>...</v>
      </c>
      <c r="N166" s="45" t="str">
        <f t="shared" si="3"/>
        <v>...</v>
      </c>
      <c r="O166" s="12" t="str">
        <f>IFERROR(__xludf.DUMMYFUNCTION("if(B166=0,""..."",GOOGLEFINANCE(B166,""changepct"")/100)"),"...")</f>
        <v>...</v>
      </c>
      <c r="P166" s="10" t="str">
        <f>IFERROR(__xludf.DUMMYFUNCTION("if(B166=0,""..."",GOOGLEFINANCE(B166,""change"")*H166)"),"...")</f>
        <v>...</v>
      </c>
      <c r="Q166" s="12" t="str">
        <f t="shared" si="4"/>
        <v>...</v>
      </c>
      <c r="R166" s="47" t="str">
        <f t="shared" si="5"/>
        <v>...</v>
      </c>
      <c r="S166" s="12" t="str">
        <f t="array" ref="S166">IF(B166=0,"...",(N166/IF(E166="ABIERTA",CCL!$E$2,VLOOKUP(F166,{CCL!M:N;CCL!$P:$Q},2,FALSE))/(J166/VLOOKUP(D166,{CCL!M:N;CCL!$P:$Q},2,FALSE))-1))</f>
        <v>...</v>
      </c>
      <c r="T166" s="47" t="str">
        <f>IF(B166=0,"...",N166/VLOOKUP(IF(E166="ABIERTA",TODAY(),F166),CCL!$A$12:$B$773,2,FALSE)-J166/VLOOKUP(D166,CCL!$A$12:$B235,2,FALSE))</f>
        <v>...</v>
      </c>
      <c r="U166" s="2"/>
      <c r="V166" s="10"/>
      <c r="W166" s="59" t="str">
        <f t="shared" si="16"/>
        <v>...</v>
      </c>
      <c r="X166" s="12" t="str">
        <f t="shared" si="17"/>
        <v/>
      </c>
      <c r="Y166" s="45" t="str">
        <f t="shared" si="18"/>
        <v>...</v>
      </c>
      <c r="Z166" s="45" t="str">
        <f t="shared" si="19"/>
        <v>...</v>
      </c>
      <c r="AA166" s="12" t="str">
        <f t="shared" si="20"/>
        <v>...</v>
      </c>
      <c r="AB166" s="45" t="str">
        <f t="shared" si="21"/>
        <v>...</v>
      </c>
      <c r="AC166" s="45" t="str">
        <f t="shared" si="22"/>
        <v>...</v>
      </c>
      <c r="AD166" s="12" t="str">
        <f t="shared" si="23"/>
        <v>...</v>
      </c>
      <c r="AE166" s="46" t="str">
        <f t="shared" si="24"/>
        <v>...</v>
      </c>
      <c r="AF166" s="2"/>
      <c r="AG166" s="2"/>
      <c r="AH166" s="2"/>
      <c r="AI166" s="2"/>
      <c r="AJ166" s="2"/>
      <c r="AK166" s="2"/>
    </row>
    <row r="167" ht="24.0" customHeight="1">
      <c r="A167" s="4"/>
      <c r="B167" s="30"/>
      <c r="C167" s="5" t="str">
        <f>IFERROR(__xludf.DUMMYFUNCTION("if(B167=0,""..."", sparkline(query(GOOGLEFINANCE(""BCBA:""&amp;B167,""price"",today()-$AI$36,today()),""select Col2"",0),{""charttype"",$AI$35}))"),"...")</f>
        <v>...</v>
      </c>
      <c r="D167" s="17"/>
      <c r="E167" s="31"/>
      <c r="F167" s="7"/>
      <c r="G167" s="8" t="str">
        <f t="shared" si="1"/>
        <v>...</v>
      </c>
      <c r="H167" s="31"/>
      <c r="I167" s="52"/>
      <c r="J167" s="45" t="str">
        <f t="shared" si="2"/>
        <v>...</v>
      </c>
      <c r="K167" s="47" t="str">
        <f t="array" ref="K167">IF(B167=0,"...",J167/VLOOKUP(D167,{CCL!M:N;CCL!$P:$Q},2,FALSE))</f>
        <v>...</v>
      </c>
      <c r="L167" s="45" t="str">
        <f>IFERROR(__xludf.DUMMYFUNCTION("if(B167=0,""..."",if(E167=""CERRADA"",""Valor Venta"", GOOGLEFINANCE(""BCBA:""&amp;B167)))"),"...")</f>
        <v>...</v>
      </c>
      <c r="M167" s="45" t="str">
        <f>if(B167=0,"...",L167*(1-VLOOKUP(A167,Config!$B$3:$C$22,2,FALSE)))</f>
        <v>...</v>
      </c>
      <c r="N167" s="45" t="str">
        <f t="shared" si="3"/>
        <v>...</v>
      </c>
      <c r="O167" s="12" t="str">
        <f>IFERROR(__xludf.DUMMYFUNCTION("if(B167=0,""..."",GOOGLEFINANCE(B167,""changepct"")/100)"),"...")</f>
        <v>...</v>
      </c>
      <c r="P167" s="10" t="str">
        <f>IFERROR(__xludf.DUMMYFUNCTION("if(B167=0,""..."",GOOGLEFINANCE(B167,""change"")*H167)"),"...")</f>
        <v>...</v>
      </c>
      <c r="Q167" s="12" t="str">
        <f t="shared" si="4"/>
        <v>...</v>
      </c>
      <c r="R167" s="47" t="str">
        <f t="shared" si="5"/>
        <v>...</v>
      </c>
      <c r="S167" s="12" t="str">
        <f t="array" ref="S167">IF(B167=0,"...",(N167/IF(E167="ABIERTA",CCL!$E$2,VLOOKUP(F167,{CCL!M:N;CCL!$P:$Q},2,FALSE))/(J167/VLOOKUP(D167,{CCL!M:N;CCL!$P:$Q},2,FALSE))-1))</f>
        <v>...</v>
      </c>
      <c r="T167" s="47" t="str">
        <f>IF(B167=0,"...",N167/VLOOKUP(IF(E167="ABIERTA",TODAY(),F167),CCL!$A$12:$B$773,2,FALSE)-J167/VLOOKUP(D167,CCL!$A$12:$B235,2,FALSE))</f>
        <v>...</v>
      </c>
      <c r="U167" s="2"/>
      <c r="V167" s="10"/>
      <c r="W167" s="59" t="str">
        <f t="shared" si="16"/>
        <v>...</v>
      </c>
      <c r="X167" s="12" t="str">
        <f t="shared" si="17"/>
        <v/>
      </c>
      <c r="Y167" s="45" t="str">
        <f t="shared" si="18"/>
        <v>...</v>
      </c>
      <c r="Z167" s="45" t="str">
        <f t="shared" si="19"/>
        <v>...</v>
      </c>
      <c r="AA167" s="12" t="str">
        <f t="shared" si="20"/>
        <v>...</v>
      </c>
      <c r="AB167" s="45" t="str">
        <f t="shared" si="21"/>
        <v>...</v>
      </c>
      <c r="AC167" s="45" t="str">
        <f t="shared" si="22"/>
        <v>...</v>
      </c>
      <c r="AD167" s="12" t="str">
        <f t="shared" si="23"/>
        <v>...</v>
      </c>
      <c r="AE167" s="46" t="str">
        <f t="shared" si="24"/>
        <v>...</v>
      </c>
      <c r="AF167" s="2"/>
      <c r="AG167" s="2"/>
      <c r="AH167" s="2"/>
      <c r="AI167" s="2"/>
      <c r="AJ167" s="2"/>
      <c r="AK167" s="2"/>
    </row>
    <row r="168" ht="24.0" customHeight="1">
      <c r="A168" s="4"/>
      <c r="B168" s="30"/>
      <c r="C168" s="5" t="str">
        <f>IFERROR(__xludf.DUMMYFUNCTION("if(B168=0,""..."", sparkline(query(GOOGLEFINANCE(""BCBA:""&amp;B168,""price"",today()-$AI$36,today()),""select Col2"",0),{""charttype"",$AI$35}))"),"...")</f>
        <v>...</v>
      </c>
      <c r="D168" s="17"/>
      <c r="E168" s="31"/>
      <c r="F168" s="7"/>
      <c r="G168" s="8" t="str">
        <f t="shared" si="1"/>
        <v>...</v>
      </c>
      <c r="H168" s="31"/>
      <c r="I168" s="52"/>
      <c r="J168" s="45" t="str">
        <f t="shared" si="2"/>
        <v>...</v>
      </c>
      <c r="K168" s="47" t="str">
        <f t="array" ref="K168">IF(B168=0,"...",J168/VLOOKUP(D168,{CCL!M:N;CCL!$P:$Q},2,FALSE))</f>
        <v>...</v>
      </c>
      <c r="L168" s="45" t="str">
        <f>IFERROR(__xludf.DUMMYFUNCTION("if(B168=0,""..."",if(E168=""CERRADA"",""Valor Venta"", GOOGLEFINANCE(""BCBA:""&amp;B168)))"),"...")</f>
        <v>...</v>
      </c>
      <c r="M168" s="45" t="str">
        <f>if(B168=0,"...",L168*(1-VLOOKUP(A168,Config!$B$3:$C$22,2,FALSE)))</f>
        <v>...</v>
      </c>
      <c r="N168" s="45" t="str">
        <f t="shared" si="3"/>
        <v>...</v>
      </c>
      <c r="O168" s="12" t="str">
        <f>IFERROR(__xludf.DUMMYFUNCTION("if(B168=0,""..."",GOOGLEFINANCE(B168,""changepct"")/100)"),"...")</f>
        <v>...</v>
      </c>
      <c r="P168" s="10" t="str">
        <f>IFERROR(__xludf.DUMMYFUNCTION("if(B168=0,""..."",GOOGLEFINANCE(B168,""change"")*H168)"),"...")</f>
        <v>...</v>
      </c>
      <c r="Q168" s="12" t="str">
        <f t="shared" si="4"/>
        <v>...</v>
      </c>
      <c r="R168" s="47" t="str">
        <f t="shared" si="5"/>
        <v>...</v>
      </c>
      <c r="S168" s="12" t="str">
        <f t="array" ref="S168">IF(B168=0,"...",(N168/IF(E168="ABIERTA",CCL!$E$2,VLOOKUP(F168,{CCL!M:N;CCL!$P:$Q},2,FALSE))/(J168/VLOOKUP(D168,{CCL!M:N;CCL!$P:$Q},2,FALSE))-1))</f>
        <v>...</v>
      </c>
      <c r="T168" s="47" t="str">
        <f>IF(B168=0,"...",N168/VLOOKUP(IF(E168="ABIERTA",TODAY(),F168),CCL!$A$12:$B$773,2,FALSE)-J168/VLOOKUP(D168,CCL!$A$12:$B235,2,FALSE))</f>
        <v>...</v>
      </c>
      <c r="U168" s="2"/>
      <c r="V168" s="10"/>
      <c r="W168" s="59" t="str">
        <f t="shared" si="16"/>
        <v>...</v>
      </c>
      <c r="X168" s="12" t="str">
        <f t="shared" si="17"/>
        <v/>
      </c>
      <c r="Y168" s="45" t="str">
        <f t="shared" si="18"/>
        <v>...</v>
      </c>
      <c r="Z168" s="45" t="str">
        <f t="shared" si="19"/>
        <v>...</v>
      </c>
      <c r="AA168" s="12" t="str">
        <f t="shared" si="20"/>
        <v>...</v>
      </c>
      <c r="AB168" s="45" t="str">
        <f t="shared" si="21"/>
        <v>...</v>
      </c>
      <c r="AC168" s="45" t="str">
        <f t="shared" si="22"/>
        <v>...</v>
      </c>
      <c r="AD168" s="12" t="str">
        <f t="shared" si="23"/>
        <v>...</v>
      </c>
      <c r="AE168" s="46" t="str">
        <f t="shared" si="24"/>
        <v>...</v>
      </c>
      <c r="AF168" s="2"/>
      <c r="AG168" s="2"/>
      <c r="AH168" s="2"/>
      <c r="AI168" s="2"/>
      <c r="AJ168" s="2"/>
      <c r="AK168" s="2"/>
    </row>
    <row r="169" ht="24.0" customHeight="1">
      <c r="A169" s="4"/>
      <c r="B169" s="30"/>
      <c r="C169" s="5" t="str">
        <f>IFERROR(__xludf.DUMMYFUNCTION("if(B169=0,""..."", sparkline(query(GOOGLEFINANCE(""BCBA:""&amp;B169,""price"",today()-$AI$36,today()),""select Col2"",0),{""charttype"",$AI$35}))"),"...")</f>
        <v>...</v>
      </c>
      <c r="D169" s="17"/>
      <c r="E169" s="31"/>
      <c r="F169" s="7"/>
      <c r="G169" s="8" t="str">
        <f t="shared" si="1"/>
        <v>...</v>
      </c>
      <c r="H169" s="31"/>
      <c r="I169" s="52"/>
      <c r="J169" s="45" t="str">
        <f t="shared" si="2"/>
        <v>...</v>
      </c>
      <c r="K169" s="47" t="str">
        <f t="array" ref="K169">IF(B169=0,"...",J169/VLOOKUP(D169,{CCL!M:N;CCL!$P:$Q},2,FALSE))</f>
        <v>...</v>
      </c>
      <c r="L169" s="45" t="str">
        <f>IFERROR(__xludf.DUMMYFUNCTION("if(B169=0,""..."",if(E169=""CERRADA"",""Valor Venta"", GOOGLEFINANCE(""BCBA:""&amp;B169)))"),"...")</f>
        <v>...</v>
      </c>
      <c r="M169" s="45" t="str">
        <f>if(B169=0,"...",L169*(1-VLOOKUP(A169,Config!$B$3:$C$22,2,FALSE)))</f>
        <v>...</v>
      </c>
      <c r="N169" s="45" t="str">
        <f t="shared" si="3"/>
        <v>...</v>
      </c>
      <c r="O169" s="12" t="str">
        <f>IFERROR(__xludf.DUMMYFUNCTION("if(B169=0,""..."",GOOGLEFINANCE(B169,""changepct"")/100)"),"...")</f>
        <v>...</v>
      </c>
      <c r="P169" s="10" t="str">
        <f>IFERROR(__xludf.DUMMYFUNCTION("if(B169=0,""..."",GOOGLEFINANCE(B169,""change"")*H169)"),"...")</f>
        <v>...</v>
      </c>
      <c r="Q169" s="12" t="str">
        <f t="shared" si="4"/>
        <v>...</v>
      </c>
      <c r="R169" s="47" t="str">
        <f t="shared" si="5"/>
        <v>...</v>
      </c>
      <c r="S169" s="12" t="str">
        <f t="array" ref="S169">IF(B169=0,"...",(N169/IF(E169="ABIERTA",CCL!$E$2,VLOOKUP(F169,{CCL!M:N;CCL!$P:$Q},2,FALSE))/(J169/VLOOKUP(D169,{CCL!M:N;CCL!$P:$Q},2,FALSE))-1))</f>
        <v>...</v>
      </c>
      <c r="T169" s="47" t="str">
        <f>IF(B169=0,"...",N169/VLOOKUP(IF(E169="ABIERTA",TODAY(),F169),CCL!$A$12:$B$773,2,FALSE)-J169/VLOOKUP(D169,CCL!$A$12:$B235,2,FALSE))</f>
        <v>...</v>
      </c>
      <c r="U169" s="2"/>
      <c r="V169" s="10"/>
      <c r="W169" s="59" t="str">
        <f t="shared" si="16"/>
        <v>...</v>
      </c>
      <c r="X169" s="12" t="str">
        <f t="shared" si="17"/>
        <v/>
      </c>
      <c r="Y169" s="45" t="str">
        <f t="shared" si="18"/>
        <v>...</v>
      </c>
      <c r="Z169" s="45" t="str">
        <f t="shared" si="19"/>
        <v>...</v>
      </c>
      <c r="AA169" s="12" t="str">
        <f t="shared" si="20"/>
        <v>...</v>
      </c>
      <c r="AB169" s="45" t="str">
        <f t="shared" si="21"/>
        <v>...</v>
      </c>
      <c r="AC169" s="45" t="str">
        <f t="shared" si="22"/>
        <v>...</v>
      </c>
      <c r="AD169" s="12" t="str">
        <f t="shared" si="23"/>
        <v>...</v>
      </c>
      <c r="AE169" s="46" t="str">
        <f t="shared" si="24"/>
        <v>...</v>
      </c>
      <c r="AF169" s="2"/>
      <c r="AG169" s="2"/>
      <c r="AH169" s="2"/>
      <c r="AI169" s="2"/>
      <c r="AJ169" s="2"/>
      <c r="AK169" s="2"/>
    </row>
    <row r="170" ht="24.0" customHeight="1">
      <c r="A170" s="4"/>
      <c r="B170" s="30"/>
      <c r="C170" s="5" t="str">
        <f>IFERROR(__xludf.DUMMYFUNCTION("if(B170=0,""..."", sparkline(query(GOOGLEFINANCE(""BCBA:""&amp;B170,""price"",today()-$AI$36,today()),""select Col2"",0),{""charttype"",$AI$35}))"),"...")</f>
        <v>...</v>
      </c>
      <c r="D170" s="17"/>
      <c r="E170" s="31"/>
      <c r="F170" s="7"/>
      <c r="G170" s="8" t="str">
        <f t="shared" si="1"/>
        <v>...</v>
      </c>
      <c r="H170" s="31"/>
      <c r="I170" s="52"/>
      <c r="J170" s="45" t="str">
        <f t="shared" si="2"/>
        <v>...</v>
      </c>
      <c r="K170" s="47" t="str">
        <f t="array" ref="K170">IF(B170=0,"...",J170/VLOOKUP(D170,{CCL!M:N;CCL!$P:$Q},2,FALSE))</f>
        <v>...</v>
      </c>
      <c r="L170" s="45" t="str">
        <f>IFERROR(__xludf.DUMMYFUNCTION("if(B170=0,""..."",if(E170=""CERRADA"",""Valor Venta"", GOOGLEFINANCE(""BCBA:""&amp;B170)))"),"...")</f>
        <v>...</v>
      </c>
      <c r="M170" s="45" t="str">
        <f>if(B170=0,"...",L170*(1-VLOOKUP(A170,Config!$B$3:$C$22,2,FALSE)))</f>
        <v>...</v>
      </c>
      <c r="N170" s="45" t="str">
        <f t="shared" si="3"/>
        <v>...</v>
      </c>
      <c r="O170" s="12" t="str">
        <f>IFERROR(__xludf.DUMMYFUNCTION("if(B170=0,""..."",GOOGLEFINANCE(B170,""changepct"")/100)"),"...")</f>
        <v>...</v>
      </c>
      <c r="P170" s="10" t="str">
        <f>IFERROR(__xludf.DUMMYFUNCTION("if(B170=0,""..."",GOOGLEFINANCE(B170,""change"")*H170)"),"...")</f>
        <v>...</v>
      </c>
      <c r="Q170" s="12" t="str">
        <f t="shared" si="4"/>
        <v>...</v>
      </c>
      <c r="R170" s="47" t="str">
        <f t="shared" si="5"/>
        <v>...</v>
      </c>
      <c r="S170" s="12" t="str">
        <f t="array" ref="S170">IF(B170=0,"...",(N170/IF(E170="ABIERTA",CCL!$E$2,VLOOKUP(F170,{CCL!M:N;CCL!$P:$Q},2,FALSE))/(J170/VLOOKUP(D170,{CCL!M:N;CCL!$P:$Q},2,FALSE))-1))</f>
        <v>...</v>
      </c>
      <c r="T170" s="47" t="str">
        <f>IF(B170=0,"...",N170/VLOOKUP(IF(E170="ABIERTA",TODAY(),F170),CCL!$A$12:$B$773,2,FALSE)-J170/VLOOKUP(D170,CCL!$A$12:$B235,2,FALSE))</f>
        <v>...</v>
      </c>
      <c r="U170" s="2"/>
      <c r="V170" s="10"/>
      <c r="W170" s="59" t="str">
        <f t="shared" si="16"/>
        <v>...</v>
      </c>
      <c r="X170" s="12" t="str">
        <f t="shared" si="17"/>
        <v/>
      </c>
      <c r="Y170" s="45" t="str">
        <f t="shared" si="18"/>
        <v>...</v>
      </c>
      <c r="Z170" s="45" t="str">
        <f t="shared" si="19"/>
        <v>...</v>
      </c>
      <c r="AA170" s="12" t="str">
        <f t="shared" si="20"/>
        <v>...</v>
      </c>
      <c r="AB170" s="45" t="str">
        <f t="shared" si="21"/>
        <v>...</v>
      </c>
      <c r="AC170" s="45" t="str">
        <f t="shared" si="22"/>
        <v>...</v>
      </c>
      <c r="AD170" s="12" t="str">
        <f t="shared" si="23"/>
        <v>...</v>
      </c>
      <c r="AE170" s="46" t="str">
        <f t="shared" si="24"/>
        <v>...</v>
      </c>
      <c r="AF170" s="2"/>
      <c r="AG170" s="2"/>
      <c r="AH170" s="2"/>
      <c r="AI170" s="2"/>
      <c r="AJ170" s="2"/>
      <c r="AK170" s="2"/>
    </row>
    <row r="171" ht="24.0" customHeight="1">
      <c r="A171" s="4"/>
      <c r="B171" s="30"/>
      <c r="C171" s="5" t="str">
        <f>IFERROR(__xludf.DUMMYFUNCTION("if(B171=0,""..."", sparkline(query(GOOGLEFINANCE(""BCBA:""&amp;B171,""price"",today()-$AI$36,today()),""select Col2"",0),{""charttype"",$AI$35}))"),"...")</f>
        <v>...</v>
      </c>
      <c r="D171" s="17"/>
      <c r="E171" s="31"/>
      <c r="F171" s="7"/>
      <c r="G171" s="8" t="str">
        <f t="shared" si="1"/>
        <v>...</v>
      </c>
      <c r="H171" s="31"/>
      <c r="I171" s="52"/>
      <c r="J171" s="45" t="str">
        <f t="shared" si="2"/>
        <v>...</v>
      </c>
      <c r="K171" s="47" t="str">
        <f t="array" ref="K171">IF(B171=0,"...",J171/VLOOKUP(D171,{CCL!M:N;CCL!$P:$Q},2,FALSE))</f>
        <v>...</v>
      </c>
      <c r="L171" s="45" t="str">
        <f>IFERROR(__xludf.DUMMYFUNCTION("if(B171=0,""..."",if(E171=""CERRADA"",""Valor Venta"", GOOGLEFINANCE(""BCBA:""&amp;B171)))"),"...")</f>
        <v>...</v>
      </c>
      <c r="M171" s="45" t="str">
        <f>if(B171=0,"...",L171*(1-VLOOKUP(A171,Config!$B$3:$C$22,2,FALSE)))</f>
        <v>...</v>
      </c>
      <c r="N171" s="45" t="str">
        <f t="shared" si="3"/>
        <v>...</v>
      </c>
      <c r="O171" s="12" t="str">
        <f>IFERROR(__xludf.DUMMYFUNCTION("if(B171=0,""..."",GOOGLEFINANCE(B171,""changepct"")/100)"),"...")</f>
        <v>...</v>
      </c>
      <c r="P171" s="10" t="str">
        <f>IFERROR(__xludf.DUMMYFUNCTION("if(B171=0,""..."",GOOGLEFINANCE(B171,""change"")*H171)"),"...")</f>
        <v>...</v>
      </c>
      <c r="Q171" s="12" t="str">
        <f t="shared" si="4"/>
        <v>...</v>
      </c>
      <c r="R171" s="47" t="str">
        <f t="shared" si="5"/>
        <v>...</v>
      </c>
      <c r="S171" s="12" t="str">
        <f t="array" ref="S171">IF(B171=0,"...",(N171/IF(E171="ABIERTA",CCL!$E$2,VLOOKUP(F171,{CCL!M:N;CCL!$P:$Q},2,FALSE))/(J171/VLOOKUP(D171,{CCL!M:N;CCL!$P:$Q},2,FALSE))-1))</f>
        <v>...</v>
      </c>
      <c r="T171" s="47" t="str">
        <f>IF(B171=0,"...",N171/VLOOKUP(IF(E171="ABIERTA",TODAY(),F171),CCL!$A$12:$B$773,2,FALSE)-J171/VLOOKUP(D171,CCL!$A$12:$B235,2,FALSE))</f>
        <v>...</v>
      </c>
      <c r="U171" s="2"/>
      <c r="V171" s="10"/>
      <c r="W171" s="59" t="str">
        <f t="shared" si="16"/>
        <v>...</v>
      </c>
      <c r="X171" s="12" t="str">
        <f t="shared" si="17"/>
        <v/>
      </c>
      <c r="Y171" s="45" t="str">
        <f t="shared" si="18"/>
        <v>...</v>
      </c>
      <c r="Z171" s="45" t="str">
        <f t="shared" si="19"/>
        <v>...</v>
      </c>
      <c r="AA171" s="12" t="str">
        <f t="shared" si="20"/>
        <v>...</v>
      </c>
      <c r="AB171" s="45" t="str">
        <f t="shared" si="21"/>
        <v>...</v>
      </c>
      <c r="AC171" s="45" t="str">
        <f t="shared" si="22"/>
        <v>...</v>
      </c>
      <c r="AD171" s="12" t="str">
        <f t="shared" si="23"/>
        <v>...</v>
      </c>
      <c r="AE171" s="46" t="str">
        <f t="shared" si="24"/>
        <v>...</v>
      </c>
      <c r="AF171" s="2"/>
      <c r="AG171" s="2"/>
      <c r="AH171" s="2"/>
      <c r="AI171" s="2"/>
      <c r="AJ171" s="2"/>
      <c r="AK171" s="2"/>
    </row>
    <row r="172" ht="24.0" customHeight="1">
      <c r="A172" s="4"/>
      <c r="B172" s="30"/>
      <c r="C172" s="5" t="str">
        <f>IFERROR(__xludf.DUMMYFUNCTION("if(B172=0,""..."", sparkline(query(GOOGLEFINANCE(""BCBA:""&amp;B172,""price"",today()-$AI$36,today()),""select Col2"",0),{""charttype"",$AI$35}))"),"...")</f>
        <v>...</v>
      </c>
      <c r="D172" s="17"/>
      <c r="E172" s="31"/>
      <c r="F172" s="7"/>
      <c r="G172" s="8" t="str">
        <f t="shared" si="1"/>
        <v>...</v>
      </c>
      <c r="H172" s="31"/>
      <c r="I172" s="52"/>
      <c r="J172" s="45" t="str">
        <f t="shared" si="2"/>
        <v>...</v>
      </c>
      <c r="K172" s="47" t="str">
        <f t="array" ref="K172">IF(B172=0,"...",J172/VLOOKUP(D172,{CCL!M:N;CCL!$P:$Q},2,FALSE))</f>
        <v>...</v>
      </c>
      <c r="L172" s="45" t="str">
        <f>IFERROR(__xludf.DUMMYFUNCTION("if(B172=0,""..."",if(E172=""CERRADA"",""Valor Venta"", GOOGLEFINANCE(""BCBA:""&amp;B172)))"),"...")</f>
        <v>...</v>
      </c>
      <c r="M172" s="45" t="str">
        <f>if(B172=0,"...",L172*(1-VLOOKUP(A172,Config!$B$3:$C$22,2,FALSE)))</f>
        <v>...</v>
      </c>
      <c r="N172" s="45" t="str">
        <f t="shared" si="3"/>
        <v>...</v>
      </c>
      <c r="O172" s="12" t="str">
        <f>IFERROR(__xludf.DUMMYFUNCTION("if(B172=0,""..."",GOOGLEFINANCE(B172,""changepct"")/100)"),"...")</f>
        <v>...</v>
      </c>
      <c r="P172" s="10" t="str">
        <f>IFERROR(__xludf.DUMMYFUNCTION("if(B172=0,""..."",GOOGLEFINANCE(B172,""change"")*H172)"),"...")</f>
        <v>...</v>
      </c>
      <c r="Q172" s="12" t="str">
        <f t="shared" si="4"/>
        <v>...</v>
      </c>
      <c r="R172" s="47" t="str">
        <f t="shared" si="5"/>
        <v>...</v>
      </c>
      <c r="S172" s="12" t="str">
        <f t="array" ref="S172">IF(B172=0,"...",(N172/IF(E172="ABIERTA",CCL!$E$2,VLOOKUP(F172,{CCL!M:N;CCL!$P:$Q},2,FALSE))/(J172/VLOOKUP(D172,{CCL!M:N;CCL!$P:$Q},2,FALSE))-1))</f>
        <v>...</v>
      </c>
      <c r="T172" s="47" t="str">
        <f>IF(B172=0,"...",N172/VLOOKUP(IF(E172="ABIERTA",TODAY(),F172),CCL!$A$12:$B$773,2,FALSE)-J172/VLOOKUP(D172,CCL!$A$12:$B235,2,FALSE))</f>
        <v>...</v>
      </c>
      <c r="U172" s="2"/>
      <c r="V172" s="10"/>
      <c r="W172" s="59" t="str">
        <f t="shared" si="16"/>
        <v>...</v>
      </c>
      <c r="X172" s="12" t="str">
        <f t="shared" si="17"/>
        <v/>
      </c>
      <c r="Y172" s="45" t="str">
        <f t="shared" si="18"/>
        <v>...</v>
      </c>
      <c r="Z172" s="45" t="str">
        <f t="shared" si="19"/>
        <v>...</v>
      </c>
      <c r="AA172" s="12" t="str">
        <f t="shared" si="20"/>
        <v>...</v>
      </c>
      <c r="AB172" s="45" t="str">
        <f t="shared" si="21"/>
        <v>...</v>
      </c>
      <c r="AC172" s="45" t="str">
        <f t="shared" si="22"/>
        <v>...</v>
      </c>
      <c r="AD172" s="12" t="str">
        <f t="shared" si="23"/>
        <v>...</v>
      </c>
      <c r="AE172" s="46" t="str">
        <f t="shared" si="24"/>
        <v>...</v>
      </c>
      <c r="AF172" s="2"/>
      <c r="AG172" s="2"/>
      <c r="AH172" s="2"/>
      <c r="AI172" s="2"/>
      <c r="AJ172" s="2"/>
      <c r="AK172" s="2"/>
    </row>
    <row r="173" ht="24.0" customHeight="1">
      <c r="A173" s="4"/>
      <c r="B173" s="30"/>
      <c r="C173" s="5" t="str">
        <f>IFERROR(__xludf.DUMMYFUNCTION("if(B173=0,""..."", sparkline(query(GOOGLEFINANCE(""BCBA:""&amp;B173,""price"",today()-$AI$36,today()),""select Col2"",0),{""charttype"",$AI$35}))"),"...")</f>
        <v>...</v>
      </c>
      <c r="D173" s="17"/>
      <c r="E173" s="31"/>
      <c r="F173" s="7"/>
      <c r="G173" s="8" t="str">
        <f t="shared" si="1"/>
        <v>...</v>
      </c>
      <c r="H173" s="31"/>
      <c r="I173" s="52"/>
      <c r="J173" s="45" t="str">
        <f t="shared" si="2"/>
        <v>...</v>
      </c>
      <c r="K173" s="47" t="str">
        <f t="array" ref="K173">IF(B173=0,"...",J173/VLOOKUP(D173,{CCL!M:N;CCL!$P:$Q},2,FALSE))</f>
        <v>...</v>
      </c>
      <c r="L173" s="45" t="str">
        <f>IFERROR(__xludf.DUMMYFUNCTION("if(B173=0,""..."",if(E173=""CERRADA"",""Valor Venta"", GOOGLEFINANCE(""BCBA:""&amp;B173)))"),"...")</f>
        <v>...</v>
      </c>
      <c r="M173" s="45" t="str">
        <f>if(B173=0,"...",L173*(1-VLOOKUP(A173,Config!$B$3:$C$22,2,FALSE)))</f>
        <v>...</v>
      </c>
      <c r="N173" s="45" t="str">
        <f t="shared" si="3"/>
        <v>...</v>
      </c>
      <c r="O173" s="12" t="str">
        <f>IFERROR(__xludf.DUMMYFUNCTION("if(B173=0,""..."",GOOGLEFINANCE(B173,""changepct"")/100)"),"...")</f>
        <v>...</v>
      </c>
      <c r="P173" s="10" t="str">
        <f>IFERROR(__xludf.DUMMYFUNCTION("if(B173=0,""..."",GOOGLEFINANCE(B173,""change"")*H173)"),"...")</f>
        <v>...</v>
      </c>
      <c r="Q173" s="12" t="str">
        <f t="shared" si="4"/>
        <v>...</v>
      </c>
      <c r="R173" s="47" t="str">
        <f t="shared" si="5"/>
        <v>...</v>
      </c>
      <c r="S173" s="12" t="str">
        <f t="array" ref="S173">IF(B173=0,"...",(N173/IF(E173="ABIERTA",CCL!$E$2,VLOOKUP(F173,{CCL!M:N;CCL!$P:$Q},2,FALSE))/(J173/VLOOKUP(D173,{CCL!M:N;CCL!$P:$Q},2,FALSE))-1))</f>
        <v>...</v>
      </c>
      <c r="T173" s="47" t="str">
        <f>IF(B173=0,"...",N173/VLOOKUP(IF(E173="ABIERTA",TODAY(),F173),CCL!$A$12:$B$773,2,FALSE)-J173/VLOOKUP(D173,CCL!$A$12:$B235,2,FALSE))</f>
        <v>...</v>
      </c>
      <c r="U173" s="2"/>
      <c r="V173" s="10"/>
      <c r="W173" s="59" t="str">
        <f t="shared" si="16"/>
        <v>...</v>
      </c>
      <c r="X173" s="12" t="str">
        <f t="shared" si="17"/>
        <v/>
      </c>
      <c r="Y173" s="45" t="str">
        <f t="shared" si="18"/>
        <v>...</v>
      </c>
      <c r="Z173" s="45" t="str">
        <f t="shared" si="19"/>
        <v>...</v>
      </c>
      <c r="AA173" s="12" t="str">
        <f t="shared" si="20"/>
        <v>...</v>
      </c>
      <c r="AB173" s="45" t="str">
        <f t="shared" si="21"/>
        <v>...</v>
      </c>
      <c r="AC173" s="45" t="str">
        <f t="shared" si="22"/>
        <v>...</v>
      </c>
      <c r="AD173" s="12" t="str">
        <f t="shared" si="23"/>
        <v>...</v>
      </c>
      <c r="AE173" s="46" t="str">
        <f t="shared" si="24"/>
        <v>...</v>
      </c>
      <c r="AF173" s="2"/>
      <c r="AG173" s="2"/>
      <c r="AH173" s="2"/>
      <c r="AI173" s="2"/>
      <c r="AJ173" s="2"/>
      <c r="AK173" s="2"/>
    </row>
    <row r="174" ht="24.0" customHeight="1">
      <c r="A174" s="4"/>
      <c r="B174" s="30"/>
      <c r="C174" s="5" t="str">
        <f>IFERROR(__xludf.DUMMYFUNCTION("if(B174=0,""..."", sparkline(query(GOOGLEFINANCE(""BCBA:""&amp;B174,""price"",today()-$AI$36,today()),""select Col2"",0),{""charttype"",$AI$35}))"),"...")</f>
        <v>...</v>
      </c>
      <c r="D174" s="17"/>
      <c r="E174" s="31"/>
      <c r="F174" s="7"/>
      <c r="G174" s="8" t="str">
        <f t="shared" si="1"/>
        <v>...</v>
      </c>
      <c r="H174" s="31"/>
      <c r="I174" s="52"/>
      <c r="J174" s="45" t="str">
        <f t="shared" si="2"/>
        <v>...</v>
      </c>
      <c r="K174" s="47" t="str">
        <f t="array" ref="K174">IF(B174=0,"...",J174/VLOOKUP(D174,{CCL!M:N;CCL!$P:$Q},2,FALSE))</f>
        <v>...</v>
      </c>
      <c r="L174" s="45" t="str">
        <f>IFERROR(__xludf.DUMMYFUNCTION("if(B174=0,""..."",if(E174=""CERRADA"",""Valor Venta"", GOOGLEFINANCE(""BCBA:""&amp;B174)))"),"...")</f>
        <v>...</v>
      </c>
      <c r="M174" s="45" t="str">
        <f>if(B174=0,"...",L174*(1-VLOOKUP(A174,Config!$B$3:$C$22,2,FALSE)))</f>
        <v>...</v>
      </c>
      <c r="N174" s="45" t="str">
        <f t="shared" si="3"/>
        <v>...</v>
      </c>
      <c r="O174" s="12" t="str">
        <f>IFERROR(__xludf.DUMMYFUNCTION("if(B174=0,""..."",GOOGLEFINANCE(B174,""changepct"")/100)"),"...")</f>
        <v>...</v>
      </c>
      <c r="P174" s="10" t="str">
        <f>IFERROR(__xludf.DUMMYFUNCTION("if(B174=0,""..."",GOOGLEFINANCE(B174,""change"")*H174)"),"...")</f>
        <v>...</v>
      </c>
      <c r="Q174" s="12" t="str">
        <f t="shared" si="4"/>
        <v>...</v>
      </c>
      <c r="R174" s="47" t="str">
        <f t="shared" si="5"/>
        <v>...</v>
      </c>
      <c r="S174" s="12" t="str">
        <f t="array" ref="S174">IF(B174=0,"...",(N174/IF(E174="ABIERTA",CCL!$E$2,VLOOKUP(F174,{CCL!M:N;CCL!$P:$Q},2,FALSE))/(J174/VLOOKUP(D174,{CCL!M:N;CCL!$P:$Q},2,FALSE))-1))</f>
        <v>...</v>
      </c>
      <c r="T174" s="47" t="str">
        <f>IF(B174=0,"...",N174/VLOOKUP(IF(E174="ABIERTA",TODAY(),F174),CCL!$A$12:$B$773,2,FALSE)-J174/VLOOKUP(D174,CCL!$A$12:$B235,2,FALSE))</f>
        <v>...</v>
      </c>
      <c r="U174" s="2"/>
      <c r="V174" s="10"/>
      <c r="W174" s="59" t="str">
        <f t="shared" si="16"/>
        <v>...</v>
      </c>
      <c r="X174" s="12" t="str">
        <f t="shared" si="17"/>
        <v/>
      </c>
      <c r="Y174" s="45" t="str">
        <f t="shared" si="18"/>
        <v>...</v>
      </c>
      <c r="Z174" s="45" t="str">
        <f t="shared" si="19"/>
        <v>...</v>
      </c>
      <c r="AA174" s="12" t="str">
        <f t="shared" si="20"/>
        <v>...</v>
      </c>
      <c r="AB174" s="45" t="str">
        <f t="shared" si="21"/>
        <v>...</v>
      </c>
      <c r="AC174" s="45" t="str">
        <f t="shared" si="22"/>
        <v>...</v>
      </c>
      <c r="AD174" s="12" t="str">
        <f t="shared" si="23"/>
        <v>...</v>
      </c>
      <c r="AE174" s="46" t="str">
        <f t="shared" si="24"/>
        <v>...</v>
      </c>
      <c r="AF174" s="2"/>
      <c r="AG174" s="2"/>
      <c r="AH174" s="2"/>
      <c r="AI174" s="2"/>
      <c r="AJ174" s="2"/>
      <c r="AK174" s="2"/>
    </row>
    <row r="175" ht="24.0" customHeight="1">
      <c r="A175" s="4"/>
      <c r="B175" s="30"/>
      <c r="C175" s="5" t="str">
        <f>IFERROR(__xludf.DUMMYFUNCTION("if(B175=0,""..."", sparkline(query(GOOGLEFINANCE(""BCBA:""&amp;B175,""price"",today()-$AI$36,today()),""select Col2"",0),{""charttype"",$AI$35}))"),"...")</f>
        <v>...</v>
      </c>
      <c r="D175" s="17"/>
      <c r="E175" s="31"/>
      <c r="F175" s="7"/>
      <c r="G175" s="8" t="str">
        <f t="shared" si="1"/>
        <v>...</v>
      </c>
      <c r="H175" s="31"/>
      <c r="I175" s="52"/>
      <c r="J175" s="45" t="str">
        <f t="shared" si="2"/>
        <v>...</v>
      </c>
      <c r="K175" s="47" t="str">
        <f t="array" ref="K175">IF(B175=0,"...",J175/VLOOKUP(D175,{CCL!M:N;CCL!$P:$Q},2,FALSE))</f>
        <v>...</v>
      </c>
      <c r="L175" s="45" t="str">
        <f>IFERROR(__xludf.DUMMYFUNCTION("if(B175=0,""..."",if(E175=""CERRADA"",""Valor Venta"", GOOGLEFINANCE(""BCBA:""&amp;B175)))"),"...")</f>
        <v>...</v>
      </c>
      <c r="M175" s="45" t="str">
        <f>if(B175=0,"...",L175*(1-VLOOKUP(A175,Config!$B$3:$C$22,2,FALSE)))</f>
        <v>...</v>
      </c>
      <c r="N175" s="45" t="str">
        <f t="shared" si="3"/>
        <v>...</v>
      </c>
      <c r="O175" s="12" t="str">
        <f>IFERROR(__xludf.DUMMYFUNCTION("if(B175=0,""..."",GOOGLEFINANCE(B175,""changepct"")/100)"),"...")</f>
        <v>...</v>
      </c>
      <c r="P175" s="10" t="str">
        <f>IFERROR(__xludf.DUMMYFUNCTION("if(B175=0,""..."",GOOGLEFINANCE(B175,""change"")*H175)"),"...")</f>
        <v>...</v>
      </c>
      <c r="Q175" s="12" t="str">
        <f t="shared" si="4"/>
        <v>...</v>
      </c>
      <c r="R175" s="47" t="str">
        <f t="shared" si="5"/>
        <v>...</v>
      </c>
      <c r="S175" s="12" t="str">
        <f t="array" ref="S175">IF(B175=0,"...",(N175/IF(E175="ABIERTA",CCL!$E$2,VLOOKUP(F175,{CCL!M:N;CCL!$P:$Q},2,FALSE))/(J175/VLOOKUP(D175,{CCL!M:N;CCL!$P:$Q},2,FALSE))-1))</f>
        <v>...</v>
      </c>
      <c r="T175" s="47" t="str">
        <f>IF(B175=0,"...",N175/VLOOKUP(IF(E175="ABIERTA",TODAY(),F175),CCL!$A$12:$B$773,2,FALSE)-J175/VLOOKUP(D175,CCL!$A$12:$B235,2,FALSE))</f>
        <v>...</v>
      </c>
      <c r="U175" s="2"/>
      <c r="V175" s="10"/>
      <c r="W175" s="59" t="str">
        <f t="shared" si="16"/>
        <v>...</v>
      </c>
      <c r="X175" s="12" t="str">
        <f t="shared" si="17"/>
        <v/>
      </c>
      <c r="Y175" s="45" t="str">
        <f t="shared" si="18"/>
        <v>...</v>
      </c>
      <c r="Z175" s="45" t="str">
        <f t="shared" si="19"/>
        <v>...</v>
      </c>
      <c r="AA175" s="12" t="str">
        <f t="shared" si="20"/>
        <v>...</v>
      </c>
      <c r="AB175" s="45" t="str">
        <f t="shared" si="21"/>
        <v>...</v>
      </c>
      <c r="AC175" s="45" t="str">
        <f t="shared" si="22"/>
        <v>...</v>
      </c>
      <c r="AD175" s="12" t="str">
        <f t="shared" si="23"/>
        <v>...</v>
      </c>
      <c r="AE175" s="46" t="str">
        <f t="shared" si="24"/>
        <v>...</v>
      </c>
      <c r="AF175" s="2"/>
      <c r="AG175" s="2"/>
      <c r="AH175" s="2"/>
      <c r="AI175" s="2"/>
      <c r="AJ175" s="2"/>
      <c r="AK175" s="2"/>
    </row>
    <row r="176" ht="24.0" customHeight="1">
      <c r="A176" s="4"/>
      <c r="B176" s="30"/>
      <c r="C176" s="5" t="str">
        <f>IFERROR(__xludf.DUMMYFUNCTION("if(B176=0,""..."", sparkline(query(GOOGLEFINANCE(""BCBA:""&amp;B176,""price"",today()-$AI$36,today()),""select Col2"",0),{""charttype"",$AI$35}))"),"...")</f>
        <v>...</v>
      </c>
      <c r="D176" s="17"/>
      <c r="E176" s="31"/>
      <c r="F176" s="7"/>
      <c r="G176" s="8" t="str">
        <f t="shared" si="1"/>
        <v>...</v>
      </c>
      <c r="H176" s="31"/>
      <c r="I176" s="52"/>
      <c r="J176" s="45" t="str">
        <f t="shared" si="2"/>
        <v>...</v>
      </c>
      <c r="K176" s="47" t="str">
        <f t="array" ref="K176">IF(B176=0,"...",J176/VLOOKUP(D176,{CCL!M:N;CCL!$P:$Q},2,FALSE))</f>
        <v>...</v>
      </c>
      <c r="L176" s="45" t="str">
        <f>IFERROR(__xludf.DUMMYFUNCTION("if(B176=0,""..."",if(E176=""CERRADA"",""Valor Venta"", GOOGLEFINANCE(""BCBA:""&amp;B176)))"),"...")</f>
        <v>...</v>
      </c>
      <c r="M176" s="45" t="str">
        <f>if(B176=0,"...",L176*(1-VLOOKUP(A176,Config!$B$3:$C$22,2,FALSE)))</f>
        <v>...</v>
      </c>
      <c r="N176" s="45" t="str">
        <f t="shared" si="3"/>
        <v>...</v>
      </c>
      <c r="O176" s="12" t="str">
        <f>IFERROR(__xludf.DUMMYFUNCTION("if(B176=0,""..."",GOOGLEFINANCE(B176,""changepct"")/100)"),"...")</f>
        <v>...</v>
      </c>
      <c r="P176" s="10" t="str">
        <f>IFERROR(__xludf.DUMMYFUNCTION("if(B176=0,""..."",GOOGLEFINANCE(B176,""change"")*H176)"),"...")</f>
        <v>...</v>
      </c>
      <c r="Q176" s="12" t="str">
        <f t="shared" si="4"/>
        <v>...</v>
      </c>
      <c r="R176" s="47" t="str">
        <f t="shared" si="5"/>
        <v>...</v>
      </c>
      <c r="S176" s="12" t="str">
        <f t="array" ref="S176">IF(B176=0,"...",(N176/IF(E176="ABIERTA",CCL!$E$2,VLOOKUP(F176,{CCL!M:N;CCL!$P:$Q},2,FALSE))/(J176/VLOOKUP(D176,{CCL!M:N;CCL!$P:$Q},2,FALSE))-1))</f>
        <v>...</v>
      </c>
      <c r="T176" s="47" t="str">
        <f>IF(B176=0,"...",N176/VLOOKUP(IF(E176="ABIERTA",TODAY(),F176),CCL!$A$12:$B$773,2,FALSE)-J176/VLOOKUP(D176,CCL!$A$12:$B235,2,FALSE))</f>
        <v>...</v>
      </c>
      <c r="U176" s="2"/>
      <c r="V176" s="10"/>
      <c r="W176" s="59" t="str">
        <f t="shared" si="16"/>
        <v>...</v>
      </c>
      <c r="X176" s="12" t="str">
        <f t="shared" si="17"/>
        <v/>
      </c>
      <c r="Y176" s="45" t="str">
        <f t="shared" si="18"/>
        <v>...</v>
      </c>
      <c r="Z176" s="45" t="str">
        <f t="shared" si="19"/>
        <v>...</v>
      </c>
      <c r="AA176" s="12" t="str">
        <f t="shared" si="20"/>
        <v>...</v>
      </c>
      <c r="AB176" s="45" t="str">
        <f t="shared" si="21"/>
        <v>...</v>
      </c>
      <c r="AC176" s="45" t="str">
        <f t="shared" si="22"/>
        <v>...</v>
      </c>
      <c r="AD176" s="12" t="str">
        <f t="shared" si="23"/>
        <v>...</v>
      </c>
      <c r="AE176" s="46" t="str">
        <f t="shared" si="24"/>
        <v>...</v>
      </c>
      <c r="AF176" s="2"/>
      <c r="AG176" s="2"/>
      <c r="AH176" s="2"/>
      <c r="AI176" s="2"/>
      <c r="AJ176" s="2"/>
      <c r="AK176" s="2"/>
    </row>
    <row r="177" ht="24.0" customHeight="1">
      <c r="A177" s="4"/>
      <c r="B177" s="30"/>
      <c r="C177" s="5" t="str">
        <f>IFERROR(__xludf.DUMMYFUNCTION("if(B177=0,""..."", sparkline(query(GOOGLEFINANCE(""BCBA:""&amp;B177,""price"",today()-$AI$36,today()),""select Col2"",0),{""charttype"",$AI$35}))"),"...")</f>
        <v>...</v>
      </c>
      <c r="D177" s="17"/>
      <c r="E177" s="31"/>
      <c r="F177" s="7"/>
      <c r="G177" s="8" t="str">
        <f t="shared" si="1"/>
        <v>...</v>
      </c>
      <c r="H177" s="31"/>
      <c r="I177" s="52"/>
      <c r="J177" s="45" t="str">
        <f t="shared" si="2"/>
        <v>...</v>
      </c>
      <c r="K177" s="47" t="str">
        <f t="array" ref="K177">IF(B177=0,"...",J177/VLOOKUP(D177,{CCL!M:N;CCL!$P:$Q},2,FALSE))</f>
        <v>...</v>
      </c>
      <c r="L177" s="45" t="str">
        <f>IFERROR(__xludf.DUMMYFUNCTION("if(B177=0,""..."",if(E177=""CERRADA"",""Valor Venta"", GOOGLEFINANCE(""BCBA:""&amp;B177)))"),"...")</f>
        <v>...</v>
      </c>
      <c r="M177" s="45" t="str">
        <f>if(B177=0,"...",L177*(1-VLOOKUP(A177,Config!$B$3:$C$22,2,FALSE)))</f>
        <v>...</v>
      </c>
      <c r="N177" s="45" t="str">
        <f t="shared" si="3"/>
        <v>...</v>
      </c>
      <c r="O177" s="12" t="str">
        <f>IFERROR(__xludf.DUMMYFUNCTION("if(B177=0,""..."",GOOGLEFINANCE(B177,""changepct"")/100)"),"...")</f>
        <v>...</v>
      </c>
      <c r="P177" s="10" t="str">
        <f>IFERROR(__xludf.DUMMYFUNCTION("if(B177=0,""..."",GOOGLEFINANCE(B177,""change"")*H177)"),"...")</f>
        <v>...</v>
      </c>
      <c r="Q177" s="12" t="str">
        <f t="shared" si="4"/>
        <v>...</v>
      </c>
      <c r="R177" s="47" t="str">
        <f t="shared" si="5"/>
        <v>...</v>
      </c>
      <c r="S177" s="12" t="str">
        <f t="array" ref="S177">IF(B177=0,"...",(N177/IF(E177="ABIERTA",CCL!$E$2,VLOOKUP(F177,{CCL!M:N;CCL!$P:$Q},2,FALSE))/(J177/VLOOKUP(D177,{CCL!M:N;CCL!$P:$Q},2,FALSE))-1))</f>
        <v>...</v>
      </c>
      <c r="T177" s="47" t="str">
        <f>IF(B177=0,"...",N177/VLOOKUP(IF(E177="ABIERTA",TODAY(),F177),CCL!$A$12:$B$773,2,FALSE)-J177/VLOOKUP(D177,CCL!$A$12:$B235,2,FALSE))</f>
        <v>...</v>
      </c>
      <c r="U177" s="2"/>
      <c r="V177" s="10"/>
      <c r="W177" s="59" t="str">
        <f t="shared" si="16"/>
        <v>...</v>
      </c>
      <c r="X177" s="12" t="str">
        <f t="shared" si="17"/>
        <v/>
      </c>
      <c r="Y177" s="45" t="str">
        <f t="shared" si="18"/>
        <v>...</v>
      </c>
      <c r="Z177" s="45" t="str">
        <f t="shared" si="19"/>
        <v>...</v>
      </c>
      <c r="AA177" s="12" t="str">
        <f t="shared" si="20"/>
        <v>...</v>
      </c>
      <c r="AB177" s="45" t="str">
        <f t="shared" si="21"/>
        <v>...</v>
      </c>
      <c r="AC177" s="45" t="str">
        <f t="shared" si="22"/>
        <v>...</v>
      </c>
      <c r="AD177" s="12" t="str">
        <f t="shared" si="23"/>
        <v>...</v>
      </c>
      <c r="AE177" s="46" t="str">
        <f t="shared" si="24"/>
        <v>...</v>
      </c>
      <c r="AF177" s="2"/>
      <c r="AG177" s="2"/>
      <c r="AH177" s="2"/>
      <c r="AI177" s="2"/>
      <c r="AJ177" s="2"/>
      <c r="AK177" s="2"/>
    </row>
    <row r="178" ht="24.0" customHeight="1">
      <c r="A178" s="4"/>
      <c r="B178" s="30"/>
      <c r="C178" s="5" t="str">
        <f>IFERROR(__xludf.DUMMYFUNCTION("if(B178=0,""..."", sparkline(query(GOOGLEFINANCE(""BCBA:""&amp;B178,""price"",today()-$AI$36,today()),""select Col2"",0),{""charttype"",$AI$35}))"),"...")</f>
        <v>...</v>
      </c>
      <c r="D178" s="17"/>
      <c r="E178" s="31"/>
      <c r="F178" s="7"/>
      <c r="G178" s="8" t="str">
        <f t="shared" si="1"/>
        <v>...</v>
      </c>
      <c r="H178" s="31"/>
      <c r="I178" s="52"/>
      <c r="J178" s="45" t="str">
        <f t="shared" si="2"/>
        <v>...</v>
      </c>
      <c r="K178" s="47" t="str">
        <f t="array" ref="K178">IF(B178=0,"...",J178/VLOOKUP(D178,{CCL!M:N;CCL!$P:$Q},2,FALSE))</f>
        <v>...</v>
      </c>
      <c r="L178" s="45" t="str">
        <f>IFERROR(__xludf.DUMMYFUNCTION("if(B178=0,""..."",if(E178=""CERRADA"",""Valor Venta"", GOOGLEFINANCE(""BCBA:""&amp;B178)))"),"...")</f>
        <v>...</v>
      </c>
      <c r="M178" s="45" t="str">
        <f>if(B178=0,"...",L178*(1-VLOOKUP(A178,Config!$B$3:$C$22,2,FALSE)))</f>
        <v>...</v>
      </c>
      <c r="N178" s="45" t="str">
        <f t="shared" si="3"/>
        <v>...</v>
      </c>
      <c r="O178" s="12" t="str">
        <f>IFERROR(__xludf.DUMMYFUNCTION("if(B178=0,""..."",GOOGLEFINANCE(B178,""changepct"")/100)"),"...")</f>
        <v>...</v>
      </c>
      <c r="P178" s="10" t="str">
        <f>IFERROR(__xludf.DUMMYFUNCTION("if(B178=0,""..."",GOOGLEFINANCE(B178,""change"")*H178)"),"...")</f>
        <v>...</v>
      </c>
      <c r="Q178" s="12" t="str">
        <f t="shared" si="4"/>
        <v>...</v>
      </c>
      <c r="R178" s="47" t="str">
        <f t="shared" si="5"/>
        <v>...</v>
      </c>
      <c r="S178" s="12" t="str">
        <f t="array" ref="S178">IF(B178=0,"...",(N178/IF(E178="ABIERTA",CCL!$E$2,VLOOKUP(F178,{CCL!M:N;CCL!$P:$Q},2,FALSE))/(J178/VLOOKUP(D178,{CCL!M:N;CCL!$P:$Q},2,FALSE))-1))</f>
        <v>...</v>
      </c>
      <c r="T178" s="47" t="str">
        <f>IF(B178=0,"...",N178/VLOOKUP(IF(E178="ABIERTA",TODAY(),F178),CCL!$A$12:$B$773,2,FALSE)-J178/VLOOKUP(D178,CCL!$A$12:$B235,2,FALSE))</f>
        <v>...</v>
      </c>
      <c r="U178" s="2"/>
      <c r="V178" s="10"/>
      <c r="W178" s="59" t="str">
        <f t="shared" si="16"/>
        <v>...</v>
      </c>
      <c r="X178" s="12" t="str">
        <f t="shared" si="17"/>
        <v/>
      </c>
      <c r="Y178" s="45" t="str">
        <f t="shared" si="18"/>
        <v>...</v>
      </c>
      <c r="Z178" s="45" t="str">
        <f t="shared" si="19"/>
        <v>...</v>
      </c>
      <c r="AA178" s="12" t="str">
        <f t="shared" si="20"/>
        <v>...</v>
      </c>
      <c r="AB178" s="45" t="str">
        <f t="shared" si="21"/>
        <v>...</v>
      </c>
      <c r="AC178" s="45" t="str">
        <f t="shared" si="22"/>
        <v>...</v>
      </c>
      <c r="AD178" s="12" t="str">
        <f t="shared" si="23"/>
        <v>...</v>
      </c>
      <c r="AE178" s="46" t="str">
        <f t="shared" si="24"/>
        <v>...</v>
      </c>
      <c r="AF178" s="2"/>
      <c r="AG178" s="2"/>
      <c r="AH178" s="2"/>
      <c r="AI178" s="2"/>
      <c r="AJ178" s="2"/>
      <c r="AK178" s="2"/>
    </row>
    <row r="179" ht="24.0" customHeight="1">
      <c r="A179" s="4"/>
      <c r="B179" s="30"/>
      <c r="C179" s="5" t="str">
        <f>IFERROR(__xludf.DUMMYFUNCTION("if(B179=0,""..."", sparkline(query(GOOGLEFINANCE(""BCBA:""&amp;B179,""price"",today()-$AI$36,today()),""select Col2"",0),{""charttype"",$AI$35}))"),"...")</f>
        <v>...</v>
      </c>
      <c r="D179" s="17"/>
      <c r="E179" s="31"/>
      <c r="F179" s="7"/>
      <c r="G179" s="8" t="str">
        <f t="shared" si="1"/>
        <v>...</v>
      </c>
      <c r="H179" s="31"/>
      <c r="I179" s="52"/>
      <c r="J179" s="45" t="str">
        <f t="shared" si="2"/>
        <v>...</v>
      </c>
      <c r="K179" s="47" t="str">
        <f t="array" ref="K179">IF(B179=0,"...",J179/VLOOKUP(D179,{CCL!M:N;CCL!$P:$Q},2,FALSE))</f>
        <v>...</v>
      </c>
      <c r="L179" s="45" t="str">
        <f>IFERROR(__xludf.DUMMYFUNCTION("if(B179=0,""..."",if(E179=""CERRADA"",""Valor Venta"", GOOGLEFINANCE(""BCBA:""&amp;B179)))"),"...")</f>
        <v>...</v>
      </c>
      <c r="M179" s="45" t="str">
        <f>if(B179=0,"...",L179*(1-VLOOKUP(A179,Config!$B$3:$C$22,2,FALSE)))</f>
        <v>...</v>
      </c>
      <c r="N179" s="45" t="str">
        <f t="shared" si="3"/>
        <v>...</v>
      </c>
      <c r="O179" s="12" t="str">
        <f>IFERROR(__xludf.DUMMYFUNCTION("if(B179=0,""..."",GOOGLEFINANCE(B179,""changepct"")/100)"),"...")</f>
        <v>...</v>
      </c>
      <c r="P179" s="10" t="str">
        <f>IFERROR(__xludf.DUMMYFUNCTION("if(B179=0,""..."",GOOGLEFINANCE(B179,""change"")*H179)"),"...")</f>
        <v>...</v>
      </c>
      <c r="Q179" s="12" t="str">
        <f t="shared" si="4"/>
        <v>...</v>
      </c>
      <c r="R179" s="47" t="str">
        <f t="shared" si="5"/>
        <v>...</v>
      </c>
      <c r="S179" s="12" t="str">
        <f t="array" ref="S179">IF(B179=0,"...",(N179/IF(E179="ABIERTA",CCL!$E$2,VLOOKUP(F179,{CCL!M:N;CCL!$P:$Q},2,FALSE))/(J179/VLOOKUP(D179,{CCL!M:N;CCL!$P:$Q},2,FALSE))-1))</f>
        <v>...</v>
      </c>
      <c r="T179" s="47" t="str">
        <f>IF(B179=0,"...",N179/VLOOKUP(IF(E179="ABIERTA",TODAY(),F179),CCL!$A$12:$B$773,2,FALSE)-J179/VLOOKUP(D179,CCL!$A$12:$B235,2,FALSE))</f>
        <v>...</v>
      </c>
      <c r="U179" s="2"/>
      <c r="V179" s="10"/>
      <c r="W179" s="59" t="str">
        <f t="shared" si="16"/>
        <v>...</v>
      </c>
      <c r="X179" s="12" t="str">
        <f t="shared" si="17"/>
        <v/>
      </c>
      <c r="Y179" s="45" t="str">
        <f t="shared" si="18"/>
        <v>...</v>
      </c>
      <c r="Z179" s="45" t="str">
        <f t="shared" si="19"/>
        <v>...</v>
      </c>
      <c r="AA179" s="12" t="str">
        <f t="shared" si="20"/>
        <v>...</v>
      </c>
      <c r="AB179" s="45" t="str">
        <f t="shared" si="21"/>
        <v>...</v>
      </c>
      <c r="AC179" s="45" t="str">
        <f t="shared" si="22"/>
        <v>...</v>
      </c>
      <c r="AD179" s="12" t="str">
        <f t="shared" si="23"/>
        <v>...</v>
      </c>
      <c r="AE179" s="46" t="str">
        <f t="shared" si="24"/>
        <v>...</v>
      </c>
      <c r="AF179" s="2"/>
      <c r="AG179" s="2"/>
      <c r="AH179" s="2"/>
      <c r="AI179" s="2"/>
      <c r="AJ179" s="2"/>
      <c r="AK179" s="2"/>
    </row>
    <row r="180" ht="24.0" customHeight="1">
      <c r="A180" s="4"/>
      <c r="B180" s="30"/>
      <c r="C180" s="5" t="str">
        <f>IFERROR(__xludf.DUMMYFUNCTION("if(B180=0,""..."", sparkline(query(GOOGLEFINANCE(""BCBA:""&amp;B180,""price"",today()-$AI$36,today()),""select Col2"",0),{""charttype"",$AI$35}))"),"...")</f>
        <v>...</v>
      </c>
      <c r="D180" s="17"/>
      <c r="E180" s="31"/>
      <c r="F180" s="7"/>
      <c r="G180" s="8" t="str">
        <f t="shared" si="1"/>
        <v>...</v>
      </c>
      <c r="H180" s="31"/>
      <c r="I180" s="52"/>
      <c r="J180" s="45" t="str">
        <f t="shared" si="2"/>
        <v>...</v>
      </c>
      <c r="K180" s="47" t="str">
        <f t="array" ref="K180">IF(B180=0,"...",J180/VLOOKUP(D180,{CCL!M:N;CCL!$P:$Q},2,FALSE))</f>
        <v>...</v>
      </c>
      <c r="L180" s="45" t="str">
        <f>IFERROR(__xludf.DUMMYFUNCTION("if(B180=0,""..."",if(E180=""CERRADA"",""Valor Venta"", GOOGLEFINANCE(""BCBA:""&amp;B180)))"),"...")</f>
        <v>...</v>
      </c>
      <c r="M180" s="45" t="str">
        <f>if(B180=0,"...",L180*(1-VLOOKUP(A180,Config!$B$3:$C$22,2,FALSE)))</f>
        <v>...</v>
      </c>
      <c r="N180" s="45" t="str">
        <f t="shared" si="3"/>
        <v>...</v>
      </c>
      <c r="O180" s="12" t="str">
        <f>IFERROR(__xludf.DUMMYFUNCTION("if(B180=0,""..."",GOOGLEFINANCE(B180,""changepct"")/100)"),"...")</f>
        <v>...</v>
      </c>
      <c r="P180" s="10" t="str">
        <f>IFERROR(__xludf.DUMMYFUNCTION("if(B180=0,""..."",GOOGLEFINANCE(B180,""change"")*H180)"),"...")</f>
        <v>...</v>
      </c>
      <c r="Q180" s="12" t="str">
        <f t="shared" si="4"/>
        <v>...</v>
      </c>
      <c r="R180" s="47" t="str">
        <f t="shared" si="5"/>
        <v>...</v>
      </c>
      <c r="S180" s="12" t="str">
        <f t="array" ref="S180">IF(B180=0,"...",(N180/IF(E180="ABIERTA",CCL!$E$2,VLOOKUP(F180,{CCL!M:N;CCL!$P:$Q},2,FALSE))/(J180/VLOOKUP(D180,{CCL!M:N;CCL!$P:$Q},2,FALSE))-1))</f>
        <v>...</v>
      </c>
      <c r="T180" s="47" t="str">
        <f>IF(B180=0,"...",N180/VLOOKUP(IF(E180="ABIERTA",TODAY(),F180),CCL!$A$12:$B$773,2,FALSE)-J180/VLOOKUP(D180,CCL!$A$12:$B235,2,FALSE))</f>
        <v>...</v>
      </c>
      <c r="U180" s="2"/>
      <c r="V180" s="10"/>
      <c r="W180" s="59" t="str">
        <f t="shared" si="16"/>
        <v>...</v>
      </c>
      <c r="X180" s="12" t="str">
        <f t="shared" si="17"/>
        <v/>
      </c>
      <c r="Y180" s="45" t="str">
        <f t="shared" si="18"/>
        <v>...</v>
      </c>
      <c r="Z180" s="45" t="str">
        <f t="shared" si="19"/>
        <v>...</v>
      </c>
      <c r="AA180" s="12" t="str">
        <f t="shared" si="20"/>
        <v>...</v>
      </c>
      <c r="AB180" s="45" t="str">
        <f t="shared" si="21"/>
        <v>...</v>
      </c>
      <c r="AC180" s="45" t="str">
        <f t="shared" si="22"/>
        <v>...</v>
      </c>
      <c r="AD180" s="12" t="str">
        <f t="shared" si="23"/>
        <v>...</v>
      </c>
      <c r="AE180" s="46" t="str">
        <f t="shared" si="24"/>
        <v>...</v>
      </c>
      <c r="AF180" s="2"/>
      <c r="AG180" s="2"/>
      <c r="AH180" s="2"/>
      <c r="AI180" s="2"/>
      <c r="AJ180" s="2"/>
      <c r="AK180" s="2"/>
    </row>
    <row r="181" ht="24.0" customHeight="1">
      <c r="A181" s="4"/>
      <c r="B181" s="30"/>
      <c r="C181" s="5" t="str">
        <f>IFERROR(__xludf.DUMMYFUNCTION("if(B181=0,""..."", sparkline(query(GOOGLEFINANCE(""BCBA:""&amp;B181,""price"",today()-$AI$36,today()),""select Col2"",0),{""charttype"",$AI$35}))"),"...")</f>
        <v>...</v>
      </c>
      <c r="D181" s="17"/>
      <c r="E181" s="31"/>
      <c r="F181" s="7"/>
      <c r="G181" s="8" t="str">
        <f t="shared" si="1"/>
        <v>...</v>
      </c>
      <c r="H181" s="31"/>
      <c r="I181" s="52"/>
      <c r="J181" s="45" t="str">
        <f t="shared" si="2"/>
        <v>...</v>
      </c>
      <c r="K181" s="47" t="str">
        <f t="array" ref="K181">IF(B181=0,"...",J181/VLOOKUP(D181,{CCL!M:N;CCL!$P:$Q},2,FALSE))</f>
        <v>...</v>
      </c>
      <c r="L181" s="45" t="str">
        <f>IFERROR(__xludf.DUMMYFUNCTION("if(B181=0,""..."",if(E181=""CERRADA"",""Valor Venta"", GOOGLEFINANCE(""BCBA:""&amp;B181)))"),"...")</f>
        <v>...</v>
      </c>
      <c r="M181" s="45" t="str">
        <f>if(B181=0,"...",L181*(1-VLOOKUP(A181,Config!$B$3:$C$22,2,FALSE)))</f>
        <v>...</v>
      </c>
      <c r="N181" s="45" t="str">
        <f t="shared" si="3"/>
        <v>...</v>
      </c>
      <c r="O181" s="12" t="str">
        <f>IFERROR(__xludf.DUMMYFUNCTION("if(B181=0,""..."",GOOGLEFINANCE(B181,""changepct"")/100)"),"...")</f>
        <v>...</v>
      </c>
      <c r="P181" s="10" t="str">
        <f>IFERROR(__xludf.DUMMYFUNCTION("if(B181=0,""..."",GOOGLEFINANCE(B181,""change"")*H181)"),"...")</f>
        <v>...</v>
      </c>
      <c r="Q181" s="12" t="str">
        <f t="shared" si="4"/>
        <v>...</v>
      </c>
      <c r="R181" s="47" t="str">
        <f t="shared" si="5"/>
        <v>...</v>
      </c>
      <c r="S181" s="12" t="str">
        <f t="array" ref="S181">IF(B181=0,"...",(N181/IF(E181="ABIERTA",CCL!$E$2,VLOOKUP(F181,{CCL!M:N;CCL!$P:$Q},2,FALSE))/(J181/VLOOKUP(D181,{CCL!M:N;CCL!$P:$Q},2,FALSE))-1))</f>
        <v>...</v>
      </c>
      <c r="T181" s="47" t="str">
        <f>IF(B181=0,"...",N181/VLOOKUP(IF(E181="ABIERTA",TODAY(),F181),CCL!$A$12:$B$773,2,FALSE)-J181/VLOOKUP(D181,CCL!$A$12:$B235,2,FALSE))</f>
        <v>...</v>
      </c>
      <c r="U181" s="2"/>
      <c r="V181" s="10"/>
      <c r="W181" s="59" t="str">
        <f t="shared" si="16"/>
        <v>...</v>
      </c>
      <c r="X181" s="12" t="str">
        <f t="shared" si="17"/>
        <v/>
      </c>
      <c r="Y181" s="45" t="str">
        <f t="shared" si="18"/>
        <v>...</v>
      </c>
      <c r="Z181" s="45" t="str">
        <f t="shared" si="19"/>
        <v>...</v>
      </c>
      <c r="AA181" s="12" t="str">
        <f t="shared" si="20"/>
        <v>...</v>
      </c>
      <c r="AB181" s="45" t="str">
        <f t="shared" si="21"/>
        <v>...</v>
      </c>
      <c r="AC181" s="45" t="str">
        <f t="shared" si="22"/>
        <v>...</v>
      </c>
      <c r="AD181" s="12" t="str">
        <f t="shared" si="23"/>
        <v>...</v>
      </c>
      <c r="AE181" s="46" t="str">
        <f t="shared" si="24"/>
        <v>...</v>
      </c>
      <c r="AF181" s="2"/>
      <c r="AG181" s="2"/>
      <c r="AH181" s="2"/>
      <c r="AI181" s="2"/>
      <c r="AJ181" s="2"/>
      <c r="AK181" s="2"/>
    </row>
    <row r="182" ht="24.0" customHeight="1">
      <c r="A182" s="4"/>
      <c r="B182" s="30"/>
      <c r="C182" s="5" t="str">
        <f>IFERROR(__xludf.DUMMYFUNCTION("if(B182=0,""..."", sparkline(query(GOOGLEFINANCE(""BCBA:""&amp;B182,""price"",today()-$AI$36,today()),""select Col2"",0),{""charttype"",$AI$35}))"),"...")</f>
        <v>...</v>
      </c>
      <c r="D182" s="17"/>
      <c r="E182" s="31"/>
      <c r="F182" s="7"/>
      <c r="G182" s="8" t="str">
        <f t="shared" si="1"/>
        <v>...</v>
      </c>
      <c r="H182" s="31"/>
      <c r="I182" s="52"/>
      <c r="J182" s="45" t="str">
        <f t="shared" si="2"/>
        <v>...</v>
      </c>
      <c r="K182" s="47" t="str">
        <f t="array" ref="K182">IF(B182=0,"...",J182/VLOOKUP(D182,{CCL!M:N;CCL!$P:$Q},2,FALSE))</f>
        <v>...</v>
      </c>
      <c r="L182" s="45" t="str">
        <f>IFERROR(__xludf.DUMMYFUNCTION("if(B182=0,""..."",if(E182=""CERRADA"",""Valor Venta"", GOOGLEFINANCE(""BCBA:""&amp;B182)))"),"...")</f>
        <v>...</v>
      </c>
      <c r="M182" s="45" t="str">
        <f>if(B182=0,"...",L182*(1-VLOOKUP(A182,Config!$B$3:$C$22,2,FALSE)))</f>
        <v>...</v>
      </c>
      <c r="N182" s="45" t="str">
        <f t="shared" si="3"/>
        <v>...</v>
      </c>
      <c r="O182" s="12" t="str">
        <f>IFERROR(__xludf.DUMMYFUNCTION("if(B182=0,""..."",GOOGLEFINANCE(B182,""changepct"")/100)"),"...")</f>
        <v>...</v>
      </c>
      <c r="P182" s="10" t="str">
        <f>IFERROR(__xludf.DUMMYFUNCTION("if(B182=0,""..."",GOOGLEFINANCE(B182,""change"")*H182)"),"...")</f>
        <v>...</v>
      </c>
      <c r="Q182" s="12" t="str">
        <f t="shared" si="4"/>
        <v>...</v>
      </c>
      <c r="R182" s="47" t="str">
        <f t="shared" si="5"/>
        <v>...</v>
      </c>
      <c r="S182" s="12" t="str">
        <f t="array" ref="S182">IF(B182=0,"...",(N182/IF(E182="ABIERTA",CCL!$E$2,VLOOKUP(F182,{CCL!M:N;CCL!$P:$Q},2,FALSE))/(J182/VLOOKUP(D182,{CCL!M:N;CCL!$P:$Q},2,FALSE))-1))</f>
        <v>...</v>
      </c>
      <c r="T182" s="47" t="str">
        <f>IF(B182=0,"...",N182/VLOOKUP(IF(E182="ABIERTA",TODAY(),F182),CCL!$A$12:$B$773,2,FALSE)-J182/VLOOKUP(D182,CCL!$A$12:$B235,2,FALSE))</f>
        <v>...</v>
      </c>
      <c r="U182" s="2"/>
      <c r="V182" s="10"/>
      <c r="W182" s="59" t="str">
        <f t="shared" si="16"/>
        <v>...</v>
      </c>
      <c r="X182" s="12" t="str">
        <f t="shared" si="17"/>
        <v/>
      </c>
      <c r="Y182" s="45" t="str">
        <f t="shared" si="18"/>
        <v>...</v>
      </c>
      <c r="Z182" s="45" t="str">
        <f t="shared" si="19"/>
        <v>...</v>
      </c>
      <c r="AA182" s="12" t="str">
        <f t="shared" si="20"/>
        <v>...</v>
      </c>
      <c r="AB182" s="45" t="str">
        <f t="shared" si="21"/>
        <v>...</v>
      </c>
      <c r="AC182" s="45" t="str">
        <f t="shared" si="22"/>
        <v>...</v>
      </c>
      <c r="AD182" s="12" t="str">
        <f t="shared" si="23"/>
        <v>...</v>
      </c>
      <c r="AE182" s="46" t="str">
        <f t="shared" si="24"/>
        <v>...</v>
      </c>
      <c r="AF182" s="2"/>
      <c r="AG182" s="2"/>
      <c r="AH182" s="2"/>
      <c r="AI182" s="2"/>
      <c r="AJ182" s="2"/>
      <c r="AK182" s="2"/>
    </row>
    <row r="183" ht="24.0" customHeight="1">
      <c r="A183" s="4"/>
      <c r="B183" s="30"/>
      <c r="C183" s="5" t="str">
        <f>IFERROR(__xludf.DUMMYFUNCTION("if(B183=0,""..."", sparkline(query(GOOGLEFINANCE(""BCBA:""&amp;B183,""price"",today()-$AI$36,today()),""select Col2"",0),{""charttype"",$AI$35}))"),"...")</f>
        <v>...</v>
      </c>
      <c r="D183" s="17"/>
      <c r="E183" s="31"/>
      <c r="F183" s="7"/>
      <c r="G183" s="8" t="str">
        <f t="shared" si="1"/>
        <v>...</v>
      </c>
      <c r="H183" s="31"/>
      <c r="I183" s="52"/>
      <c r="J183" s="45" t="str">
        <f t="shared" si="2"/>
        <v>...</v>
      </c>
      <c r="K183" s="47" t="str">
        <f t="array" ref="K183">IF(B183=0,"...",J183/VLOOKUP(D183,{CCL!M:N;CCL!$P:$Q},2,FALSE))</f>
        <v>...</v>
      </c>
      <c r="L183" s="45" t="str">
        <f>IFERROR(__xludf.DUMMYFUNCTION("if(B183=0,""..."",if(E183=""CERRADA"",""Valor Venta"", GOOGLEFINANCE(""BCBA:""&amp;B183)))"),"...")</f>
        <v>...</v>
      </c>
      <c r="M183" s="45" t="str">
        <f>if(B183=0,"...",L183*(1-VLOOKUP(A183,Config!$B$3:$C$22,2,FALSE)))</f>
        <v>...</v>
      </c>
      <c r="N183" s="45" t="str">
        <f t="shared" si="3"/>
        <v>...</v>
      </c>
      <c r="O183" s="12" t="str">
        <f>IFERROR(__xludf.DUMMYFUNCTION("if(B183=0,""..."",GOOGLEFINANCE(B183,""changepct"")/100)"),"...")</f>
        <v>...</v>
      </c>
      <c r="P183" s="10" t="str">
        <f>IFERROR(__xludf.DUMMYFUNCTION("if(B183=0,""..."",GOOGLEFINANCE(B183,""change"")*H183)"),"...")</f>
        <v>...</v>
      </c>
      <c r="Q183" s="12" t="str">
        <f t="shared" si="4"/>
        <v>...</v>
      </c>
      <c r="R183" s="47" t="str">
        <f t="shared" si="5"/>
        <v>...</v>
      </c>
      <c r="S183" s="12" t="str">
        <f t="array" ref="S183">IF(B183=0,"...",(N183/IF(E183="ABIERTA",CCL!$E$2,VLOOKUP(F183,{CCL!M:N;CCL!$P:$Q},2,FALSE))/(J183/VLOOKUP(D183,{CCL!M:N;CCL!$P:$Q},2,FALSE))-1))</f>
        <v>...</v>
      </c>
      <c r="T183" s="47" t="str">
        <f>IF(B183=0,"...",N183/VLOOKUP(IF(E183="ABIERTA",TODAY(),F183),CCL!$A$12:$B$773,2,FALSE)-J183/VLOOKUP(D183,CCL!$A$12:$B235,2,FALSE))</f>
        <v>...</v>
      </c>
      <c r="U183" s="2"/>
      <c r="V183" s="10"/>
      <c r="W183" s="59" t="str">
        <f t="shared" si="16"/>
        <v>...</v>
      </c>
      <c r="X183" s="12" t="str">
        <f t="shared" si="17"/>
        <v/>
      </c>
      <c r="Y183" s="45" t="str">
        <f t="shared" si="18"/>
        <v>...</v>
      </c>
      <c r="Z183" s="45" t="str">
        <f t="shared" si="19"/>
        <v>...</v>
      </c>
      <c r="AA183" s="12" t="str">
        <f t="shared" si="20"/>
        <v>...</v>
      </c>
      <c r="AB183" s="45" t="str">
        <f t="shared" si="21"/>
        <v>...</v>
      </c>
      <c r="AC183" s="45" t="str">
        <f t="shared" si="22"/>
        <v>...</v>
      </c>
      <c r="AD183" s="12" t="str">
        <f t="shared" si="23"/>
        <v>...</v>
      </c>
      <c r="AE183" s="46" t="str">
        <f t="shared" si="24"/>
        <v>...</v>
      </c>
      <c r="AF183" s="2"/>
      <c r="AG183" s="2"/>
      <c r="AH183" s="2"/>
      <c r="AI183" s="2"/>
      <c r="AJ183" s="2"/>
      <c r="AK183" s="2"/>
    </row>
    <row r="184" ht="24.0" customHeight="1">
      <c r="A184" s="4"/>
      <c r="B184" s="30"/>
      <c r="C184" s="5" t="str">
        <f>IFERROR(__xludf.DUMMYFUNCTION("if(B184=0,""..."", sparkline(query(GOOGLEFINANCE(""BCBA:""&amp;B184,""price"",today()-$AI$36,today()),""select Col2"",0),{""charttype"",$AI$35}))"),"...")</f>
        <v>...</v>
      </c>
      <c r="D184" s="17"/>
      <c r="E184" s="31"/>
      <c r="F184" s="7"/>
      <c r="G184" s="8" t="str">
        <f t="shared" si="1"/>
        <v>...</v>
      </c>
      <c r="H184" s="31"/>
      <c r="I184" s="52"/>
      <c r="J184" s="45" t="str">
        <f t="shared" si="2"/>
        <v>...</v>
      </c>
      <c r="K184" s="47" t="str">
        <f t="array" ref="K184">IF(B184=0,"...",J184/VLOOKUP(D184,{CCL!M:N;CCL!$P:$Q},2,FALSE))</f>
        <v>...</v>
      </c>
      <c r="L184" s="45" t="str">
        <f>IFERROR(__xludf.DUMMYFUNCTION("if(B184=0,""..."",if(E184=""CERRADA"",""Valor Venta"", GOOGLEFINANCE(""BCBA:""&amp;B184)))"),"...")</f>
        <v>...</v>
      </c>
      <c r="M184" s="45" t="str">
        <f>if(B184=0,"...",L184*(1-VLOOKUP(A184,Config!$B$3:$C$22,2,FALSE)))</f>
        <v>...</v>
      </c>
      <c r="N184" s="45" t="str">
        <f t="shared" si="3"/>
        <v>...</v>
      </c>
      <c r="O184" s="12" t="str">
        <f>IFERROR(__xludf.DUMMYFUNCTION("if(B184=0,""..."",GOOGLEFINANCE(B184,""changepct"")/100)"),"...")</f>
        <v>...</v>
      </c>
      <c r="P184" s="10" t="str">
        <f>IFERROR(__xludf.DUMMYFUNCTION("if(B184=0,""..."",GOOGLEFINANCE(B184,""change"")*H184)"),"...")</f>
        <v>...</v>
      </c>
      <c r="Q184" s="12" t="str">
        <f t="shared" si="4"/>
        <v>...</v>
      </c>
      <c r="R184" s="47" t="str">
        <f t="shared" si="5"/>
        <v>...</v>
      </c>
      <c r="S184" s="12" t="str">
        <f t="array" ref="S184">IF(B184=0,"...",(N184/IF(E184="ABIERTA",CCL!$E$2,VLOOKUP(F184,{CCL!M:N;CCL!$P:$Q},2,FALSE))/(J184/VLOOKUP(D184,{CCL!M:N;CCL!$P:$Q},2,FALSE))-1))</f>
        <v>...</v>
      </c>
      <c r="T184" s="47" t="str">
        <f>IF(B184=0,"...",N184/VLOOKUP(IF(E184="ABIERTA",TODAY(),F184),CCL!$A$12:$B$773,2,FALSE)-J184/VLOOKUP(D184,CCL!$A$12:$B235,2,FALSE))</f>
        <v>...</v>
      </c>
      <c r="U184" s="2"/>
      <c r="V184" s="10"/>
      <c r="W184" s="59" t="str">
        <f t="shared" si="16"/>
        <v>...</v>
      </c>
      <c r="X184" s="12" t="str">
        <f t="shared" si="17"/>
        <v/>
      </c>
      <c r="Y184" s="45" t="str">
        <f t="shared" si="18"/>
        <v>...</v>
      </c>
      <c r="Z184" s="45" t="str">
        <f t="shared" si="19"/>
        <v>...</v>
      </c>
      <c r="AA184" s="12" t="str">
        <f t="shared" si="20"/>
        <v>...</v>
      </c>
      <c r="AB184" s="45" t="str">
        <f t="shared" si="21"/>
        <v>...</v>
      </c>
      <c r="AC184" s="45" t="str">
        <f t="shared" si="22"/>
        <v>...</v>
      </c>
      <c r="AD184" s="12" t="str">
        <f t="shared" si="23"/>
        <v>...</v>
      </c>
      <c r="AE184" s="46" t="str">
        <f t="shared" si="24"/>
        <v>...</v>
      </c>
      <c r="AF184" s="2"/>
      <c r="AG184" s="2"/>
      <c r="AH184" s="2"/>
      <c r="AI184" s="2"/>
      <c r="AJ184" s="2"/>
      <c r="AK184" s="2"/>
    </row>
    <row r="185" ht="24.0" customHeight="1">
      <c r="A185" s="4"/>
      <c r="B185" s="30"/>
      <c r="C185" s="5" t="str">
        <f>IFERROR(__xludf.DUMMYFUNCTION("if(B185=0,""..."", sparkline(query(GOOGLEFINANCE(""BCBA:""&amp;B185,""price"",today()-$AI$36,today()),""select Col2"",0),{""charttype"",$AI$35}))"),"...")</f>
        <v>...</v>
      </c>
      <c r="D185" s="17"/>
      <c r="E185" s="31"/>
      <c r="F185" s="7"/>
      <c r="G185" s="8" t="str">
        <f t="shared" si="1"/>
        <v>...</v>
      </c>
      <c r="H185" s="31"/>
      <c r="I185" s="52"/>
      <c r="J185" s="45" t="str">
        <f t="shared" si="2"/>
        <v>...</v>
      </c>
      <c r="K185" s="47" t="str">
        <f t="array" ref="K185">IF(B185=0,"...",J185/VLOOKUP(D185,{CCL!M:N;CCL!$P:$Q},2,FALSE))</f>
        <v>...</v>
      </c>
      <c r="L185" s="45" t="str">
        <f>IFERROR(__xludf.DUMMYFUNCTION("if(B185=0,""..."",if(E185=""CERRADA"",""Valor Venta"", GOOGLEFINANCE(""BCBA:""&amp;B185)))"),"...")</f>
        <v>...</v>
      </c>
      <c r="M185" s="45" t="str">
        <f>if(B185=0,"...",L185*(1-VLOOKUP(A185,Config!$B$3:$C$22,2,FALSE)))</f>
        <v>...</v>
      </c>
      <c r="N185" s="45" t="str">
        <f t="shared" si="3"/>
        <v>...</v>
      </c>
      <c r="O185" s="12" t="str">
        <f>IFERROR(__xludf.DUMMYFUNCTION("if(B185=0,""..."",GOOGLEFINANCE(B185,""changepct"")/100)"),"...")</f>
        <v>...</v>
      </c>
      <c r="P185" s="10" t="str">
        <f>IFERROR(__xludf.DUMMYFUNCTION("if(B185=0,""..."",GOOGLEFINANCE(B185,""change"")*H185)"),"...")</f>
        <v>...</v>
      </c>
      <c r="Q185" s="12" t="str">
        <f t="shared" si="4"/>
        <v>...</v>
      </c>
      <c r="R185" s="47" t="str">
        <f t="shared" si="5"/>
        <v>...</v>
      </c>
      <c r="S185" s="12" t="str">
        <f t="array" ref="S185">IF(B185=0,"...",(N185/IF(E185="ABIERTA",CCL!$E$2,VLOOKUP(F185,{CCL!M:N;CCL!$P:$Q},2,FALSE))/(J185/VLOOKUP(D185,{CCL!M:N;CCL!$P:$Q},2,FALSE))-1))</f>
        <v>...</v>
      </c>
      <c r="T185" s="47" t="str">
        <f>IF(B185=0,"...",N185/VLOOKUP(IF(E185="ABIERTA",TODAY(),F185),CCL!$A$12:$B$773,2,FALSE)-J185/VLOOKUP(D185,CCL!$A$12:$B235,2,FALSE))</f>
        <v>...</v>
      </c>
      <c r="U185" s="2"/>
      <c r="V185" s="10"/>
      <c r="W185" s="59" t="str">
        <f t="shared" si="16"/>
        <v>...</v>
      </c>
      <c r="X185" s="12" t="str">
        <f t="shared" si="17"/>
        <v/>
      </c>
      <c r="Y185" s="45" t="str">
        <f t="shared" si="18"/>
        <v>...</v>
      </c>
      <c r="Z185" s="45" t="str">
        <f t="shared" si="19"/>
        <v>...</v>
      </c>
      <c r="AA185" s="12" t="str">
        <f t="shared" si="20"/>
        <v>...</v>
      </c>
      <c r="AB185" s="45" t="str">
        <f t="shared" si="21"/>
        <v>...</v>
      </c>
      <c r="AC185" s="45" t="str">
        <f t="shared" si="22"/>
        <v>...</v>
      </c>
      <c r="AD185" s="12" t="str">
        <f t="shared" si="23"/>
        <v>...</v>
      </c>
      <c r="AE185" s="46" t="str">
        <f t="shared" si="24"/>
        <v>...</v>
      </c>
      <c r="AF185" s="2"/>
      <c r="AG185" s="2"/>
      <c r="AH185" s="2"/>
      <c r="AI185" s="2"/>
      <c r="AJ185" s="2"/>
      <c r="AK185" s="2"/>
    </row>
    <row r="186" ht="24.0" customHeight="1">
      <c r="A186" s="4"/>
      <c r="B186" s="30"/>
      <c r="C186" s="5" t="str">
        <f>IFERROR(__xludf.DUMMYFUNCTION("if(B186=0,""..."", sparkline(query(GOOGLEFINANCE(""BCBA:""&amp;B186,""price"",today()-$AI$36,today()),""select Col2"",0),{""charttype"",$AI$35}))"),"...")</f>
        <v>...</v>
      </c>
      <c r="D186" s="17"/>
      <c r="E186" s="31"/>
      <c r="F186" s="7"/>
      <c r="G186" s="8" t="str">
        <f t="shared" si="1"/>
        <v>...</v>
      </c>
      <c r="H186" s="31"/>
      <c r="I186" s="52"/>
      <c r="J186" s="45" t="str">
        <f t="shared" si="2"/>
        <v>...</v>
      </c>
      <c r="K186" s="47" t="str">
        <f t="array" ref="K186">IF(B186=0,"...",J186/VLOOKUP(D186,{CCL!M:N;CCL!$P:$Q},2,FALSE))</f>
        <v>...</v>
      </c>
      <c r="L186" s="45" t="str">
        <f>IFERROR(__xludf.DUMMYFUNCTION("if(B186=0,""..."",if(E186=""CERRADA"",""Valor Venta"", GOOGLEFINANCE(""BCBA:""&amp;B186)))"),"...")</f>
        <v>...</v>
      </c>
      <c r="M186" s="45" t="str">
        <f>if(B186=0,"...",L186*(1-VLOOKUP(A186,Config!$B$3:$C$22,2,FALSE)))</f>
        <v>...</v>
      </c>
      <c r="N186" s="45" t="str">
        <f t="shared" si="3"/>
        <v>...</v>
      </c>
      <c r="O186" s="12" t="str">
        <f>IFERROR(__xludf.DUMMYFUNCTION("if(B186=0,""..."",GOOGLEFINANCE(B186,""changepct"")/100)"),"...")</f>
        <v>...</v>
      </c>
      <c r="P186" s="10" t="str">
        <f>IFERROR(__xludf.DUMMYFUNCTION("if(B186=0,""..."",GOOGLEFINANCE(B186,""change"")*H186)"),"...")</f>
        <v>...</v>
      </c>
      <c r="Q186" s="12" t="str">
        <f t="shared" si="4"/>
        <v>...</v>
      </c>
      <c r="R186" s="47" t="str">
        <f t="shared" si="5"/>
        <v>...</v>
      </c>
      <c r="S186" s="12" t="str">
        <f t="array" ref="S186">IF(B186=0,"...",(N186/IF(E186="ABIERTA",CCL!$E$2,VLOOKUP(F186,{CCL!M:N;CCL!$P:$Q},2,FALSE))/(J186/VLOOKUP(D186,{CCL!M:N;CCL!$P:$Q},2,FALSE))-1))</f>
        <v>...</v>
      </c>
      <c r="T186" s="47" t="str">
        <f>IF(B186=0,"...",N186/VLOOKUP(IF(E186="ABIERTA",TODAY(),F186),CCL!$A$12:$B$773,2,FALSE)-J186/VLOOKUP(D186,CCL!$A$12:$B235,2,FALSE))</f>
        <v>...</v>
      </c>
      <c r="U186" s="2"/>
      <c r="V186" s="10"/>
      <c r="W186" s="59" t="str">
        <f t="shared" si="16"/>
        <v>...</v>
      </c>
      <c r="X186" s="12" t="str">
        <f t="shared" si="17"/>
        <v/>
      </c>
      <c r="Y186" s="45" t="str">
        <f t="shared" si="18"/>
        <v>...</v>
      </c>
      <c r="Z186" s="45" t="str">
        <f t="shared" si="19"/>
        <v>...</v>
      </c>
      <c r="AA186" s="12" t="str">
        <f t="shared" si="20"/>
        <v>...</v>
      </c>
      <c r="AB186" s="45" t="str">
        <f t="shared" si="21"/>
        <v>...</v>
      </c>
      <c r="AC186" s="45" t="str">
        <f t="shared" si="22"/>
        <v>...</v>
      </c>
      <c r="AD186" s="12" t="str">
        <f t="shared" si="23"/>
        <v>...</v>
      </c>
      <c r="AE186" s="46" t="str">
        <f t="shared" si="24"/>
        <v>...</v>
      </c>
      <c r="AF186" s="2"/>
      <c r="AG186" s="2"/>
      <c r="AH186" s="2"/>
      <c r="AI186" s="2"/>
      <c r="AJ186" s="2"/>
      <c r="AK186" s="2"/>
    </row>
    <row r="187" ht="24.0" customHeight="1">
      <c r="A187" s="4"/>
      <c r="B187" s="30"/>
      <c r="C187" s="5" t="str">
        <f>IFERROR(__xludf.DUMMYFUNCTION("if(B187=0,""..."", sparkline(query(GOOGLEFINANCE(""BCBA:""&amp;B187,""price"",today()-$AI$36,today()),""select Col2"",0),{""charttype"",$AI$35}))"),"...")</f>
        <v>...</v>
      </c>
      <c r="D187" s="17"/>
      <c r="E187" s="31"/>
      <c r="F187" s="7"/>
      <c r="G187" s="8" t="str">
        <f t="shared" si="1"/>
        <v>...</v>
      </c>
      <c r="H187" s="31"/>
      <c r="I187" s="52"/>
      <c r="J187" s="45" t="str">
        <f t="shared" si="2"/>
        <v>...</v>
      </c>
      <c r="K187" s="47" t="str">
        <f t="array" ref="K187">IF(B187=0,"...",J187/VLOOKUP(D187,{CCL!M:N;CCL!$P:$Q},2,FALSE))</f>
        <v>...</v>
      </c>
      <c r="L187" s="45" t="str">
        <f>IFERROR(__xludf.DUMMYFUNCTION("if(B187=0,""..."",if(E187=""CERRADA"",""Valor Venta"", GOOGLEFINANCE(""BCBA:""&amp;B187)))"),"...")</f>
        <v>...</v>
      </c>
      <c r="M187" s="45" t="str">
        <f>if(B187=0,"...",L187*(1-VLOOKUP(A187,Config!$B$3:$C$22,2,FALSE)))</f>
        <v>...</v>
      </c>
      <c r="N187" s="45" t="str">
        <f t="shared" si="3"/>
        <v>...</v>
      </c>
      <c r="O187" s="12" t="str">
        <f>IFERROR(__xludf.DUMMYFUNCTION("if(B187=0,""..."",GOOGLEFINANCE(B187,""changepct"")/100)"),"...")</f>
        <v>...</v>
      </c>
      <c r="P187" s="10" t="str">
        <f>IFERROR(__xludf.DUMMYFUNCTION("if(B187=0,""..."",GOOGLEFINANCE(B187,""change"")*H187)"),"...")</f>
        <v>...</v>
      </c>
      <c r="Q187" s="12" t="str">
        <f t="shared" si="4"/>
        <v>...</v>
      </c>
      <c r="R187" s="47" t="str">
        <f t="shared" si="5"/>
        <v>...</v>
      </c>
      <c r="S187" s="12" t="str">
        <f t="array" ref="S187">IF(B187=0,"...",(N187/IF(E187="ABIERTA",CCL!$E$2,VLOOKUP(F187,{CCL!M:N;CCL!$P:$Q},2,FALSE))/(J187/VLOOKUP(D187,{CCL!M:N;CCL!$P:$Q},2,FALSE))-1))</f>
        <v>...</v>
      </c>
      <c r="T187" s="47" t="str">
        <f>IF(B187=0,"...",N187/VLOOKUP(IF(E187="ABIERTA",TODAY(),F187),CCL!$A$12:$B$773,2,FALSE)-J187/VLOOKUP(D187,CCL!$A$12:$B235,2,FALSE))</f>
        <v>...</v>
      </c>
      <c r="U187" s="2"/>
      <c r="V187" s="10"/>
      <c r="W187" s="59" t="str">
        <f t="shared" si="16"/>
        <v>...</v>
      </c>
      <c r="X187" s="12" t="str">
        <f t="shared" si="17"/>
        <v/>
      </c>
      <c r="Y187" s="45" t="str">
        <f t="shared" si="18"/>
        <v>...</v>
      </c>
      <c r="Z187" s="45" t="str">
        <f t="shared" si="19"/>
        <v>...</v>
      </c>
      <c r="AA187" s="12" t="str">
        <f t="shared" si="20"/>
        <v>...</v>
      </c>
      <c r="AB187" s="45" t="str">
        <f t="shared" si="21"/>
        <v>...</v>
      </c>
      <c r="AC187" s="45" t="str">
        <f t="shared" si="22"/>
        <v>...</v>
      </c>
      <c r="AD187" s="12" t="str">
        <f t="shared" si="23"/>
        <v>...</v>
      </c>
      <c r="AE187" s="46" t="str">
        <f t="shared" si="24"/>
        <v>...</v>
      </c>
      <c r="AF187" s="2"/>
      <c r="AG187" s="2"/>
      <c r="AH187" s="2"/>
      <c r="AI187" s="2"/>
      <c r="AJ187" s="2"/>
      <c r="AK187" s="2"/>
    </row>
    <row r="188" ht="24.0" customHeight="1">
      <c r="A188" s="4"/>
      <c r="B188" s="30"/>
      <c r="C188" s="5" t="str">
        <f>IFERROR(__xludf.DUMMYFUNCTION("if(B188=0,""..."", sparkline(query(GOOGLEFINANCE(""BCBA:""&amp;B188,""price"",today()-$AI$36,today()),""select Col2"",0),{""charttype"",$AI$35}))"),"...")</f>
        <v>...</v>
      </c>
      <c r="D188" s="17"/>
      <c r="E188" s="31"/>
      <c r="F188" s="7"/>
      <c r="G188" s="8" t="str">
        <f t="shared" si="1"/>
        <v>...</v>
      </c>
      <c r="H188" s="31"/>
      <c r="I188" s="52"/>
      <c r="J188" s="45" t="str">
        <f t="shared" si="2"/>
        <v>...</v>
      </c>
      <c r="K188" s="47" t="str">
        <f t="array" ref="K188">IF(B188=0,"...",J188/VLOOKUP(D188,{CCL!M:N;CCL!$P:$Q},2,FALSE))</f>
        <v>...</v>
      </c>
      <c r="L188" s="45" t="str">
        <f>IFERROR(__xludf.DUMMYFUNCTION("if(B188=0,""..."",if(E188=""CERRADA"",""Valor Venta"", GOOGLEFINANCE(""BCBA:""&amp;B188)))"),"...")</f>
        <v>...</v>
      </c>
      <c r="M188" s="45" t="str">
        <f>if(B188=0,"...",L188*(1-VLOOKUP(A188,Config!$B$3:$C$22,2,FALSE)))</f>
        <v>...</v>
      </c>
      <c r="N188" s="45" t="str">
        <f t="shared" si="3"/>
        <v>...</v>
      </c>
      <c r="O188" s="12" t="str">
        <f>IFERROR(__xludf.DUMMYFUNCTION("if(B188=0,""..."",GOOGLEFINANCE(B188,""changepct"")/100)"),"...")</f>
        <v>...</v>
      </c>
      <c r="P188" s="10" t="str">
        <f>IFERROR(__xludf.DUMMYFUNCTION("if(B188=0,""..."",GOOGLEFINANCE(B188,""change"")*H188)"),"...")</f>
        <v>...</v>
      </c>
      <c r="Q188" s="12" t="str">
        <f t="shared" si="4"/>
        <v>...</v>
      </c>
      <c r="R188" s="47" t="str">
        <f t="shared" si="5"/>
        <v>...</v>
      </c>
      <c r="S188" s="12" t="str">
        <f t="array" ref="S188">IF(B188=0,"...",(N188/IF(E188="ABIERTA",CCL!$E$2,VLOOKUP(F188,{CCL!M:N;CCL!$P:$Q},2,FALSE))/(J188/VLOOKUP(D188,{CCL!M:N;CCL!$P:$Q},2,FALSE))-1))</f>
        <v>...</v>
      </c>
      <c r="T188" s="47" t="str">
        <f>IF(B188=0,"...",N188/VLOOKUP(IF(E188="ABIERTA",TODAY(),F188),CCL!$A$12:$B$773,2,FALSE)-J188/VLOOKUP(D188,CCL!$A$12:$B235,2,FALSE))</f>
        <v>...</v>
      </c>
      <c r="U188" s="2"/>
      <c r="V188" s="10"/>
      <c r="W188" s="59" t="str">
        <f t="shared" si="16"/>
        <v>...</v>
      </c>
      <c r="X188" s="12" t="str">
        <f t="shared" si="17"/>
        <v/>
      </c>
      <c r="Y188" s="45" t="str">
        <f t="shared" si="18"/>
        <v>...</v>
      </c>
      <c r="Z188" s="45" t="str">
        <f t="shared" si="19"/>
        <v>...</v>
      </c>
      <c r="AA188" s="12" t="str">
        <f t="shared" si="20"/>
        <v>...</v>
      </c>
      <c r="AB188" s="45" t="str">
        <f t="shared" si="21"/>
        <v>...</v>
      </c>
      <c r="AC188" s="45" t="str">
        <f t="shared" si="22"/>
        <v>...</v>
      </c>
      <c r="AD188" s="12" t="str">
        <f t="shared" si="23"/>
        <v>...</v>
      </c>
      <c r="AE188" s="46" t="str">
        <f t="shared" si="24"/>
        <v>...</v>
      </c>
      <c r="AF188" s="2"/>
      <c r="AG188" s="2"/>
      <c r="AH188" s="2"/>
      <c r="AI188" s="2"/>
      <c r="AJ188" s="2"/>
      <c r="AK188" s="2"/>
    </row>
    <row r="189" ht="24.0" customHeight="1">
      <c r="A189" s="4"/>
      <c r="B189" s="30"/>
      <c r="C189" s="5" t="str">
        <f>IFERROR(__xludf.DUMMYFUNCTION("if(B189=0,""..."", sparkline(query(GOOGLEFINANCE(""BCBA:""&amp;B189,""price"",today()-$AI$36,today()),""select Col2"",0),{""charttype"",$AI$35}))"),"...")</f>
        <v>...</v>
      </c>
      <c r="D189" s="17"/>
      <c r="E189" s="31"/>
      <c r="F189" s="7"/>
      <c r="G189" s="8" t="str">
        <f t="shared" si="1"/>
        <v>...</v>
      </c>
      <c r="H189" s="31"/>
      <c r="I189" s="52"/>
      <c r="J189" s="45" t="str">
        <f t="shared" si="2"/>
        <v>...</v>
      </c>
      <c r="K189" s="47" t="str">
        <f t="array" ref="K189">IF(B189=0,"...",J189/VLOOKUP(D189,{CCL!M:N;CCL!$P:$Q},2,FALSE))</f>
        <v>...</v>
      </c>
      <c r="L189" s="45" t="str">
        <f>IFERROR(__xludf.DUMMYFUNCTION("if(B189=0,""..."",if(E189=""CERRADA"",""Valor Venta"", GOOGLEFINANCE(""BCBA:""&amp;B189)))"),"...")</f>
        <v>...</v>
      </c>
      <c r="M189" s="45" t="str">
        <f>if(B189=0,"...",L189*(1-VLOOKUP(A189,Config!$B$3:$C$22,2,FALSE)))</f>
        <v>...</v>
      </c>
      <c r="N189" s="45" t="str">
        <f t="shared" si="3"/>
        <v>...</v>
      </c>
      <c r="O189" s="12" t="str">
        <f>IFERROR(__xludf.DUMMYFUNCTION("if(B189=0,""..."",GOOGLEFINANCE(B189,""changepct"")/100)"),"...")</f>
        <v>...</v>
      </c>
      <c r="P189" s="10" t="str">
        <f>IFERROR(__xludf.DUMMYFUNCTION("if(B189=0,""..."",GOOGLEFINANCE(B189,""change"")*H189)"),"...")</f>
        <v>...</v>
      </c>
      <c r="Q189" s="12" t="str">
        <f t="shared" si="4"/>
        <v>...</v>
      </c>
      <c r="R189" s="47" t="str">
        <f t="shared" si="5"/>
        <v>...</v>
      </c>
      <c r="S189" s="12" t="str">
        <f t="array" ref="S189">IF(B189=0,"...",(N189/IF(E189="ABIERTA",CCL!$E$2,VLOOKUP(F189,{CCL!M:N;CCL!$P:$Q},2,FALSE))/(J189/VLOOKUP(D189,{CCL!M:N;CCL!$P:$Q},2,FALSE))-1))</f>
        <v>...</v>
      </c>
      <c r="T189" s="47" t="str">
        <f>IF(B189=0,"...",N189/VLOOKUP(IF(E189="ABIERTA",TODAY(),F189),CCL!$A$12:$B$773,2,FALSE)-J189/VLOOKUP(D189,CCL!$A$12:$B235,2,FALSE))</f>
        <v>...</v>
      </c>
      <c r="U189" s="2"/>
      <c r="V189" s="10"/>
      <c r="W189" s="59" t="str">
        <f t="shared" si="16"/>
        <v>...</v>
      </c>
      <c r="X189" s="12" t="str">
        <f t="shared" si="17"/>
        <v/>
      </c>
      <c r="Y189" s="45" t="str">
        <f t="shared" si="18"/>
        <v>...</v>
      </c>
      <c r="Z189" s="45" t="str">
        <f t="shared" si="19"/>
        <v>...</v>
      </c>
      <c r="AA189" s="12" t="str">
        <f t="shared" si="20"/>
        <v>...</v>
      </c>
      <c r="AB189" s="45" t="str">
        <f t="shared" si="21"/>
        <v>...</v>
      </c>
      <c r="AC189" s="45" t="str">
        <f t="shared" si="22"/>
        <v>...</v>
      </c>
      <c r="AD189" s="12" t="str">
        <f t="shared" si="23"/>
        <v>...</v>
      </c>
      <c r="AE189" s="46" t="str">
        <f t="shared" si="24"/>
        <v>...</v>
      </c>
      <c r="AF189" s="2"/>
      <c r="AG189" s="2"/>
      <c r="AH189" s="2"/>
      <c r="AI189" s="2"/>
      <c r="AJ189" s="2"/>
      <c r="AK189" s="2"/>
    </row>
    <row r="190" ht="24.0" customHeight="1">
      <c r="A190" s="4"/>
      <c r="B190" s="30"/>
      <c r="C190" s="5" t="str">
        <f>IFERROR(__xludf.DUMMYFUNCTION("if(B190=0,""..."", sparkline(query(GOOGLEFINANCE(""BCBA:""&amp;B190,""price"",today()-$AI$36,today()),""select Col2"",0),{""charttype"",$AI$35}))"),"...")</f>
        <v>...</v>
      </c>
      <c r="D190" s="17"/>
      <c r="E190" s="31"/>
      <c r="F190" s="7"/>
      <c r="G190" s="8" t="str">
        <f t="shared" si="1"/>
        <v>...</v>
      </c>
      <c r="H190" s="31"/>
      <c r="I190" s="52"/>
      <c r="J190" s="45" t="str">
        <f t="shared" si="2"/>
        <v>...</v>
      </c>
      <c r="K190" s="47" t="str">
        <f t="array" ref="K190">IF(B190=0,"...",J190/VLOOKUP(D190,{CCL!M:N;CCL!$P:$Q},2,FALSE))</f>
        <v>...</v>
      </c>
      <c r="L190" s="45" t="str">
        <f>IFERROR(__xludf.DUMMYFUNCTION("if(B190=0,""..."",if(E190=""CERRADA"",""Valor Venta"", GOOGLEFINANCE(""BCBA:""&amp;B190)))"),"...")</f>
        <v>...</v>
      </c>
      <c r="M190" s="45" t="str">
        <f>if(B190=0,"...",L190*(1-VLOOKUP(A190,Config!$B$3:$C$22,2,FALSE)))</f>
        <v>...</v>
      </c>
      <c r="N190" s="45" t="str">
        <f t="shared" si="3"/>
        <v>...</v>
      </c>
      <c r="O190" s="12" t="str">
        <f>IFERROR(__xludf.DUMMYFUNCTION("if(B190=0,""..."",GOOGLEFINANCE(B190,""changepct"")/100)"),"...")</f>
        <v>...</v>
      </c>
      <c r="P190" s="10" t="str">
        <f>IFERROR(__xludf.DUMMYFUNCTION("if(B190=0,""..."",GOOGLEFINANCE(B190,""change"")*H190)"),"...")</f>
        <v>...</v>
      </c>
      <c r="Q190" s="12" t="str">
        <f t="shared" si="4"/>
        <v>...</v>
      </c>
      <c r="R190" s="47" t="str">
        <f t="shared" si="5"/>
        <v>...</v>
      </c>
      <c r="S190" s="12" t="str">
        <f t="array" ref="S190">IF(B190=0,"...",(N190/IF(E190="ABIERTA",CCL!$E$2,VLOOKUP(F190,{CCL!M:N;CCL!$P:$Q},2,FALSE))/(J190/VLOOKUP(D190,{CCL!M:N;CCL!$P:$Q},2,FALSE))-1))</f>
        <v>...</v>
      </c>
      <c r="T190" s="47" t="str">
        <f>IF(B190=0,"...",N190/VLOOKUP(IF(E190="ABIERTA",TODAY(),F190),CCL!$A$12:$B$773,2,FALSE)-J190/VLOOKUP(D190,CCL!$A$12:$B235,2,FALSE))</f>
        <v>...</v>
      </c>
      <c r="U190" s="2"/>
      <c r="V190" s="10"/>
      <c r="W190" s="59" t="str">
        <f t="shared" si="16"/>
        <v>...</v>
      </c>
      <c r="X190" s="12" t="str">
        <f t="shared" si="17"/>
        <v/>
      </c>
      <c r="Y190" s="45" t="str">
        <f t="shared" si="18"/>
        <v>...</v>
      </c>
      <c r="Z190" s="45" t="str">
        <f t="shared" si="19"/>
        <v>...</v>
      </c>
      <c r="AA190" s="12" t="str">
        <f t="shared" si="20"/>
        <v>...</v>
      </c>
      <c r="AB190" s="45" t="str">
        <f t="shared" si="21"/>
        <v>...</v>
      </c>
      <c r="AC190" s="45" t="str">
        <f t="shared" si="22"/>
        <v>...</v>
      </c>
      <c r="AD190" s="12" t="str">
        <f t="shared" si="23"/>
        <v>...</v>
      </c>
      <c r="AE190" s="46" t="str">
        <f t="shared" si="24"/>
        <v>...</v>
      </c>
      <c r="AF190" s="2"/>
      <c r="AG190" s="2"/>
      <c r="AH190" s="2"/>
      <c r="AI190" s="2"/>
      <c r="AJ190" s="2"/>
      <c r="AK190" s="2"/>
    </row>
    <row r="191" ht="24.0" customHeight="1">
      <c r="A191" s="4"/>
      <c r="B191" s="30"/>
      <c r="C191" s="5" t="str">
        <f>IFERROR(__xludf.DUMMYFUNCTION("if(B191=0,""..."", sparkline(query(GOOGLEFINANCE(""BCBA:""&amp;B191,""price"",today()-$AI$36,today()),""select Col2"",0),{""charttype"",$AI$35}))"),"...")</f>
        <v>...</v>
      </c>
      <c r="D191" s="17"/>
      <c r="E191" s="31"/>
      <c r="F191" s="7"/>
      <c r="G191" s="8" t="str">
        <f t="shared" si="1"/>
        <v>...</v>
      </c>
      <c r="H191" s="31"/>
      <c r="I191" s="52"/>
      <c r="J191" s="45" t="str">
        <f t="shared" si="2"/>
        <v>...</v>
      </c>
      <c r="K191" s="47" t="str">
        <f t="array" ref="K191">IF(B191=0,"...",J191/VLOOKUP(D191,{CCL!M:N;CCL!$P:$Q},2,FALSE))</f>
        <v>...</v>
      </c>
      <c r="L191" s="45" t="str">
        <f>IFERROR(__xludf.DUMMYFUNCTION("if(B191=0,""..."",if(E191=""CERRADA"",""Valor Venta"", GOOGLEFINANCE(""BCBA:""&amp;B191)))"),"...")</f>
        <v>...</v>
      </c>
      <c r="M191" s="45" t="str">
        <f>if(B191=0,"...",L191*(1-VLOOKUP(A191,Config!$B$3:$C$22,2,FALSE)))</f>
        <v>...</v>
      </c>
      <c r="N191" s="45" t="str">
        <f t="shared" si="3"/>
        <v>...</v>
      </c>
      <c r="O191" s="12" t="str">
        <f>IFERROR(__xludf.DUMMYFUNCTION("if(B191=0,""..."",GOOGLEFINANCE(B191,""changepct"")/100)"),"...")</f>
        <v>...</v>
      </c>
      <c r="P191" s="10" t="str">
        <f>IFERROR(__xludf.DUMMYFUNCTION("if(B191=0,""..."",GOOGLEFINANCE(B191,""change"")*H191)"),"...")</f>
        <v>...</v>
      </c>
      <c r="Q191" s="12" t="str">
        <f t="shared" si="4"/>
        <v>...</v>
      </c>
      <c r="R191" s="47" t="str">
        <f t="shared" si="5"/>
        <v>...</v>
      </c>
      <c r="S191" s="12" t="str">
        <f t="array" ref="S191">IF(B191=0,"...",(N191/IF(E191="ABIERTA",CCL!$E$2,VLOOKUP(F191,{CCL!M:N;CCL!$P:$Q},2,FALSE))/(J191/VLOOKUP(D191,{CCL!M:N;CCL!$P:$Q},2,FALSE))-1))</f>
        <v>...</v>
      </c>
      <c r="T191" s="47" t="str">
        <f>IF(B191=0,"...",N191/VLOOKUP(IF(E191="ABIERTA",TODAY(),F191),CCL!$A$12:$B$773,2,FALSE)-J191/VLOOKUP(D191,CCL!$A$12:$B235,2,FALSE))</f>
        <v>...</v>
      </c>
      <c r="U191" s="2"/>
      <c r="V191" s="10"/>
      <c r="W191" s="59" t="str">
        <f t="shared" si="16"/>
        <v>...</v>
      </c>
      <c r="X191" s="12" t="str">
        <f t="shared" si="17"/>
        <v/>
      </c>
      <c r="Y191" s="45" t="str">
        <f t="shared" si="18"/>
        <v>...</v>
      </c>
      <c r="Z191" s="45" t="str">
        <f t="shared" si="19"/>
        <v>...</v>
      </c>
      <c r="AA191" s="12" t="str">
        <f t="shared" si="20"/>
        <v>...</v>
      </c>
      <c r="AB191" s="45" t="str">
        <f t="shared" si="21"/>
        <v>...</v>
      </c>
      <c r="AC191" s="45" t="str">
        <f t="shared" si="22"/>
        <v>...</v>
      </c>
      <c r="AD191" s="12" t="str">
        <f t="shared" si="23"/>
        <v>...</v>
      </c>
      <c r="AE191" s="46" t="str">
        <f t="shared" si="24"/>
        <v>...</v>
      </c>
      <c r="AF191" s="2"/>
      <c r="AG191" s="2"/>
      <c r="AH191" s="2"/>
      <c r="AI191" s="2"/>
      <c r="AJ191" s="2"/>
      <c r="AK191" s="2"/>
    </row>
    <row r="192" ht="24.0" customHeight="1">
      <c r="A192" s="4"/>
      <c r="B192" s="30"/>
      <c r="C192" s="5" t="str">
        <f>IFERROR(__xludf.DUMMYFUNCTION("if(B192=0,""..."", sparkline(query(GOOGLEFINANCE(""BCBA:""&amp;B192,""price"",today()-$AI$36,today()),""select Col2"",0),{""charttype"",$AI$35}))"),"...")</f>
        <v>...</v>
      </c>
      <c r="D192" s="17"/>
      <c r="E192" s="31"/>
      <c r="F192" s="7"/>
      <c r="G192" s="8" t="str">
        <f t="shared" si="1"/>
        <v>...</v>
      </c>
      <c r="H192" s="31"/>
      <c r="I192" s="52"/>
      <c r="J192" s="45" t="str">
        <f t="shared" si="2"/>
        <v>...</v>
      </c>
      <c r="K192" s="47" t="str">
        <f t="array" ref="K192">IF(B192=0,"...",J192/VLOOKUP(D192,{CCL!M:N;CCL!$P:$Q},2,FALSE))</f>
        <v>...</v>
      </c>
      <c r="L192" s="45" t="str">
        <f>IFERROR(__xludf.DUMMYFUNCTION("if(B192=0,""..."",if(E192=""CERRADA"",""Valor Venta"", GOOGLEFINANCE(""BCBA:""&amp;B192)))"),"...")</f>
        <v>...</v>
      </c>
      <c r="M192" s="45" t="str">
        <f>if(B192=0,"...",L192*(1-VLOOKUP(A192,Config!$B$3:$C$22,2,FALSE)))</f>
        <v>...</v>
      </c>
      <c r="N192" s="45" t="str">
        <f t="shared" si="3"/>
        <v>...</v>
      </c>
      <c r="O192" s="12" t="str">
        <f>IFERROR(__xludf.DUMMYFUNCTION("if(B192=0,""..."",GOOGLEFINANCE(B192,""changepct"")/100)"),"...")</f>
        <v>...</v>
      </c>
      <c r="P192" s="10" t="str">
        <f>IFERROR(__xludf.DUMMYFUNCTION("if(B192=0,""..."",GOOGLEFINANCE(B192,""change"")*H192)"),"...")</f>
        <v>...</v>
      </c>
      <c r="Q192" s="12" t="str">
        <f t="shared" si="4"/>
        <v>...</v>
      </c>
      <c r="R192" s="47" t="str">
        <f t="shared" si="5"/>
        <v>...</v>
      </c>
      <c r="S192" s="12" t="str">
        <f t="array" ref="S192">IF(B192=0,"...",(N192/IF(E192="ABIERTA",CCL!$E$2,VLOOKUP(F192,{CCL!M:N;CCL!$P:$Q},2,FALSE))/(J192/VLOOKUP(D192,{CCL!M:N;CCL!$P:$Q},2,FALSE))-1))</f>
        <v>...</v>
      </c>
      <c r="T192" s="47" t="str">
        <f>IF(B192=0,"...",N192/VLOOKUP(IF(E192="ABIERTA",TODAY(),F192),CCL!$A$12:$B$773,2,FALSE)-J192/VLOOKUP(D192,CCL!$A$12:$B235,2,FALSE))</f>
        <v>...</v>
      </c>
      <c r="U192" s="2"/>
      <c r="V192" s="10"/>
      <c r="W192" s="59" t="str">
        <f t="shared" si="16"/>
        <v>...</v>
      </c>
      <c r="X192" s="12" t="str">
        <f t="shared" si="17"/>
        <v/>
      </c>
      <c r="Y192" s="45" t="str">
        <f t="shared" si="18"/>
        <v>...</v>
      </c>
      <c r="Z192" s="45" t="str">
        <f t="shared" si="19"/>
        <v>...</v>
      </c>
      <c r="AA192" s="12" t="str">
        <f t="shared" si="20"/>
        <v>...</v>
      </c>
      <c r="AB192" s="45" t="str">
        <f t="shared" si="21"/>
        <v>...</v>
      </c>
      <c r="AC192" s="45" t="str">
        <f t="shared" si="22"/>
        <v>...</v>
      </c>
      <c r="AD192" s="12" t="str">
        <f t="shared" si="23"/>
        <v>...</v>
      </c>
      <c r="AE192" s="46" t="str">
        <f t="shared" si="24"/>
        <v>...</v>
      </c>
      <c r="AF192" s="2"/>
      <c r="AG192" s="2"/>
      <c r="AH192" s="2"/>
      <c r="AI192" s="2"/>
      <c r="AJ192" s="2"/>
      <c r="AK192" s="2"/>
    </row>
    <row r="193" ht="24.0" customHeight="1">
      <c r="A193" s="4"/>
      <c r="B193" s="30"/>
      <c r="C193" s="5" t="str">
        <f>IFERROR(__xludf.DUMMYFUNCTION("if(B193=0,""..."", sparkline(query(GOOGLEFINANCE(""BCBA:""&amp;B193,""price"",today()-$AI$36,today()),""select Col2"",0),{""charttype"",$AI$35}))"),"...")</f>
        <v>...</v>
      </c>
      <c r="D193" s="17"/>
      <c r="E193" s="31"/>
      <c r="F193" s="7"/>
      <c r="G193" s="8" t="str">
        <f t="shared" si="1"/>
        <v>...</v>
      </c>
      <c r="H193" s="31"/>
      <c r="I193" s="52"/>
      <c r="J193" s="45" t="str">
        <f t="shared" si="2"/>
        <v>...</v>
      </c>
      <c r="K193" s="47" t="str">
        <f t="array" ref="K193">IF(B193=0,"...",J193/VLOOKUP(D193,{CCL!M:N;CCL!$P:$Q},2,FALSE))</f>
        <v>...</v>
      </c>
      <c r="L193" s="45" t="str">
        <f>IFERROR(__xludf.DUMMYFUNCTION("if(B193=0,""..."",if(E193=""CERRADA"",""Valor Venta"", GOOGLEFINANCE(""BCBA:""&amp;B193)))"),"...")</f>
        <v>...</v>
      </c>
      <c r="M193" s="45" t="str">
        <f>if(B193=0,"...",L193*(1-VLOOKUP(A193,Config!$B$3:$C$22,2,FALSE)))</f>
        <v>...</v>
      </c>
      <c r="N193" s="45" t="str">
        <f t="shared" si="3"/>
        <v>...</v>
      </c>
      <c r="O193" s="12" t="str">
        <f>IFERROR(__xludf.DUMMYFUNCTION("if(B193=0,""..."",GOOGLEFINANCE(B193,""changepct"")/100)"),"...")</f>
        <v>...</v>
      </c>
      <c r="P193" s="10" t="str">
        <f>IFERROR(__xludf.DUMMYFUNCTION("if(B193=0,""..."",GOOGLEFINANCE(B193,""change"")*H193)"),"...")</f>
        <v>...</v>
      </c>
      <c r="Q193" s="12" t="str">
        <f t="shared" si="4"/>
        <v>...</v>
      </c>
      <c r="R193" s="47" t="str">
        <f t="shared" si="5"/>
        <v>...</v>
      </c>
      <c r="S193" s="12" t="str">
        <f t="array" ref="S193">IF(B193=0,"...",(N193/IF(E193="ABIERTA",CCL!$E$2,VLOOKUP(F193,{CCL!M:N;CCL!$P:$Q},2,FALSE))/(J193/VLOOKUP(D193,{CCL!M:N;CCL!$P:$Q},2,FALSE))-1))</f>
        <v>...</v>
      </c>
      <c r="T193" s="47" t="str">
        <f>IF(B193=0,"...",N193/VLOOKUP(IF(E193="ABIERTA",TODAY(),F193),CCL!$A$12:$B$773,2,FALSE)-J193/VLOOKUP(D193,CCL!$A$12:$B235,2,FALSE))</f>
        <v>...</v>
      </c>
      <c r="U193" s="2"/>
      <c r="V193" s="10"/>
      <c r="W193" s="59" t="str">
        <f t="shared" si="16"/>
        <v>...</v>
      </c>
      <c r="X193" s="12" t="str">
        <f t="shared" si="17"/>
        <v/>
      </c>
      <c r="Y193" s="45" t="str">
        <f t="shared" si="18"/>
        <v>...</v>
      </c>
      <c r="Z193" s="45" t="str">
        <f t="shared" si="19"/>
        <v>...</v>
      </c>
      <c r="AA193" s="12" t="str">
        <f t="shared" si="20"/>
        <v>...</v>
      </c>
      <c r="AB193" s="45" t="str">
        <f t="shared" si="21"/>
        <v>...</v>
      </c>
      <c r="AC193" s="45" t="str">
        <f t="shared" si="22"/>
        <v>...</v>
      </c>
      <c r="AD193" s="12" t="str">
        <f t="shared" si="23"/>
        <v>...</v>
      </c>
      <c r="AE193" s="46" t="str">
        <f t="shared" si="24"/>
        <v>...</v>
      </c>
      <c r="AF193" s="2"/>
      <c r="AG193" s="2"/>
      <c r="AH193" s="2"/>
      <c r="AI193" s="2"/>
      <c r="AJ193" s="2"/>
      <c r="AK193" s="2"/>
    </row>
    <row r="194" ht="24.0" customHeight="1">
      <c r="A194" s="4"/>
      <c r="B194" s="30"/>
      <c r="C194" s="5" t="str">
        <f>IFERROR(__xludf.DUMMYFUNCTION("if(B194=0,""..."", sparkline(query(GOOGLEFINANCE(""BCBA:""&amp;B194,""price"",today()-$AI$36,today()),""select Col2"",0),{""charttype"",$AI$35}))"),"...")</f>
        <v>...</v>
      </c>
      <c r="D194" s="17"/>
      <c r="E194" s="31"/>
      <c r="F194" s="7"/>
      <c r="G194" s="8" t="str">
        <f t="shared" si="1"/>
        <v>...</v>
      </c>
      <c r="H194" s="31"/>
      <c r="I194" s="52"/>
      <c r="J194" s="45" t="str">
        <f t="shared" si="2"/>
        <v>...</v>
      </c>
      <c r="K194" s="47" t="str">
        <f t="array" ref="K194">IF(B194=0,"...",J194/VLOOKUP(D194,{CCL!M:N;CCL!$P:$Q},2,FALSE))</f>
        <v>...</v>
      </c>
      <c r="L194" s="45" t="str">
        <f>IFERROR(__xludf.DUMMYFUNCTION("if(B194=0,""..."",if(E194=""CERRADA"",""Valor Venta"", GOOGLEFINANCE(""BCBA:""&amp;B194)))"),"...")</f>
        <v>...</v>
      </c>
      <c r="M194" s="45" t="str">
        <f>if(B194=0,"...",L194*(1-VLOOKUP(A194,Config!$B$3:$C$22,2,FALSE)))</f>
        <v>...</v>
      </c>
      <c r="N194" s="45" t="str">
        <f t="shared" si="3"/>
        <v>...</v>
      </c>
      <c r="O194" s="12" t="str">
        <f>IFERROR(__xludf.DUMMYFUNCTION("if(B194=0,""..."",GOOGLEFINANCE(B194,""changepct"")/100)"),"...")</f>
        <v>...</v>
      </c>
      <c r="P194" s="10" t="str">
        <f>IFERROR(__xludf.DUMMYFUNCTION("if(B194=0,""..."",GOOGLEFINANCE(B194,""change"")*H194)"),"...")</f>
        <v>...</v>
      </c>
      <c r="Q194" s="12" t="str">
        <f t="shared" si="4"/>
        <v>...</v>
      </c>
      <c r="R194" s="47" t="str">
        <f t="shared" si="5"/>
        <v>...</v>
      </c>
      <c r="S194" s="12" t="str">
        <f t="array" ref="S194">IF(B194=0,"...",(N194/IF(E194="ABIERTA",CCL!$E$2,VLOOKUP(F194,{CCL!M:N;CCL!$P:$Q},2,FALSE))/(J194/VLOOKUP(D194,{CCL!M:N;CCL!$P:$Q},2,FALSE))-1))</f>
        <v>...</v>
      </c>
      <c r="T194" s="47" t="str">
        <f>IF(B194=0,"...",N194/VLOOKUP(IF(E194="ABIERTA",TODAY(),F194),CCL!$A$12:$B$773,2,FALSE)-J194/VLOOKUP(D194,CCL!$A$12:$B235,2,FALSE))</f>
        <v>...</v>
      </c>
      <c r="U194" s="2"/>
      <c r="V194" s="10"/>
      <c r="W194" s="59" t="str">
        <f t="shared" si="16"/>
        <v>...</v>
      </c>
      <c r="X194" s="12" t="str">
        <f t="shared" si="17"/>
        <v/>
      </c>
      <c r="Y194" s="45" t="str">
        <f t="shared" si="18"/>
        <v>...</v>
      </c>
      <c r="Z194" s="45" t="str">
        <f t="shared" si="19"/>
        <v>...</v>
      </c>
      <c r="AA194" s="12" t="str">
        <f t="shared" si="20"/>
        <v>...</v>
      </c>
      <c r="AB194" s="45" t="str">
        <f t="shared" si="21"/>
        <v>...</v>
      </c>
      <c r="AC194" s="45" t="str">
        <f t="shared" si="22"/>
        <v>...</v>
      </c>
      <c r="AD194" s="12" t="str">
        <f t="shared" si="23"/>
        <v>...</v>
      </c>
      <c r="AE194" s="46" t="str">
        <f t="shared" si="24"/>
        <v>...</v>
      </c>
      <c r="AF194" s="2"/>
      <c r="AG194" s="2"/>
      <c r="AH194" s="2"/>
      <c r="AI194" s="2"/>
      <c r="AJ194" s="2"/>
      <c r="AK194" s="2"/>
    </row>
    <row r="195" ht="24.0" customHeight="1">
      <c r="A195" s="4"/>
      <c r="B195" s="30"/>
      <c r="C195" s="5" t="str">
        <f>IFERROR(__xludf.DUMMYFUNCTION("if(B195=0,""..."", sparkline(query(GOOGLEFINANCE(""BCBA:""&amp;B195,""price"",today()-$AI$36,today()),""select Col2"",0),{""charttype"",$AI$35}))"),"...")</f>
        <v>...</v>
      </c>
      <c r="D195" s="17"/>
      <c r="E195" s="31"/>
      <c r="F195" s="7"/>
      <c r="G195" s="8" t="str">
        <f t="shared" si="1"/>
        <v>...</v>
      </c>
      <c r="H195" s="31"/>
      <c r="I195" s="52"/>
      <c r="J195" s="45" t="str">
        <f t="shared" si="2"/>
        <v>...</v>
      </c>
      <c r="K195" s="47" t="str">
        <f t="array" ref="K195">IF(B195=0,"...",J195/VLOOKUP(D195,{CCL!M:N;CCL!$P:$Q},2,FALSE))</f>
        <v>...</v>
      </c>
      <c r="L195" s="45" t="str">
        <f>IFERROR(__xludf.DUMMYFUNCTION("if(B195=0,""..."",if(E195=""CERRADA"",""Valor Venta"", GOOGLEFINANCE(""BCBA:""&amp;B195)))"),"...")</f>
        <v>...</v>
      </c>
      <c r="M195" s="45" t="str">
        <f>if(B195=0,"...",L195*(1-VLOOKUP(A195,Config!$B$3:$C$22,2,FALSE)))</f>
        <v>...</v>
      </c>
      <c r="N195" s="45" t="str">
        <f t="shared" si="3"/>
        <v>...</v>
      </c>
      <c r="O195" s="12" t="str">
        <f>IFERROR(__xludf.DUMMYFUNCTION("if(B195=0,""..."",GOOGLEFINANCE(B195,""changepct"")/100)"),"...")</f>
        <v>...</v>
      </c>
      <c r="P195" s="10" t="str">
        <f>IFERROR(__xludf.DUMMYFUNCTION("if(B195=0,""..."",GOOGLEFINANCE(B195,""change"")*H195)"),"...")</f>
        <v>...</v>
      </c>
      <c r="Q195" s="12" t="str">
        <f t="shared" si="4"/>
        <v>...</v>
      </c>
      <c r="R195" s="47" t="str">
        <f t="shared" si="5"/>
        <v>...</v>
      </c>
      <c r="S195" s="12" t="str">
        <f t="array" ref="S195">IF(B195=0,"...",(N195/IF(E195="ABIERTA",CCL!$E$2,VLOOKUP(F195,{CCL!M:N;CCL!$P:$Q},2,FALSE))/(J195/VLOOKUP(D195,{CCL!M:N;CCL!$P:$Q},2,FALSE))-1))</f>
        <v>...</v>
      </c>
      <c r="T195" s="47" t="str">
        <f>IF(B195=0,"...",N195/VLOOKUP(IF(E195="ABIERTA",TODAY(),F195),CCL!$A$12:$B$773,2,FALSE)-J195/VLOOKUP(D195,CCL!$A$12:$B235,2,FALSE))</f>
        <v>...</v>
      </c>
      <c r="U195" s="2"/>
      <c r="V195" s="10"/>
      <c r="W195" s="59" t="str">
        <f t="shared" si="16"/>
        <v>...</v>
      </c>
      <c r="X195" s="12" t="str">
        <f t="shared" si="17"/>
        <v/>
      </c>
      <c r="Y195" s="45" t="str">
        <f t="shared" si="18"/>
        <v>...</v>
      </c>
      <c r="Z195" s="45" t="str">
        <f t="shared" si="19"/>
        <v>...</v>
      </c>
      <c r="AA195" s="12" t="str">
        <f t="shared" si="20"/>
        <v>...</v>
      </c>
      <c r="AB195" s="45" t="str">
        <f t="shared" si="21"/>
        <v>...</v>
      </c>
      <c r="AC195" s="45" t="str">
        <f t="shared" si="22"/>
        <v>...</v>
      </c>
      <c r="AD195" s="12" t="str">
        <f t="shared" si="23"/>
        <v>...</v>
      </c>
      <c r="AE195" s="46" t="str">
        <f t="shared" si="24"/>
        <v>...</v>
      </c>
      <c r="AF195" s="2"/>
      <c r="AG195" s="2"/>
      <c r="AH195" s="2"/>
      <c r="AI195" s="2"/>
      <c r="AJ195" s="2"/>
      <c r="AK195" s="2"/>
    </row>
    <row r="196" ht="24.0" customHeight="1">
      <c r="A196" s="4"/>
      <c r="B196" s="30"/>
      <c r="C196" s="5" t="str">
        <f>IFERROR(__xludf.DUMMYFUNCTION("if(B196=0,""..."", sparkline(query(GOOGLEFINANCE(""BCBA:""&amp;B196,""price"",today()-$AI$36,today()),""select Col2"",0),{""charttype"",$AI$35}))"),"...")</f>
        <v>...</v>
      </c>
      <c r="D196" s="17"/>
      <c r="E196" s="31"/>
      <c r="F196" s="7"/>
      <c r="G196" s="8" t="str">
        <f t="shared" si="1"/>
        <v>...</v>
      </c>
      <c r="H196" s="31"/>
      <c r="I196" s="52"/>
      <c r="J196" s="45" t="str">
        <f t="shared" si="2"/>
        <v>...</v>
      </c>
      <c r="K196" s="47" t="str">
        <f t="array" ref="K196">IF(B196=0,"...",J196/VLOOKUP(D196,{CCL!M:N;CCL!$P:$Q},2,FALSE))</f>
        <v>...</v>
      </c>
      <c r="L196" s="45" t="str">
        <f>IFERROR(__xludf.DUMMYFUNCTION("if(B196=0,""..."",if(E196=""CERRADA"",""Valor Venta"", GOOGLEFINANCE(""BCBA:""&amp;B196)))"),"...")</f>
        <v>...</v>
      </c>
      <c r="M196" s="45" t="str">
        <f>if(B196=0,"...",L196*(1-VLOOKUP(A196,Config!$B$3:$C$22,2,FALSE)))</f>
        <v>...</v>
      </c>
      <c r="N196" s="45" t="str">
        <f t="shared" si="3"/>
        <v>...</v>
      </c>
      <c r="O196" s="12" t="str">
        <f>IFERROR(__xludf.DUMMYFUNCTION("if(B196=0,""..."",GOOGLEFINANCE(B196,""changepct"")/100)"),"...")</f>
        <v>...</v>
      </c>
      <c r="P196" s="10" t="str">
        <f>IFERROR(__xludf.DUMMYFUNCTION("if(B196=0,""..."",GOOGLEFINANCE(B196,""change"")*H196)"),"...")</f>
        <v>...</v>
      </c>
      <c r="Q196" s="12" t="str">
        <f t="shared" si="4"/>
        <v>...</v>
      </c>
      <c r="R196" s="47" t="str">
        <f t="shared" si="5"/>
        <v>...</v>
      </c>
      <c r="S196" s="12" t="str">
        <f t="array" ref="S196">IF(B196=0,"...",(N196/IF(E196="ABIERTA",CCL!$E$2,VLOOKUP(F196,{CCL!M:N;CCL!$P:$Q},2,FALSE))/(J196/VLOOKUP(D196,{CCL!M:N;CCL!$P:$Q},2,FALSE))-1))</f>
        <v>...</v>
      </c>
      <c r="T196" s="47" t="str">
        <f>IF(B196=0,"...",N196/VLOOKUP(IF(E196="ABIERTA",TODAY(),F196),CCL!$A$12:$B$773,2,FALSE)-J196/VLOOKUP(D196,CCL!$A$12:$B235,2,FALSE))</f>
        <v>...</v>
      </c>
      <c r="U196" s="2"/>
      <c r="V196" s="10"/>
      <c r="W196" s="59" t="str">
        <f t="shared" si="16"/>
        <v>...</v>
      </c>
      <c r="X196" s="12" t="str">
        <f t="shared" si="17"/>
        <v/>
      </c>
      <c r="Y196" s="45" t="str">
        <f t="shared" si="18"/>
        <v>...</v>
      </c>
      <c r="Z196" s="45" t="str">
        <f t="shared" si="19"/>
        <v>...</v>
      </c>
      <c r="AA196" s="12" t="str">
        <f t="shared" si="20"/>
        <v>...</v>
      </c>
      <c r="AB196" s="45" t="str">
        <f t="shared" si="21"/>
        <v>...</v>
      </c>
      <c r="AC196" s="45" t="str">
        <f t="shared" si="22"/>
        <v>...</v>
      </c>
      <c r="AD196" s="12" t="str">
        <f t="shared" si="23"/>
        <v>...</v>
      </c>
      <c r="AE196" s="46" t="str">
        <f t="shared" si="24"/>
        <v>...</v>
      </c>
      <c r="AF196" s="2"/>
      <c r="AG196" s="2"/>
      <c r="AH196" s="2"/>
      <c r="AI196" s="2"/>
      <c r="AJ196" s="2"/>
      <c r="AK196" s="2"/>
    </row>
    <row r="197" ht="24.0" customHeight="1">
      <c r="A197" s="4"/>
      <c r="B197" s="30"/>
      <c r="C197" s="5" t="str">
        <f>IFERROR(__xludf.DUMMYFUNCTION("if(B197=0,""..."", sparkline(query(GOOGLEFINANCE(""BCBA:""&amp;B197,""price"",today()-$AI$36,today()),""select Col2"",0),{""charttype"",$AI$35}))"),"...")</f>
        <v>...</v>
      </c>
      <c r="D197" s="17"/>
      <c r="E197" s="31"/>
      <c r="F197" s="7"/>
      <c r="G197" s="8" t="str">
        <f t="shared" si="1"/>
        <v>...</v>
      </c>
      <c r="H197" s="31"/>
      <c r="I197" s="52"/>
      <c r="J197" s="45" t="str">
        <f t="shared" si="2"/>
        <v>...</v>
      </c>
      <c r="K197" s="47" t="str">
        <f t="array" ref="K197">IF(B197=0,"...",J197/VLOOKUP(D197,{CCL!M:N;CCL!$P:$Q},2,FALSE))</f>
        <v>...</v>
      </c>
      <c r="L197" s="45" t="str">
        <f>IFERROR(__xludf.DUMMYFUNCTION("if(B197=0,""..."",if(E197=""CERRADA"",""Valor Venta"", GOOGLEFINANCE(""BCBA:""&amp;B197)))"),"...")</f>
        <v>...</v>
      </c>
      <c r="M197" s="45" t="str">
        <f>if(B197=0,"...",L197*(1-VLOOKUP(A197,Config!$B$3:$C$22,2,FALSE)))</f>
        <v>...</v>
      </c>
      <c r="N197" s="45" t="str">
        <f t="shared" si="3"/>
        <v>...</v>
      </c>
      <c r="O197" s="12" t="str">
        <f>IFERROR(__xludf.DUMMYFUNCTION("if(B197=0,""..."",GOOGLEFINANCE(B197,""changepct"")/100)"),"...")</f>
        <v>...</v>
      </c>
      <c r="P197" s="10" t="str">
        <f>IFERROR(__xludf.DUMMYFUNCTION("if(B197=0,""..."",GOOGLEFINANCE(B197,""change"")*H197)"),"...")</f>
        <v>...</v>
      </c>
      <c r="Q197" s="12" t="str">
        <f t="shared" si="4"/>
        <v>...</v>
      </c>
      <c r="R197" s="47" t="str">
        <f t="shared" si="5"/>
        <v>...</v>
      </c>
      <c r="S197" s="12" t="str">
        <f t="array" ref="S197">IF(B197=0,"...",(N197/IF(E197="ABIERTA",CCL!$E$2,VLOOKUP(F197,{CCL!M:N;CCL!$P:$Q},2,FALSE))/(J197/VLOOKUP(D197,{CCL!M:N;CCL!$P:$Q},2,FALSE))-1))</f>
        <v>...</v>
      </c>
      <c r="T197" s="47" t="str">
        <f>IF(B197=0,"...",N197/VLOOKUP(IF(E197="ABIERTA",TODAY(),F197),CCL!$A$12:$B$773,2,FALSE)-J197/VLOOKUP(D197,CCL!$A$12:$B235,2,FALSE))</f>
        <v>...</v>
      </c>
      <c r="U197" s="2"/>
      <c r="V197" s="10"/>
      <c r="W197" s="59" t="str">
        <f t="shared" si="16"/>
        <v>...</v>
      </c>
      <c r="X197" s="12" t="str">
        <f t="shared" si="17"/>
        <v/>
      </c>
      <c r="Y197" s="45" t="str">
        <f t="shared" si="18"/>
        <v>...</v>
      </c>
      <c r="Z197" s="45" t="str">
        <f t="shared" si="19"/>
        <v>...</v>
      </c>
      <c r="AA197" s="12" t="str">
        <f t="shared" si="20"/>
        <v>...</v>
      </c>
      <c r="AB197" s="45" t="str">
        <f t="shared" si="21"/>
        <v>...</v>
      </c>
      <c r="AC197" s="45" t="str">
        <f t="shared" si="22"/>
        <v>...</v>
      </c>
      <c r="AD197" s="12" t="str">
        <f t="shared" si="23"/>
        <v>...</v>
      </c>
      <c r="AE197" s="46" t="str">
        <f t="shared" si="24"/>
        <v>...</v>
      </c>
      <c r="AF197" s="2"/>
      <c r="AG197" s="2"/>
      <c r="AH197" s="2"/>
      <c r="AI197" s="2"/>
      <c r="AJ197" s="2"/>
      <c r="AK197" s="2"/>
    </row>
    <row r="198" ht="24.0" customHeight="1">
      <c r="A198" s="4"/>
      <c r="B198" s="30"/>
      <c r="C198" s="5" t="str">
        <f>IFERROR(__xludf.DUMMYFUNCTION("if(B198=0,""..."", sparkline(query(GOOGLEFINANCE(""BCBA:""&amp;B198,""price"",today()-$AI$36,today()),""select Col2"",0),{""charttype"",$AI$35}))"),"...")</f>
        <v>...</v>
      </c>
      <c r="D198" s="17"/>
      <c r="E198" s="31"/>
      <c r="F198" s="7"/>
      <c r="G198" s="8" t="str">
        <f t="shared" si="1"/>
        <v>...</v>
      </c>
      <c r="H198" s="31"/>
      <c r="I198" s="52"/>
      <c r="J198" s="45" t="str">
        <f t="shared" si="2"/>
        <v>...</v>
      </c>
      <c r="K198" s="47" t="str">
        <f t="array" ref="K198">IF(B198=0,"...",J198/VLOOKUP(D198,{CCL!M:N;CCL!$P:$Q},2,FALSE))</f>
        <v>...</v>
      </c>
      <c r="L198" s="45" t="str">
        <f>IFERROR(__xludf.DUMMYFUNCTION("if(B198=0,""..."",if(E198=""CERRADA"",""Valor Venta"", GOOGLEFINANCE(""BCBA:""&amp;B198)))"),"...")</f>
        <v>...</v>
      </c>
      <c r="M198" s="45" t="str">
        <f>if(B198=0,"...",L198*(1-VLOOKUP(A198,Config!$B$3:$C$22,2,FALSE)))</f>
        <v>...</v>
      </c>
      <c r="N198" s="45" t="str">
        <f t="shared" si="3"/>
        <v>...</v>
      </c>
      <c r="O198" s="12" t="str">
        <f>IFERROR(__xludf.DUMMYFUNCTION("if(B198=0,""..."",GOOGLEFINANCE(B198,""changepct"")/100)"),"...")</f>
        <v>...</v>
      </c>
      <c r="P198" s="10" t="str">
        <f>IFERROR(__xludf.DUMMYFUNCTION("if(B198=0,""..."",GOOGLEFINANCE(B198,""change"")*H198)"),"...")</f>
        <v>...</v>
      </c>
      <c r="Q198" s="12" t="str">
        <f t="shared" si="4"/>
        <v>...</v>
      </c>
      <c r="R198" s="47" t="str">
        <f t="shared" si="5"/>
        <v>...</v>
      </c>
      <c r="S198" s="12" t="str">
        <f t="array" ref="S198">IF(B198=0,"...",(N198/IF(E198="ABIERTA",CCL!$E$2,VLOOKUP(F198,{CCL!M:N;CCL!$P:$Q},2,FALSE))/(J198/VLOOKUP(D198,{CCL!M:N;CCL!$P:$Q},2,FALSE))-1))</f>
        <v>...</v>
      </c>
      <c r="T198" s="47" t="str">
        <f>IF(B198=0,"...",N198/VLOOKUP(IF(E198="ABIERTA",TODAY(),F198),CCL!$A$12:$B$773,2,FALSE)-J198/VLOOKUP(D198,CCL!$A$12:$B235,2,FALSE))</f>
        <v>...</v>
      </c>
      <c r="U198" s="2"/>
      <c r="V198" s="10"/>
      <c r="W198" s="59" t="str">
        <f t="shared" si="16"/>
        <v>...</v>
      </c>
      <c r="X198" s="12" t="str">
        <f t="shared" si="17"/>
        <v/>
      </c>
      <c r="Y198" s="45" t="str">
        <f t="shared" si="18"/>
        <v>...</v>
      </c>
      <c r="Z198" s="45" t="str">
        <f t="shared" si="19"/>
        <v>...</v>
      </c>
      <c r="AA198" s="12" t="str">
        <f t="shared" si="20"/>
        <v>...</v>
      </c>
      <c r="AB198" s="45" t="str">
        <f t="shared" si="21"/>
        <v>...</v>
      </c>
      <c r="AC198" s="45" t="str">
        <f t="shared" si="22"/>
        <v>...</v>
      </c>
      <c r="AD198" s="12" t="str">
        <f t="shared" si="23"/>
        <v>...</v>
      </c>
      <c r="AE198" s="46" t="str">
        <f t="shared" si="24"/>
        <v>...</v>
      </c>
      <c r="AF198" s="2"/>
      <c r="AG198" s="2"/>
      <c r="AH198" s="2"/>
      <c r="AI198" s="2"/>
      <c r="AJ198" s="2"/>
      <c r="AK198" s="2"/>
    </row>
    <row r="199" ht="24.0" customHeight="1">
      <c r="A199" s="4"/>
      <c r="B199" s="30"/>
      <c r="C199" s="5" t="str">
        <f>IFERROR(__xludf.DUMMYFUNCTION("if(B199=0,""..."", sparkline(query(GOOGLEFINANCE(""BCBA:""&amp;B199,""price"",today()-$AI$36,today()),""select Col2"",0),{""charttype"",$AI$35}))"),"...")</f>
        <v>...</v>
      </c>
      <c r="D199" s="17"/>
      <c r="E199" s="31"/>
      <c r="F199" s="7"/>
      <c r="G199" s="8" t="str">
        <f t="shared" si="1"/>
        <v>...</v>
      </c>
      <c r="H199" s="31"/>
      <c r="I199" s="52"/>
      <c r="J199" s="45" t="str">
        <f t="shared" si="2"/>
        <v>...</v>
      </c>
      <c r="K199" s="47" t="str">
        <f t="array" ref="K199">IF(B199=0,"...",J199/VLOOKUP(D199,{CCL!M:N;CCL!$P:$Q},2,FALSE))</f>
        <v>...</v>
      </c>
      <c r="L199" s="45" t="str">
        <f>IFERROR(__xludf.DUMMYFUNCTION("if(B199=0,""..."",if(E199=""CERRADA"",""Valor Venta"", GOOGLEFINANCE(""BCBA:""&amp;B199)))"),"...")</f>
        <v>...</v>
      </c>
      <c r="M199" s="45" t="str">
        <f>if(B199=0,"...",L199*(1-VLOOKUP(A199,Config!$B$3:$C$22,2,FALSE)))</f>
        <v>...</v>
      </c>
      <c r="N199" s="45" t="str">
        <f t="shared" si="3"/>
        <v>...</v>
      </c>
      <c r="O199" s="12" t="str">
        <f>IFERROR(__xludf.DUMMYFUNCTION("if(B199=0,""..."",GOOGLEFINANCE(B199,""changepct"")/100)"),"...")</f>
        <v>...</v>
      </c>
      <c r="P199" s="10" t="str">
        <f>IFERROR(__xludf.DUMMYFUNCTION("if(B199=0,""..."",GOOGLEFINANCE(B199,""change"")*H199)"),"...")</f>
        <v>...</v>
      </c>
      <c r="Q199" s="12" t="str">
        <f t="shared" si="4"/>
        <v>...</v>
      </c>
      <c r="R199" s="47" t="str">
        <f t="shared" si="5"/>
        <v>...</v>
      </c>
      <c r="S199" s="12" t="str">
        <f t="array" ref="S199">IF(B199=0,"...",(N199/IF(E199="ABIERTA",CCL!$E$2,VLOOKUP(F199,{CCL!M:N;CCL!$P:$Q},2,FALSE))/(J199/VLOOKUP(D199,{CCL!M:N;CCL!$P:$Q},2,FALSE))-1))</f>
        <v>...</v>
      </c>
      <c r="T199" s="47" t="str">
        <f>IF(B199=0,"...",N199/VLOOKUP(IF(E199="ABIERTA",TODAY(),F199),CCL!$A$12:$B$773,2,FALSE)-J199/VLOOKUP(D199,CCL!$A$12:$B235,2,FALSE))</f>
        <v>...</v>
      </c>
      <c r="U199" s="2"/>
      <c r="V199" s="10"/>
      <c r="W199" s="59" t="str">
        <f t="shared" si="16"/>
        <v>...</v>
      </c>
      <c r="X199" s="12" t="str">
        <f t="shared" si="17"/>
        <v/>
      </c>
      <c r="Y199" s="45" t="str">
        <f t="shared" si="18"/>
        <v>...</v>
      </c>
      <c r="Z199" s="45" t="str">
        <f t="shared" si="19"/>
        <v>...</v>
      </c>
      <c r="AA199" s="12" t="str">
        <f t="shared" si="20"/>
        <v>...</v>
      </c>
      <c r="AB199" s="45" t="str">
        <f t="shared" si="21"/>
        <v>...</v>
      </c>
      <c r="AC199" s="45" t="str">
        <f t="shared" si="22"/>
        <v>...</v>
      </c>
      <c r="AD199" s="12" t="str">
        <f t="shared" si="23"/>
        <v>...</v>
      </c>
      <c r="AE199" s="46" t="str">
        <f t="shared" si="24"/>
        <v>...</v>
      </c>
      <c r="AF199" s="2"/>
      <c r="AG199" s="2"/>
      <c r="AH199" s="2"/>
      <c r="AI199" s="2"/>
      <c r="AJ199" s="2"/>
      <c r="AK199" s="2"/>
    </row>
    <row r="200" ht="24.0" customHeight="1">
      <c r="A200" s="4"/>
      <c r="B200" s="30"/>
      <c r="C200" s="5" t="str">
        <f>IFERROR(__xludf.DUMMYFUNCTION("if(B200=0,""..."", sparkline(query(GOOGLEFINANCE(""BCBA:""&amp;B200,""price"",today()-$AI$36,today()),""select Col2"",0),{""charttype"",$AI$35}))"),"...")</f>
        <v>...</v>
      </c>
      <c r="D200" s="17"/>
      <c r="E200" s="31"/>
      <c r="F200" s="7"/>
      <c r="G200" s="8" t="str">
        <f t="shared" si="1"/>
        <v>...</v>
      </c>
      <c r="H200" s="31"/>
      <c r="I200" s="52"/>
      <c r="J200" s="45" t="str">
        <f t="shared" si="2"/>
        <v>...</v>
      </c>
      <c r="K200" s="47" t="str">
        <f t="array" ref="K200">IF(B200=0,"...",J200/VLOOKUP(D200,{CCL!M:N;CCL!$P:$Q},2,FALSE))</f>
        <v>...</v>
      </c>
      <c r="L200" s="45" t="str">
        <f>IFERROR(__xludf.DUMMYFUNCTION("if(B200=0,""..."",if(E200=""CERRADA"",""Valor Venta"", GOOGLEFINANCE(""BCBA:""&amp;B200)))"),"...")</f>
        <v>...</v>
      </c>
      <c r="M200" s="45" t="str">
        <f>if(B200=0,"...",L200*(1-VLOOKUP(A200,Config!$B$3:$C$22,2,FALSE)))</f>
        <v>...</v>
      </c>
      <c r="N200" s="45" t="str">
        <f t="shared" si="3"/>
        <v>...</v>
      </c>
      <c r="O200" s="12" t="str">
        <f>IFERROR(__xludf.DUMMYFUNCTION("if(B200=0,""..."",GOOGLEFINANCE(B200,""changepct"")/100)"),"...")</f>
        <v>...</v>
      </c>
      <c r="P200" s="10" t="str">
        <f>IFERROR(__xludf.DUMMYFUNCTION("if(B200=0,""..."",GOOGLEFINANCE(B200,""change"")*H200)"),"...")</f>
        <v>...</v>
      </c>
      <c r="Q200" s="12" t="str">
        <f t="shared" si="4"/>
        <v>...</v>
      </c>
      <c r="R200" s="47" t="str">
        <f t="shared" si="5"/>
        <v>...</v>
      </c>
      <c r="S200" s="12" t="str">
        <f t="array" ref="S200">IF(B200=0,"...",(N200/IF(E200="ABIERTA",CCL!$E$2,VLOOKUP(F200,{CCL!M:N;CCL!$P:$Q},2,FALSE))/(J200/VLOOKUP(D200,{CCL!M:N;CCL!$P:$Q},2,FALSE))-1))</f>
        <v>...</v>
      </c>
      <c r="T200" s="47" t="str">
        <f>IF(B200=0,"...",N200/VLOOKUP(IF(E200="ABIERTA",TODAY(),F200),CCL!$A$12:$B$773,2,FALSE)-J200/VLOOKUP(D200,CCL!$A$12:$B235,2,FALSE))</f>
        <v>...</v>
      </c>
      <c r="U200" s="2"/>
      <c r="V200" s="10"/>
      <c r="W200" s="59" t="str">
        <f t="shared" si="16"/>
        <v>...</v>
      </c>
      <c r="X200" s="12" t="str">
        <f t="shared" si="17"/>
        <v/>
      </c>
      <c r="Y200" s="45" t="str">
        <f t="shared" si="18"/>
        <v>...</v>
      </c>
      <c r="Z200" s="45" t="str">
        <f t="shared" si="19"/>
        <v>...</v>
      </c>
      <c r="AA200" s="12" t="str">
        <f t="shared" si="20"/>
        <v>...</v>
      </c>
      <c r="AB200" s="45" t="str">
        <f t="shared" si="21"/>
        <v>...</v>
      </c>
      <c r="AC200" s="45" t="str">
        <f t="shared" si="22"/>
        <v>...</v>
      </c>
      <c r="AD200" s="12" t="str">
        <f t="shared" si="23"/>
        <v>...</v>
      </c>
      <c r="AE200" s="46" t="str">
        <f t="shared" si="24"/>
        <v>...</v>
      </c>
      <c r="AF200" s="2"/>
      <c r="AG200" s="2"/>
      <c r="AH200" s="2"/>
      <c r="AI200" s="2"/>
      <c r="AJ200" s="2"/>
      <c r="AK200" s="2"/>
    </row>
    <row r="201" ht="24.0" customHeight="1">
      <c r="A201" s="4"/>
      <c r="B201" s="30"/>
      <c r="C201" s="5" t="str">
        <f>IFERROR(__xludf.DUMMYFUNCTION("if(B201=0,""..."", sparkline(query(GOOGLEFINANCE(""BCBA:""&amp;B201,""price"",today()-$AI$36,today()),""select Col2"",0),{""charttype"",$AI$35}))"),"...")</f>
        <v>...</v>
      </c>
      <c r="D201" s="17"/>
      <c r="E201" s="31"/>
      <c r="F201" s="7"/>
      <c r="G201" s="8" t="str">
        <f t="shared" si="1"/>
        <v>...</v>
      </c>
      <c r="H201" s="31"/>
      <c r="I201" s="52"/>
      <c r="J201" s="45" t="str">
        <f t="shared" si="2"/>
        <v>...</v>
      </c>
      <c r="K201" s="47" t="str">
        <f t="array" ref="K201">IF(B201=0,"...",J201/VLOOKUP(D201,{CCL!M:N;CCL!$P:$Q},2,FALSE))</f>
        <v>...</v>
      </c>
      <c r="L201" s="45" t="str">
        <f>IFERROR(__xludf.DUMMYFUNCTION("if(B201=0,""..."",if(E201=""CERRADA"",""Valor Venta"", GOOGLEFINANCE(""BCBA:""&amp;B201)))"),"...")</f>
        <v>...</v>
      </c>
      <c r="M201" s="45" t="str">
        <f>if(B201=0,"...",L201*(1-VLOOKUP(A201,Config!$B$3:$C$22,2,FALSE)))</f>
        <v>...</v>
      </c>
      <c r="N201" s="45" t="str">
        <f t="shared" si="3"/>
        <v>...</v>
      </c>
      <c r="O201" s="12" t="str">
        <f>IFERROR(__xludf.DUMMYFUNCTION("if(B201=0,""..."",GOOGLEFINANCE(B201,""changepct"")/100)"),"...")</f>
        <v>...</v>
      </c>
      <c r="P201" s="10" t="str">
        <f>IFERROR(__xludf.DUMMYFUNCTION("if(B201=0,""..."",GOOGLEFINANCE(B201,""change"")*H201)"),"...")</f>
        <v>...</v>
      </c>
      <c r="Q201" s="12" t="str">
        <f t="shared" si="4"/>
        <v>...</v>
      </c>
      <c r="R201" s="47" t="str">
        <f t="shared" si="5"/>
        <v>...</v>
      </c>
      <c r="S201" s="12" t="str">
        <f t="array" ref="S201">IF(B201=0,"...",(N201/IF(E201="ABIERTA",CCL!$E$2,VLOOKUP(F201,{CCL!M:N;CCL!$P:$Q},2,FALSE))/(J201/VLOOKUP(D201,{CCL!M:N;CCL!$P:$Q},2,FALSE))-1))</f>
        <v>...</v>
      </c>
      <c r="T201" s="47" t="str">
        <f>IF(B201=0,"...",N201/VLOOKUP(IF(E201="ABIERTA",TODAY(),F201),CCL!$A$12:$B$773,2,FALSE)-J201/VLOOKUP(D201,CCL!$A$12:$B235,2,FALSE))</f>
        <v>...</v>
      </c>
      <c r="U201" s="2"/>
      <c r="V201" s="10"/>
      <c r="W201" s="59" t="str">
        <f t="shared" si="16"/>
        <v>...</v>
      </c>
      <c r="X201" s="12" t="str">
        <f t="shared" si="17"/>
        <v/>
      </c>
      <c r="Y201" s="45" t="str">
        <f t="shared" si="18"/>
        <v>...</v>
      </c>
      <c r="Z201" s="45" t="str">
        <f t="shared" si="19"/>
        <v>...</v>
      </c>
      <c r="AA201" s="12" t="str">
        <f t="shared" si="20"/>
        <v>...</v>
      </c>
      <c r="AB201" s="45" t="str">
        <f t="shared" si="21"/>
        <v>...</v>
      </c>
      <c r="AC201" s="45" t="str">
        <f t="shared" si="22"/>
        <v>...</v>
      </c>
      <c r="AD201" s="12" t="str">
        <f t="shared" si="23"/>
        <v>...</v>
      </c>
      <c r="AE201" s="46" t="str">
        <f t="shared" si="24"/>
        <v>...</v>
      </c>
      <c r="AF201" s="2"/>
      <c r="AG201" s="2"/>
      <c r="AH201" s="2"/>
      <c r="AI201" s="2"/>
      <c r="AJ201" s="2"/>
      <c r="AK201" s="2"/>
    </row>
    <row r="202" ht="24.0" customHeight="1">
      <c r="A202" s="4"/>
      <c r="B202" s="30"/>
      <c r="C202" s="5" t="str">
        <f>IFERROR(__xludf.DUMMYFUNCTION("if(B202=0,""..."", sparkline(query(GOOGLEFINANCE(""BCBA:""&amp;B202,""price"",today()-$AI$36,today()),""select Col2"",0),{""charttype"",$AI$35}))"),"...")</f>
        <v>...</v>
      </c>
      <c r="D202" s="17"/>
      <c r="E202" s="31"/>
      <c r="F202" s="7"/>
      <c r="G202" s="8" t="str">
        <f t="shared" si="1"/>
        <v>...</v>
      </c>
      <c r="H202" s="31"/>
      <c r="I202" s="52"/>
      <c r="J202" s="45" t="str">
        <f t="shared" si="2"/>
        <v>...</v>
      </c>
      <c r="K202" s="47" t="str">
        <f t="array" ref="K202">IF(B202=0,"...",J202/VLOOKUP(D202,{CCL!M:N;CCL!$P:$Q},2,FALSE))</f>
        <v>...</v>
      </c>
      <c r="L202" s="45" t="str">
        <f>IFERROR(__xludf.DUMMYFUNCTION("if(B202=0,""..."",if(E202=""CERRADA"",""Valor Venta"", GOOGLEFINANCE(""BCBA:""&amp;B202)))"),"...")</f>
        <v>...</v>
      </c>
      <c r="M202" s="45" t="str">
        <f>if(B202=0,"...",L202*(1-VLOOKUP(A202,Config!$B$3:$C$22,2,FALSE)))</f>
        <v>...</v>
      </c>
      <c r="N202" s="45" t="str">
        <f t="shared" si="3"/>
        <v>...</v>
      </c>
      <c r="O202" s="12" t="str">
        <f>IFERROR(__xludf.DUMMYFUNCTION("if(B202=0,""..."",GOOGLEFINANCE(B202,""changepct"")/100)"),"...")</f>
        <v>...</v>
      </c>
      <c r="P202" s="10" t="str">
        <f>IFERROR(__xludf.DUMMYFUNCTION("if(B202=0,""..."",GOOGLEFINANCE(B202,""change"")*H202)"),"...")</f>
        <v>...</v>
      </c>
      <c r="Q202" s="12" t="str">
        <f t="shared" si="4"/>
        <v>...</v>
      </c>
      <c r="R202" s="47" t="str">
        <f t="shared" si="5"/>
        <v>...</v>
      </c>
      <c r="S202" s="12" t="str">
        <f t="array" ref="S202">IF(B202=0,"...",(N202/IF(E202="ABIERTA",CCL!$E$2,VLOOKUP(F202,{CCL!M:N;CCL!$P:$Q},2,FALSE))/(J202/VLOOKUP(D202,{CCL!M:N;CCL!$P:$Q},2,FALSE))-1))</f>
        <v>...</v>
      </c>
      <c r="T202" s="47" t="str">
        <f>IF(B202=0,"...",N202/VLOOKUP(IF(E202="ABIERTA",TODAY(),F202),CCL!$A$12:$B$773,2,FALSE)-J202/VLOOKUP(D202,CCL!$A$12:$B235,2,FALSE))</f>
        <v>...</v>
      </c>
      <c r="U202" s="2"/>
      <c r="V202" s="10"/>
      <c r="W202" s="59" t="str">
        <f t="shared" si="16"/>
        <v>...</v>
      </c>
      <c r="X202" s="12" t="str">
        <f t="shared" si="17"/>
        <v/>
      </c>
      <c r="Y202" s="45" t="str">
        <f t="shared" si="18"/>
        <v>...</v>
      </c>
      <c r="Z202" s="45" t="str">
        <f t="shared" si="19"/>
        <v>...</v>
      </c>
      <c r="AA202" s="12" t="str">
        <f t="shared" si="20"/>
        <v>...</v>
      </c>
      <c r="AB202" s="45" t="str">
        <f t="shared" si="21"/>
        <v>...</v>
      </c>
      <c r="AC202" s="45" t="str">
        <f t="shared" si="22"/>
        <v>...</v>
      </c>
      <c r="AD202" s="12" t="str">
        <f t="shared" si="23"/>
        <v>...</v>
      </c>
      <c r="AE202" s="46" t="str">
        <f t="shared" si="24"/>
        <v>...</v>
      </c>
      <c r="AF202" s="2"/>
      <c r="AG202" s="2"/>
      <c r="AH202" s="2"/>
      <c r="AI202" s="2"/>
      <c r="AJ202" s="2"/>
      <c r="AK202" s="2"/>
    </row>
    <row r="203" ht="24.0" customHeight="1">
      <c r="A203" s="4"/>
      <c r="B203" s="30"/>
      <c r="C203" s="5" t="str">
        <f>IFERROR(__xludf.DUMMYFUNCTION("if(B203=0,""..."", sparkline(query(GOOGLEFINANCE(""BCBA:""&amp;B203,""price"",today()-$AI$36,today()),""select Col2"",0),{""charttype"",$AI$35}))"),"...")</f>
        <v>...</v>
      </c>
      <c r="D203" s="17"/>
      <c r="E203" s="31"/>
      <c r="F203" s="7"/>
      <c r="G203" s="8" t="str">
        <f t="shared" si="1"/>
        <v>...</v>
      </c>
      <c r="H203" s="31"/>
      <c r="I203" s="52"/>
      <c r="J203" s="45" t="str">
        <f t="shared" si="2"/>
        <v>...</v>
      </c>
      <c r="K203" s="47" t="str">
        <f t="array" ref="K203">IF(B203=0,"...",J203/VLOOKUP(D203,{CCL!M:N;CCL!$P:$Q},2,FALSE))</f>
        <v>...</v>
      </c>
      <c r="L203" s="45" t="str">
        <f>IFERROR(__xludf.DUMMYFUNCTION("if(B203=0,""..."",if(E203=""CERRADA"",""Valor Venta"", GOOGLEFINANCE(""BCBA:""&amp;B203)))"),"...")</f>
        <v>...</v>
      </c>
      <c r="M203" s="45" t="str">
        <f>if(B203=0,"...",L203*(1-VLOOKUP(A203,Config!$B$3:$C$22,2,FALSE)))</f>
        <v>...</v>
      </c>
      <c r="N203" s="45" t="str">
        <f t="shared" si="3"/>
        <v>...</v>
      </c>
      <c r="O203" s="12" t="str">
        <f>IFERROR(__xludf.DUMMYFUNCTION("if(B203=0,""..."",GOOGLEFINANCE(B203,""changepct"")/100)"),"...")</f>
        <v>...</v>
      </c>
      <c r="P203" s="10" t="str">
        <f>IFERROR(__xludf.DUMMYFUNCTION("if(B203=0,""..."",GOOGLEFINANCE(B203,""change"")*H203)"),"...")</f>
        <v>...</v>
      </c>
      <c r="Q203" s="12" t="str">
        <f t="shared" si="4"/>
        <v>...</v>
      </c>
      <c r="R203" s="47" t="str">
        <f t="shared" si="5"/>
        <v>...</v>
      </c>
      <c r="S203" s="12" t="str">
        <f t="array" ref="S203">IF(B203=0,"...",(N203/IF(E203="ABIERTA",CCL!$E$2,VLOOKUP(F203,{CCL!M:N;CCL!$P:$Q},2,FALSE))/(J203/VLOOKUP(D203,{CCL!M:N;CCL!$P:$Q},2,FALSE))-1))</f>
        <v>...</v>
      </c>
      <c r="T203" s="47" t="str">
        <f>IF(B203=0,"...",N203/VLOOKUP(IF(E203="ABIERTA",TODAY(),F203),CCL!$A$12:$B$773,2,FALSE)-J203/VLOOKUP(D203,CCL!$A$12:$B235,2,FALSE))</f>
        <v>...</v>
      </c>
      <c r="U203" s="2"/>
      <c r="V203" s="10"/>
      <c r="W203" s="59" t="str">
        <f t="shared" si="16"/>
        <v>...</v>
      </c>
      <c r="X203" s="12" t="str">
        <f t="shared" si="17"/>
        <v/>
      </c>
      <c r="Y203" s="45" t="str">
        <f t="shared" si="18"/>
        <v>...</v>
      </c>
      <c r="Z203" s="45" t="str">
        <f t="shared" si="19"/>
        <v>...</v>
      </c>
      <c r="AA203" s="12" t="str">
        <f t="shared" si="20"/>
        <v>...</v>
      </c>
      <c r="AB203" s="45" t="str">
        <f t="shared" si="21"/>
        <v>...</v>
      </c>
      <c r="AC203" s="45" t="str">
        <f t="shared" si="22"/>
        <v>...</v>
      </c>
      <c r="AD203" s="12" t="str">
        <f t="shared" si="23"/>
        <v>...</v>
      </c>
      <c r="AE203" s="46" t="str">
        <f t="shared" si="24"/>
        <v>...</v>
      </c>
      <c r="AF203" s="2"/>
      <c r="AG203" s="2"/>
      <c r="AH203" s="2"/>
      <c r="AI203" s="2"/>
      <c r="AJ203" s="2"/>
      <c r="AK203" s="2"/>
    </row>
    <row r="204" ht="24.0" customHeight="1">
      <c r="A204" s="4"/>
      <c r="B204" s="30"/>
      <c r="C204" s="5" t="str">
        <f>IFERROR(__xludf.DUMMYFUNCTION("if(B204=0,""..."", sparkline(query(GOOGLEFINANCE(""BCBA:""&amp;B204,""price"",today()-$AI$36,today()),""select Col2"",0),{""charttype"",$AI$35}))"),"...")</f>
        <v>...</v>
      </c>
      <c r="D204" s="17"/>
      <c r="E204" s="31"/>
      <c r="F204" s="7"/>
      <c r="G204" s="8" t="str">
        <f t="shared" si="1"/>
        <v>...</v>
      </c>
      <c r="H204" s="31"/>
      <c r="I204" s="52"/>
      <c r="J204" s="45" t="str">
        <f t="shared" si="2"/>
        <v>...</v>
      </c>
      <c r="K204" s="47" t="str">
        <f t="array" ref="K204">IF(B204=0,"...",J204/VLOOKUP(D204,{CCL!M:N;CCL!$P:$Q},2,FALSE))</f>
        <v>...</v>
      </c>
      <c r="L204" s="45" t="str">
        <f>IFERROR(__xludf.DUMMYFUNCTION("if(B204=0,""..."",if(E204=""CERRADA"",""Valor Venta"", GOOGLEFINANCE(""BCBA:""&amp;B204)))"),"...")</f>
        <v>...</v>
      </c>
      <c r="M204" s="45" t="str">
        <f>if(B204=0,"...",L204*(1-VLOOKUP(A204,Config!$B$3:$C$22,2,FALSE)))</f>
        <v>...</v>
      </c>
      <c r="N204" s="45" t="str">
        <f t="shared" si="3"/>
        <v>...</v>
      </c>
      <c r="O204" s="12" t="str">
        <f>IFERROR(__xludf.DUMMYFUNCTION("if(B204=0,""..."",GOOGLEFINANCE(B204,""changepct"")/100)"),"...")</f>
        <v>...</v>
      </c>
      <c r="P204" s="10" t="str">
        <f>IFERROR(__xludf.DUMMYFUNCTION("if(B204=0,""..."",GOOGLEFINANCE(B204,""change"")*H204)"),"...")</f>
        <v>...</v>
      </c>
      <c r="Q204" s="12" t="str">
        <f t="shared" si="4"/>
        <v>...</v>
      </c>
      <c r="R204" s="47" t="str">
        <f t="shared" si="5"/>
        <v>...</v>
      </c>
      <c r="S204" s="12" t="str">
        <f t="array" ref="S204">IF(B204=0,"...",(N204/IF(E204="ABIERTA",CCL!$E$2,VLOOKUP(F204,{CCL!M:N;CCL!$P:$Q},2,FALSE))/(J204/VLOOKUP(D204,{CCL!M:N;CCL!$P:$Q},2,FALSE))-1))</f>
        <v>...</v>
      </c>
      <c r="T204" s="47" t="str">
        <f>IF(B204=0,"...",N204/VLOOKUP(IF(E204="ABIERTA",TODAY(),F204),CCL!$A$12:$B$773,2,FALSE)-J204/VLOOKUP(D204,CCL!$A$12:$B235,2,FALSE))</f>
        <v>...</v>
      </c>
      <c r="U204" s="2"/>
      <c r="V204" s="10"/>
      <c r="W204" s="59" t="str">
        <f t="shared" si="16"/>
        <v>...</v>
      </c>
      <c r="X204" s="12" t="str">
        <f t="shared" si="17"/>
        <v/>
      </c>
      <c r="Y204" s="45" t="str">
        <f t="shared" si="18"/>
        <v>...</v>
      </c>
      <c r="Z204" s="45" t="str">
        <f t="shared" si="19"/>
        <v>...</v>
      </c>
      <c r="AA204" s="12" t="str">
        <f t="shared" si="20"/>
        <v>...</v>
      </c>
      <c r="AB204" s="45" t="str">
        <f t="shared" si="21"/>
        <v>...</v>
      </c>
      <c r="AC204" s="45" t="str">
        <f t="shared" si="22"/>
        <v>...</v>
      </c>
      <c r="AD204" s="12" t="str">
        <f t="shared" si="23"/>
        <v>...</v>
      </c>
      <c r="AE204" s="46" t="str">
        <f t="shared" si="24"/>
        <v>...</v>
      </c>
      <c r="AF204" s="2"/>
      <c r="AG204" s="2"/>
      <c r="AH204" s="2"/>
      <c r="AI204" s="2"/>
      <c r="AJ204" s="2"/>
      <c r="AK204" s="2"/>
    </row>
    <row r="205" ht="24.0" customHeight="1">
      <c r="A205" s="4"/>
      <c r="B205" s="30"/>
      <c r="C205" s="5" t="str">
        <f>IFERROR(__xludf.DUMMYFUNCTION("if(B205=0,""..."", sparkline(query(GOOGLEFINANCE(""BCBA:""&amp;B205,""price"",today()-$AI$36,today()),""select Col2"",0),{""charttype"",$AI$35}))"),"...")</f>
        <v>...</v>
      </c>
      <c r="D205" s="17"/>
      <c r="E205" s="31"/>
      <c r="F205" s="7"/>
      <c r="G205" s="8" t="str">
        <f t="shared" si="1"/>
        <v>...</v>
      </c>
      <c r="H205" s="31"/>
      <c r="I205" s="52"/>
      <c r="J205" s="45" t="str">
        <f t="shared" si="2"/>
        <v>...</v>
      </c>
      <c r="K205" s="47" t="str">
        <f t="array" ref="K205">IF(B205=0,"...",J205/VLOOKUP(D205,{CCL!M:N;CCL!$P:$Q},2,FALSE))</f>
        <v>...</v>
      </c>
      <c r="L205" s="45" t="str">
        <f>IFERROR(__xludf.DUMMYFUNCTION("if(B205=0,""..."",if(E205=""CERRADA"",""Valor Venta"", GOOGLEFINANCE(""BCBA:""&amp;B205)))"),"...")</f>
        <v>...</v>
      </c>
      <c r="M205" s="45" t="str">
        <f>if(B205=0,"...",L205*(1-VLOOKUP(A205,Config!$B$3:$C$22,2,FALSE)))</f>
        <v>...</v>
      </c>
      <c r="N205" s="45" t="str">
        <f t="shared" si="3"/>
        <v>...</v>
      </c>
      <c r="O205" s="12" t="str">
        <f>IFERROR(__xludf.DUMMYFUNCTION("if(B205=0,""..."",GOOGLEFINANCE(B205,""changepct"")/100)"),"...")</f>
        <v>...</v>
      </c>
      <c r="P205" s="10" t="str">
        <f>IFERROR(__xludf.DUMMYFUNCTION("if(B205=0,""..."",GOOGLEFINANCE(B205,""change"")*H205)"),"...")</f>
        <v>...</v>
      </c>
      <c r="Q205" s="12" t="str">
        <f t="shared" si="4"/>
        <v>...</v>
      </c>
      <c r="R205" s="47" t="str">
        <f t="shared" si="5"/>
        <v>...</v>
      </c>
      <c r="S205" s="12" t="str">
        <f t="array" ref="S205">IF(B205=0,"...",(N205/IF(E205="ABIERTA",CCL!$E$2,VLOOKUP(F205,{CCL!M:N;CCL!$P:$Q},2,FALSE))/(J205/VLOOKUP(D205,{CCL!M:N;CCL!$P:$Q},2,FALSE))-1))</f>
        <v>...</v>
      </c>
      <c r="T205" s="47" t="str">
        <f>IF(B205=0,"...",N205/VLOOKUP(IF(E205="ABIERTA",TODAY(),F205),CCL!$A$12:$B$773,2,FALSE)-J205/VLOOKUP(D205,CCL!$A$12:$B235,2,FALSE))</f>
        <v>...</v>
      </c>
      <c r="U205" s="2"/>
      <c r="V205" s="10"/>
      <c r="W205" s="59" t="str">
        <f t="shared" si="16"/>
        <v>...</v>
      </c>
      <c r="X205" s="12" t="str">
        <f t="shared" si="17"/>
        <v/>
      </c>
      <c r="Y205" s="45" t="str">
        <f t="shared" si="18"/>
        <v>...</v>
      </c>
      <c r="Z205" s="45" t="str">
        <f t="shared" si="19"/>
        <v>...</v>
      </c>
      <c r="AA205" s="12" t="str">
        <f t="shared" si="20"/>
        <v>...</v>
      </c>
      <c r="AB205" s="45" t="str">
        <f t="shared" si="21"/>
        <v>...</v>
      </c>
      <c r="AC205" s="45" t="str">
        <f t="shared" si="22"/>
        <v>...</v>
      </c>
      <c r="AD205" s="12" t="str">
        <f t="shared" si="23"/>
        <v>...</v>
      </c>
      <c r="AE205" s="46" t="str">
        <f t="shared" si="24"/>
        <v>...</v>
      </c>
      <c r="AF205" s="2"/>
      <c r="AG205" s="2"/>
      <c r="AH205" s="2"/>
      <c r="AI205" s="2"/>
      <c r="AJ205" s="2"/>
      <c r="AK205" s="2"/>
    </row>
    <row r="206" ht="24.0" customHeight="1">
      <c r="A206" s="4"/>
      <c r="B206" s="30"/>
      <c r="C206" s="5" t="str">
        <f>IFERROR(__xludf.DUMMYFUNCTION("if(B206=0,""..."", sparkline(query(GOOGLEFINANCE(""BCBA:""&amp;B206,""price"",today()-$AI$36,today()),""select Col2"",0),{""charttype"",$AI$35}))"),"...")</f>
        <v>...</v>
      </c>
      <c r="D206" s="17"/>
      <c r="E206" s="31"/>
      <c r="F206" s="7"/>
      <c r="G206" s="8" t="str">
        <f t="shared" si="1"/>
        <v>...</v>
      </c>
      <c r="H206" s="31"/>
      <c r="I206" s="52"/>
      <c r="J206" s="45" t="str">
        <f t="shared" si="2"/>
        <v>...</v>
      </c>
      <c r="K206" s="47" t="str">
        <f t="array" ref="K206">IF(B206=0,"...",J206/VLOOKUP(D206,{CCL!M:N;CCL!$P:$Q},2,FALSE))</f>
        <v>...</v>
      </c>
      <c r="L206" s="45" t="str">
        <f>IFERROR(__xludf.DUMMYFUNCTION("if(B206=0,""..."",if(E206=""CERRADA"",""Valor Venta"", GOOGLEFINANCE(""BCBA:""&amp;B206)))"),"...")</f>
        <v>...</v>
      </c>
      <c r="M206" s="45" t="str">
        <f>if(B206=0,"...",L206*(1-VLOOKUP(A206,Config!$B$3:$C$22,2,FALSE)))</f>
        <v>...</v>
      </c>
      <c r="N206" s="45" t="str">
        <f t="shared" si="3"/>
        <v>...</v>
      </c>
      <c r="O206" s="12" t="str">
        <f>IFERROR(__xludf.DUMMYFUNCTION("if(B206=0,""..."",GOOGLEFINANCE(B206,""changepct"")/100)"),"...")</f>
        <v>...</v>
      </c>
      <c r="P206" s="10" t="str">
        <f>IFERROR(__xludf.DUMMYFUNCTION("if(B206=0,""..."",GOOGLEFINANCE(B206,""change"")*H206)"),"...")</f>
        <v>...</v>
      </c>
      <c r="Q206" s="12" t="str">
        <f t="shared" si="4"/>
        <v>...</v>
      </c>
      <c r="R206" s="47" t="str">
        <f t="shared" si="5"/>
        <v>...</v>
      </c>
      <c r="S206" s="12" t="str">
        <f t="array" ref="S206">IF(B206=0,"...",(N206/IF(E206="ABIERTA",CCL!$E$2,VLOOKUP(F206,{CCL!M:N;CCL!$P:$Q},2,FALSE))/(J206/VLOOKUP(D206,{CCL!M:N;CCL!$P:$Q},2,FALSE))-1))</f>
        <v>...</v>
      </c>
      <c r="T206" s="47" t="str">
        <f>IF(B206=0,"...",N206/VLOOKUP(IF(E206="ABIERTA",TODAY(),F206),CCL!$A$12:$B$773,2,FALSE)-J206/VLOOKUP(D206,CCL!$A$12:$B235,2,FALSE))</f>
        <v>...</v>
      </c>
      <c r="U206" s="2"/>
      <c r="V206" s="10"/>
      <c r="W206" s="59" t="str">
        <f t="shared" si="16"/>
        <v>...</v>
      </c>
      <c r="X206" s="12" t="str">
        <f t="shared" si="17"/>
        <v/>
      </c>
      <c r="Y206" s="45" t="str">
        <f t="shared" si="18"/>
        <v>...</v>
      </c>
      <c r="Z206" s="45" t="str">
        <f t="shared" si="19"/>
        <v>...</v>
      </c>
      <c r="AA206" s="12" t="str">
        <f t="shared" si="20"/>
        <v>...</v>
      </c>
      <c r="AB206" s="45" t="str">
        <f t="shared" si="21"/>
        <v>...</v>
      </c>
      <c r="AC206" s="45" t="str">
        <f t="shared" si="22"/>
        <v>...</v>
      </c>
      <c r="AD206" s="12" t="str">
        <f t="shared" si="23"/>
        <v>...</v>
      </c>
      <c r="AE206" s="46" t="str">
        <f t="shared" si="24"/>
        <v>...</v>
      </c>
      <c r="AF206" s="2"/>
      <c r="AG206" s="2"/>
      <c r="AH206" s="2"/>
      <c r="AI206" s="2"/>
      <c r="AJ206" s="2"/>
      <c r="AK206" s="2"/>
    </row>
    <row r="207" ht="24.0" customHeight="1">
      <c r="A207" s="4"/>
      <c r="B207" s="30"/>
      <c r="C207" s="5" t="str">
        <f>IFERROR(__xludf.DUMMYFUNCTION("if(B207=0,""..."", sparkline(query(GOOGLEFINANCE(""BCBA:""&amp;B207,""price"",today()-$AI$36,today()),""select Col2"",0),{""charttype"",$AI$35}))"),"...")</f>
        <v>...</v>
      </c>
      <c r="D207" s="17"/>
      <c r="E207" s="31"/>
      <c r="F207" s="7"/>
      <c r="G207" s="8" t="str">
        <f t="shared" si="1"/>
        <v>...</v>
      </c>
      <c r="H207" s="31"/>
      <c r="I207" s="52"/>
      <c r="J207" s="45" t="str">
        <f t="shared" si="2"/>
        <v>...</v>
      </c>
      <c r="K207" s="47" t="str">
        <f t="array" ref="K207">IF(B207=0,"...",J207/VLOOKUP(D207,{CCL!M:N;CCL!$P:$Q},2,FALSE))</f>
        <v>...</v>
      </c>
      <c r="L207" s="45" t="str">
        <f>IFERROR(__xludf.DUMMYFUNCTION("if(B207=0,""..."",if(E207=""CERRADA"",""Valor Venta"", GOOGLEFINANCE(""BCBA:""&amp;B207)))"),"...")</f>
        <v>...</v>
      </c>
      <c r="M207" s="45" t="str">
        <f>if(B207=0,"...",L207*(1-VLOOKUP(A207,Config!$B$3:$C$22,2,FALSE)))</f>
        <v>...</v>
      </c>
      <c r="N207" s="45" t="str">
        <f t="shared" si="3"/>
        <v>...</v>
      </c>
      <c r="O207" s="12" t="str">
        <f>IFERROR(__xludf.DUMMYFUNCTION("if(B207=0,""..."",GOOGLEFINANCE(B207,""changepct"")/100)"),"...")</f>
        <v>...</v>
      </c>
      <c r="P207" s="10" t="str">
        <f>IFERROR(__xludf.DUMMYFUNCTION("if(B207=0,""..."",GOOGLEFINANCE(B207,""change"")*H207)"),"...")</f>
        <v>...</v>
      </c>
      <c r="Q207" s="12" t="str">
        <f t="shared" si="4"/>
        <v>...</v>
      </c>
      <c r="R207" s="47" t="str">
        <f t="shared" si="5"/>
        <v>...</v>
      </c>
      <c r="S207" s="12" t="str">
        <f t="array" ref="S207">IF(B207=0,"...",(N207/IF(E207="ABIERTA",CCL!$E$2,VLOOKUP(F207,{CCL!M:N;CCL!$P:$Q},2,FALSE))/(J207/VLOOKUP(D207,{CCL!M:N;CCL!$P:$Q},2,FALSE))-1))</f>
        <v>...</v>
      </c>
      <c r="T207" s="47" t="str">
        <f>IF(B207=0,"...",N207/VLOOKUP(IF(E207="ABIERTA",TODAY(),F207),CCL!$A$12:$B$773,2,FALSE)-J207/VLOOKUP(D207,CCL!$A$12:$B235,2,FALSE))</f>
        <v>...</v>
      </c>
      <c r="U207" s="2"/>
      <c r="V207" s="10"/>
      <c r="W207" s="59" t="str">
        <f t="shared" si="16"/>
        <v>...</v>
      </c>
      <c r="X207" s="12" t="str">
        <f t="shared" si="17"/>
        <v/>
      </c>
      <c r="Y207" s="45" t="str">
        <f t="shared" si="18"/>
        <v>...</v>
      </c>
      <c r="Z207" s="45" t="str">
        <f t="shared" si="19"/>
        <v>...</v>
      </c>
      <c r="AA207" s="12" t="str">
        <f t="shared" si="20"/>
        <v>...</v>
      </c>
      <c r="AB207" s="45" t="str">
        <f t="shared" si="21"/>
        <v>...</v>
      </c>
      <c r="AC207" s="45" t="str">
        <f t="shared" si="22"/>
        <v>...</v>
      </c>
      <c r="AD207" s="12" t="str">
        <f t="shared" si="23"/>
        <v>...</v>
      </c>
      <c r="AE207" s="46" t="str">
        <f t="shared" si="24"/>
        <v>...</v>
      </c>
      <c r="AF207" s="2"/>
      <c r="AG207" s="2"/>
      <c r="AH207" s="2"/>
      <c r="AI207" s="2"/>
      <c r="AJ207" s="2"/>
      <c r="AK207" s="2"/>
    </row>
    <row r="208" ht="24.0" customHeight="1">
      <c r="A208" s="4"/>
      <c r="B208" s="30"/>
      <c r="C208" s="5" t="str">
        <f>IFERROR(__xludf.DUMMYFUNCTION("if(B208=0,""..."", sparkline(query(GOOGLEFINANCE(""BCBA:""&amp;B208,""price"",today()-$AI$36,today()),""select Col2"",0),{""charttype"",$AI$35}))"),"...")</f>
        <v>...</v>
      </c>
      <c r="D208" s="17"/>
      <c r="E208" s="31"/>
      <c r="F208" s="7"/>
      <c r="G208" s="8" t="str">
        <f t="shared" si="1"/>
        <v>...</v>
      </c>
      <c r="H208" s="31"/>
      <c r="I208" s="52"/>
      <c r="J208" s="45" t="str">
        <f t="shared" si="2"/>
        <v>...</v>
      </c>
      <c r="K208" s="47" t="str">
        <f t="array" ref="K208">IF(B208=0,"...",J208/VLOOKUP(D208,{CCL!M:N;CCL!$P:$Q},2,FALSE))</f>
        <v>...</v>
      </c>
      <c r="L208" s="45" t="str">
        <f>IFERROR(__xludf.DUMMYFUNCTION("if(B208=0,""..."",if(E208=""CERRADA"",""Valor Venta"", GOOGLEFINANCE(""BCBA:""&amp;B208)))"),"...")</f>
        <v>...</v>
      </c>
      <c r="M208" s="45" t="str">
        <f>if(B208=0,"...",L208*(1-VLOOKUP(A208,Config!$B$3:$C$22,2,FALSE)))</f>
        <v>...</v>
      </c>
      <c r="N208" s="45" t="str">
        <f t="shared" si="3"/>
        <v>...</v>
      </c>
      <c r="O208" s="12" t="str">
        <f>IFERROR(__xludf.DUMMYFUNCTION("if(B208=0,""..."",GOOGLEFINANCE(B208,""changepct"")/100)"),"...")</f>
        <v>...</v>
      </c>
      <c r="P208" s="10" t="str">
        <f>IFERROR(__xludf.DUMMYFUNCTION("if(B208=0,""..."",GOOGLEFINANCE(B208,""change"")*H208)"),"...")</f>
        <v>...</v>
      </c>
      <c r="Q208" s="12" t="str">
        <f t="shared" si="4"/>
        <v>...</v>
      </c>
      <c r="R208" s="47" t="str">
        <f t="shared" si="5"/>
        <v>...</v>
      </c>
      <c r="S208" s="12" t="str">
        <f t="array" ref="S208">IF(B208=0,"...",(N208/IF(E208="ABIERTA",CCL!$E$2,VLOOKUP(F208,{CCL!M:N;CCL!$P:$Q},2,FALSE))/(J208/VLOOKUP(D208,{CCL!M:N;CCL!$P:$Q},2,FALSE))-1))</f>
        <v>...</v>
      </c>
      <c r="T208" s="47" t="str">
        <f>IF(B208=0,"...",N208/VLOOKUP(IF(E208="ABIERTA",TODAY(),F208),CCL!$A$12:$B$773,2,FALSE)-J208/VLOOKUP(D208,CCL!$A$12:$B235,2,FALSE))</f>
        <v>...</v>
      </c>
      <c r="U208" s="2"/>
      <c r="V208" s="10"/>
      <c r="W208" s="59" t="str">
        <f t="shared" si="16"/>
        <v>...</v>
      </c>
      <c r="X208" s="12" t="str">
        <f t="shared" si="17"/>
        <v/>
      </c>
      <c r="Y208" s="45" t="str">
        <f t="shared" si="18"/>
        <v>...</v>
      </c>
      <c r="Z208" s="45" t="str">
        <f t="shared" si="19"/>
        <v>...</v>
      </c>
      <c r="AA208" s="12" t="str">
        <f t="shared" si="20"/>
        <v>...</v>
      </c>
      <c r="AB208" s="45" t="str">
        <f t="shared" si="21"/>
        <v>...</v>
      </c>
      <c r="AC208" s="45" t="str">
        <f t="shared" si="22"/>
        <v>...</v>
      </c>
      <c r="AD208" s="12" t="str">
        <f t="shared" si="23"/>
        <v>...</v>
      </c>
      <c r="AE208" s="46" t="str">
        <f t="shared" si="24"/>
        <v>...</v>
      </c>
      <c r="AF208" s="2"/>
      <c r="AG208" s="2"/>
      <c r="AH208" s="2"/>
      <c r="AI208" s="2"/>
      <c r="AJ208" s="2"/>
      <c r="AK208" s="2"/>
    </row>
    <row r="209" ht="24.0" customHeight="1">
      <c r="A209" s="4"/>
      <c r="B209" s="30"/>
      <c r="C209" s="5" t="str">
        <f>IFERROR(__xludf.DUMMYFUNCTION("if(B209=0,""..."", sparkline(query(GOOGLEFINANCE(""BCBA:""&amp;B209,""price"",today()-$AI$36,today()),""select Col2"",0),{""charttype"",$AI$35}))"),"...")</f>
        <v>...</v>
      </c>
      <c r="D209" s="17"/>
      <c r="E209" s="31"/>
      <c r="F209" s="7"/>
      <c r="G209" s="8" t="str">
        <f t="shared" si="1"/>
        <v>...</v>
      </c>
      <c r="H209" s="31"/>
      <c r="I209" s="52"/>
      <c r="J209" s="45" t="str">
        <f t="shared" si="2"/>
        <v>...</v>
      </c>
      <c r="K209" s="47" t="str">
        <f t="array" ref="K209">IF(B209=0,"...",J209/VLOOKUP(D209,{CCL!M:N;CCL!$P:$Q},2,FALSE))</f>
        <v>...</v>
      </c>
      <c r="L209" s="45" t="str">
        <f>IFERROR(__xludf.DUMMYFUNCTION("if(B209=0,""..."",if(E209=""CERRADA"",""Valor Venta"", GOOGLEFINANCE(""BCBA:""&amp;B209)))"),"...")</f>
        <v>...</v>
      </c>
      <c r="M209" s="45" t="str">
        <f>if(B209=0,"...",L209*(1-VLOOKUP(A209,Config!$B$3:$C$22,2,FALSE)))</f>
        <v>...</v>
      </c>
      <c r="N209" s="45" t="str">
        <f t="shared" si="3"/>
        <v>...</v>
      </c>
      <c r="O209" s="12" t="str">
        <f>IFERROR(__xludf.DUMMYFUNCTION("if(B209=0,""..."",GOOGLEFINANCE(B209,""changepct"")/100)"),"...")</f>
        <v>...</v>
      </c>
      <c r="P209" s="10" t="str">
        <f>IFERROR(__xludf.DUMMYFUNCTION("if(B209=0,""..."",GOOGLEFINANCE(B209,""change"")*H209)"),"...")</f>
        <v>...</v>
      </c>
      <c r="Q209" s="12" t="str">
        <f t="shared" si="4"/>
        <v>...</v>
      </c>
      <c r="R209" s="47" t="str">
        <f t="shared" si="5"/>
        <v>...</v>
      </c>
      <c r="S209" s="12" t="str">
        <f t="array" ref="S209">IF(B209=0,"...",(N209/IF(E209="ABIERTA",CCL!$E$2,VLOOKUP(F209,{CCL!M:N;CCL!$P:$Q},2,FALSE))/(J209/VLOOKUP(D209,{CCL!M:N;CCL!$P:$Q},2,FALSE))-1))</f>
        <v>...</v>
      </c>
      <c r="T209" s="47" t="str">
        <f>IF(B209=0,"...",N209/VLOOKUP(IF(E209="ABIERTA",TODAY(),F209),CCL!$A$12:$B$773,2,FALSE)-J209/VLOOKUP(D209,CCL!$A$12:$B235,2,FALSE))</f>
        <v>...</v>
      </c>
      <c r="U209" s="2"/>
      <c r="V209" s="10"/>
      <c r="W209" s="59" t="str">
        <f t="shared" si="16"/>
        <v>...</v>
      </c>
      <c r="X209" s="12" t="str">
        <f t="shared" si="17"/>
        <v/>
      </c>
      <c r="Y209" s="45" t="str">
        <f t="shared" si="18"/>
        <v>...</v>
      </c>
      <c r="Z209" s="45" t="str">
        <f t="shared" si="19"/>
        <v>...</v>
      </c>
      <c r="AA209" s="12" t="str">
        <f t="shared" si="20"/>
        <v>...</v>
      </c>
      <c r="AB209" s="45" t="str">
        <f t="shared" si="21"/>
        <v>...</v>
      </c>
      <c r="AC209" s="45" t="str">
        <f t="shared" si="22"/>
        <v>...</v>
      </c>
      <c r="AD209" s="12" t="str">
        <f t="shared" si="23"/>
        <v>...</v>
      </c>
      <c r="AE209" s="46" t="str">
        <f t="shared" si="24"/>
        <v>...</v>
      </c>
      <c r="AF209" s="2"/>
      <c r="AG209" s="2"/>
      <c r="AH209" s="2"/>
      <c r="AI209" s="2"/>
      <c r="AJ209" s="2"/>
      <c r="AK209" s="2"/>
    </row>
    <row r="210" ht="24.0" customHeight="1">
      <c r="A210" s="4"/>
      <c r="B210" s="30"/>
      <c r="C210" s="5" t="str">
        <f>IFERROR(__xludf.DUMMYFUNCTION("if(B210=0,""..."", sparkline(query(GOOGLEFINANCE(""BCBA:""&amp;B210,""price"",today()-$AI$36,today()),""select Col2"",0),{""charttype"",$AI$35}))"),"...")</f>
        <v>...</v>
      </c>
      <c r="D210" s="17"/>
      <c r="E210" s="31"/>
      <c r="F210" s="7"/>
      <c r="G210" s="8" t="str">
        <f t="shared" si="1"/>
        <v>...</v>
      </c>
      <c r="H210" s="31"/>
      <c r="I210" s="52"/>
      <c r="J210" s="45" t="str">
        <f t="shared" si="2"/>
        <v>...</v>
      </c>
      <c r="K210" s="47" t="str">
        <f t="array" ref="K210">IF(B210=0,"...",J210/VLOOKUP(D210,{CCL!M:N;CCL!$P:$Q},2,FALSE))</f>
        <v>...</v>
      </c>
      <c r="L210" s="45" t="str">
        <f>IFERROR(__xludf.DUMMYFUNCTION("if(B210=0,""..."",if(E210=""CERRADA"",""Valor Venta"", GOOGLEFINANCE(""BCBA:""&amp;B210)))"),"...")</f>
        <v>...</v>
      </c>
      <c r="M210" s="45" t="str">
        <f>if(B210=0,"...",L210*(1-VLOOKUP(A210,Config!$B$3:$C$22,2,FALSE)))</f>
        <v>...</v>
      </c>
      <c r="N210" s="45" t="str">
        <f t="shared" si="3"/>
        <v>...</v>
      </c>
      <c r="O210" s="12" t="str">
        <f>IFERROR(__xludf.DUMMYFUNCTION("if(B210=0,""..."",GOOGLEFINANCE(B210,""changepct"")/100)"),"...")</f>
        <v>...</v>
      </c>
      <c r="P210" s="10" t="str">
        <f>IFERROR(__xludf.DUMMYFUNCTION("if(B210=0,""..."",GOOGLEFINANCE(B210,""change"")*H210)"),"...")</f>
        <v>...</v>
      </c>
      <c r="Q210" s="12" t="str">
        <f t="shared" si="4"/>
        <v>...</v>
      </c>
      <c r="R210" s="47" t="str">
        <f t="shared" si="5"/>
        <v>...</v>
      </c>
      <c r="S210" s="12" t="str">
        <f t="array" ref="S210">IF(B210=0,"...",(N210/IF(E210="ABIERTA",CCL!$E$2,VLOOKUP(F210,{CCL!M:N;CCL!$P:$Q},2,FALSE))/(J210/VLOOKUP(D210,{CCL!M:N;CCL!$P:$Q},2,FALSE))-1))</f>
        <v>...</v>
      </c>
      <c r="T210" s="47" t="str">
        <f>IF(B210=0,"...",N210/VLOOKUP(IF(E210="ABIERTA",TODAY(),F210),CCL!$A$12:$B$773,2,FALSE)-J210/VLOOKUP(D210,CCL!$A$12:$B235,2,FALSE))</f>
        <v>...</v>
      </c>
      <c r="U210" s="2"/>
      <c r="V210" s="10"/>
      <c r="W210" s="59" t="str">
        <f t="shared" si="16"/>
        <v>...</v>
      </c>
      <c r="X210" s="12" t="str">
        <f t="shared" si="17"/>
        <v/>
      </c>
      <c r="Y210" s="45" t="str">
        <f t="shared" si="18"/>
        <v>...</v>
      </c>
      <c r="Z210" s="45" t="str">
        <f t="shared" si="19"/>
        <v>...</v>
      </c>
      <c r="AA210" s="12" t="str">
        <f t="shared" si="20"/>
        <v>...</v>
      </c>
      <c r="AB210" s="45" t="str">
        <f t="shared" si="21"/>
        <v>...</v>
      </c>
      <c r="AC210" s="45" t="str">
        <f t="shared" si="22"/>
        <v>...</v>
      </c>
      <c r="AD210" s="12" t="str">
        <f t="shared" si="23"/>
        <v>...</v>
      </c>
      <c r="AE210" s="46" t="str">
        <f t="shared" si="24"/>
        <v>...</v>
      </c>
      <c r="AF210" s="2"/>
      <c r="AG210" s="2"/>
      <c r="AH210" s="2"/>
      <c r="AI210" s="2"/>
      <c r="AJ210" s="2"/>
      <c r="AK210" s="2"/>
    </row>
    <row r="211" ht="24.0" customHeight="1">
      <c r="A211" s="4"/>
      <c r="B211" s="30"/>
      <c r="C211" s="5" t="str">
        <f>IFERROR(__xludf.DUMMYFUNCTION("if(B211=0,""..."", sparkline(query(GOOGLEFINANCE(""BCBA:""&amp;B211,""price"",today()-$AI$36,today()),""select Col2"",0),{""charttype"",$AI$35}))"),"...")</f>
        <v>...</v>
      </c>
      <c r="D211" s="17"/>
      <c r="E211" s="31"/>
      <c r="F211" s="7"/>
      <c r="G211" s="8" t="str">
        <f t="shared" si="1"/>
        <v>...</v>
      </c>
      <c r="H211" s="31"/>
      <c r="I211" s="52"/>
      <c r="J211" s="45" t="str">
        <f t="shared" si="2"/>
        <v>...</v>
      </c>
      <c r="K211" s="47" t="str">
        <f t="array" ref="K211">IF(B211=0,"...",J211/VLOOKUP(D211,{CCL!M:N;CCL!$P:$Q},2,FALSE))</f>
        <v>...</v>
      </c>
      <c r="L211" s="45" t="str">
        <f>IFERROR(__xludf.DUMMYFUNCTION("if(B211=0,""..."",if(E211=""CERRADA"",""Valor Venta"", GOOGLEFINANCE(""BCBA:""&amp;B211)))"),"...")</f>
        <v>...</v>
      </c>
      <c r="M211" s="45" t="str">
        <f>if(B211=0,"...",L211*(1-VLOOKUP(A211,Config!$B$3:$C$22,2,FALSE)))</f>
        <v>...</v>
      </c>
      <c r="N211" s="45" t="str">
        <f t="shared" si="3"/>
        <v>...</v>
      </c>
      <c r="O211" s="12" t="str">
        <f>IFERROR(__xludf.DUMMYFUNCTION("if(B211=0,""..."",GOOGLEFINANCE(B211,""changepct"")/100)"),"...")</f>
        <v>...</v>
      </c>
      <c r="P211" s="10" t="str">
        <f>IFERROR(__xludf.DUMMYFUNCTION("if(B211=0,""..."",GOOGLEFINANCE(B211,""change"")*H211)"),"...")</f>
        <v>...</v>
      </c>
      <c r="Q211" s="12" t="str">
        <f t="shared" si="4"/>
        <v>...</v>
      </c>
      <c r="R211" s="47" t="str">
        <f t="shared" si="5"/>
        <v>...</v>
      </c>
      <c r="S211" s="12" t="str">
        <f t="array" ref="S211">IF(B211=0,"...",(N211/IF(E211="ABIERTA",CCL!$E$2,VLOOKUP(F211,{CCL!M:N;CCL!$P:$Q},2,FALSE))/(J211/VLOOKUP(D211,{CCL!M:N;CCL!$P:$Q},2,FALSE))-1))</f>
        <v>...</v>
      </c>
      <c r="T211" s="47" t="str">
        <f>IF(B211=0,"...",N211/VLOOKUP(IF(E211="ABIERTA",TODAY(),F211),CCL!$A$12:$B$773,2,FALSE)-J211/VLOOKUP(D211,CCL!$A$12:$B235,2,FALSE))</f>
        <v>...</v>
      </c>
      <c r="U211" s="2"/>
      <c r="V211" s="10"/>
      <c r="W211" s="59" t="str">
        <f t="shared" si="16"/>
        <v>...</v>
      </c>
      <c r="X211" s="12" t="str">
        <f t="shared" si="17"/>
        <v/>
      </c>
      <c r="Y211" s="45" t="str">
        <f t="shared" si="18"/>
        <v>...</v>
      </c>
      <c r="Z211" s="45" t="str">
        <f t="shared" si="19"/>
        <v>...</v>
      </c>
      <c r="AA211" s="12" t="str">
        <f t="shared" si="20"/>
        <v>...</v>
      </c>
      <c r="AB211" s="45" t="str">
        <f t="shared" si="21"/>
        <v>...</v>
      </c>
      <c r="AC211" s="45" t="str">
        <f t="shared" si="22"/>
        <v>...</v>
      </c>
      <c r="AD211" s="12" t="str">
        <f t="shared" si="23"/>
        <v>...</v>
      </c>
      <c r="AE211" s="46" t="str">
        <f t="shared" si="24"/>
        <v>...</v>
      </c>
      <c r="AF211" s="2"/>
      <c r="AG211" s="2"/>
      <c r="AH211" s="2"/>
      <c r="AI211" s="2"/>
      <c r="AJ211" s="2"/>
      <c r="AK211" s="2"/>
    </row>
    <row r="212" ht="24.0" customHeight="1">
      <c r="A212" s="4"/>
      <c r="B212" s="30"/>
      <c r="C212" s="5" t="str">
        <f>IFERROR(__xludf.DUMMYFUNCTION("if(B212=0,""..."", sparkline(query(GOOGLEFINANCE(""BCBA:""&amp;B212,""price"",today()-$AI$36,today()),""select Col2"",0),{""charttype"",$AI$35}))"),"...")</f>
        <v>...</v>
      </c>
      <c r="D212" s="17"/>
      <c r="E212" s="31"/>
      <c r="F212" s="7"/>
      <c r="G212" s="8" t="str">
        <f t="shared" si="1"/>
        <v>...</v>
      </c>
      <c r="H212" s="31"/>
      <c r="I212" s="52"/>
      <c r="J212" s="45" t="str">
        <f t="shared" si="2"/>
        <v>...</v>
      </c>
      <c r="K212" s="47" t="str">
        <f t="array" ref="K212">IF(B212=0,"...",J212/VLOOKUP(D212,{CCL!M:N;CCL!$P:$Q},2,FALSE))</f>
        <v>...</v>
      </c>
      <c r="L212" s="45" t="str">
        <f>IFERROR(__xludf.DUMMYFUNCTION("if(B212=0,""..."",if(E212=""CERRADA"",""Valor Venta"", GOOGLEFINANCE(""BCBA:""&amp;B212)))"),"...")</f>
        <v>...</v>
      </c>
      <c r="M212" s="45" t="str">
        <f>if(B212=0,"...",L212*(1-VLOOKUP(A212,Config!$B$3:$C$22,2,FALSE)))</f>
        <v>...</v>
      </c>
      <c r="N212" s="45" t="str">
        <f t="shared" si="3"/>
        <v>...</v>
      </c>
      <c r="O212" s="12" t="str">
        <f>IFERROR(__xludf.DUMMYFUNCTION("if(B212=0,""..."",GOOGLEFINANCE(B212,""changepct"")/100)"),"...")</f>
        <v>...</v>
      </c>
      <c r="P212" s="10" t="str">
        <f>IFERROR(__xludf.DUMMYFUNCTION("if(B212=0,""..."",GOOGLEFINANCE(B212,""change"")*H212)"),"...")</f>
        <v>...</v>
      </c>
      <c r="Q212" s="12" t="str">
        <f t="shared" si="4"/>
        <v>...</v>
      </c>
      <c r="R212" s="47" t="str">
        <f t="shared" si="5"/>
        <v>...</v>
      </c>
      <c r="S212" s="12" t="str">
        <f t="array" ref="S212">IF(B212=0,"...",(N212/IF(E212="ABIERTA",CCL!$E$2,VLOOKUP(F212,{CCL!M:N;CCL!$P:$Q},2,FALSE))/(J212/VLOOKUP(D212,{CCL!M:N;CCL!$P:$Q},2,FALSE))-1))</f>
        <v>...</v>
      </c>
      <c r="T212" s="47" t="str">
        <f>IF(B212=0,"...",N212/VLOOKUP(IF(E212="ABIERTA",TODAY(),F212),CCL!$A$12:$B$773,2,FALSE)-J212/VLOOKUP(D212,CCL!$A$12:$B235,2,FALSE))</f>
        <v>...</v>
      </c>
      <c r="U212" s="2"/>
      <c r="V212" s="10"/>
      <c r="W212" s="59" t="str">
        <f t="shared" si="16"/>
        <v>...</v>
      </c>
      <c r="X212" s="12" t="str">
        <f t="shared" si="17"/>
        <v/>
      </c>
      <c r="Y212" s="45" t="str">
        <f t="shared" si="18"/>
        <v>...</v>
      </c>
      <c r="Z212" s="45" t="str">
        <f t="shared" si="19"/>
        <v>...</v>
      </c>
      <c r="AA212" s="12" t="str">
        <f t="shared" si="20"/>
        <v>...</v>
      </c>
      <c r="AB212" s="45" t="str">
        <f t="shared" si="21"/>
        <v>...</v>
      </c>
      <c r="AC212" s="45" t="str">
        <f t="shared" si="22"/>
        <v>...</v>
      </c>
      <c r="AD212" s="12" t="str">
        <f t="shared" si="23"/>
        <v>...</v>
      </c>
      <c r="AE212" s="46" t="str">
        <f t="shared" si="24"/>
        <v>...</v>
      </c>
      <c r="AF212" s="2"/>
      <c r="AG212" s="2"/>
      <c r="AH212" s="2"/>
      <c r="AI212" s="2"/>
      <c r="AJ212" s="2"/>
      <c r="AK212" s="2"/>
    </row>
    <row r="213" ht="24.0" customHeight="1">
      <c r="A213" s="4"/>
      <c r="B213" s="30"/>
      <c r="C213" s="5" t="str">
        <f>IFERROR(__xludf.DUMMYFUNCTION("if(B213=0,""..."", sparkline(query(GOOGLEFINANCE(""BCBA:""&amp;B213,""price"",today()-$AI$36,today()),""select Col2"",0),{""charttype"",$AI$35}))"),"...")</f>
        <v>...</v>
      </c>
      <c r="D213" s="17"/>
      <c r="E213" s="31"/>
      <c r="F213" s="7"/>
      <c r="G213" s="8" t="str">
        <f t="shared" si="1"/>
        <v>...</v>
      </c>
      <c r="H213" s="31"/>
      <c r="I213" s="52"/>
      <c r="J213" s="45" t="str">
        <f t="shared" si="2"/>
        <v>...</v>
      </c>
      <c r="K213" s="47" t="str">
        <f t="array" ref="K213">IF(B213=0,"...",J213/VLOOKUP(D213,{CCL!M:N;CCL!$P:$Q},2,FALSE))</f>
        <v>...</v>
      </c>
      <c r="L213" s="45" t="str">
        <f>IFERROR(__xludf.DUMMYFUNCTION("if(B213=0,""..."",if(E213=""CERRADA"",""Valor Venta"", GOOGLEFINANCE(""BCBA:""&amp;B213)))"),"...")</f>
        <v>...</v>
      </c>
      <c r="M213" s="45" t="str">
        <f>if(B213=0,"...",L213*(1-VLOOKUP(A213,Config!$B$3:$C$22,2,FALSE)))</f>
        <v>...</v>
      </c>
      <c r="N213" s="45" t="str">
        <f t="shared" si="3"/>
        <v>...</v>
      </c>
      <c r="O213" s="12" t="str">
        <f>IFERROR(__xludf.DUMMYFUNCTION("if(B213=0,""..."",GOOGLEFINANCE(B213,""changepct"")/100)"),"...")</f>
        <v>...</v>
      </c>
      <c r="P213" s="10" t="str">
        <f>IFERROR(__xludf.DUMMYFUNCTION("if(B213=0,""..."",GOOGLEFINANCE(B213,""change"")*H213)"),"...")</f>
        <v>...</v>
      </c>
      <c r="Q213" s="12" t="str">
        <f t="shared" si="4"/>
        <v>...</v>
      </c>
      <c r="R213" s="47" t="str">
        <f t="shared" si="5"/>
        <v>...</v>
      </c>
      <c r="S213" s="12" t="str">
        <f t="array" ref="S213">IF(B213=0,"...",(N213/IF(E213="ABIERTA",CCL!$E$2,VLOOKUP(F213,{CCL!M:N;CCL!$P:$Q},2,FALSE))/(J213/VLOOKUP(D213,{CCL!M:N;CCL!$P:$Q},2,FALSE))-1))</f>
        <v>...</v>
      </c>
      <c r="T213" s="47" t="str">
        <f>IF(B213=0,"...",N213/VLOOKUP(IF(E213="ABIERTA",TODAY(),F213),CCL!$A$12:$B$773,2,FALSE)-J213/VLOOKUP(D213,CCL!$A$12:$B235,2,FALSE))</f>
        <v>...</v>
      </c>
      <c r="U213" s="2"/>
      <c r="V213" s="10"/>
      <c r="W213" s="59" t="str">
        <f t="shared" si="16"/>
        <v>...</v>
      </c>
      <c r="X213" s="12" t="str">
        <f t="shared" si="17"/>
        <v/>
      </c>
      <c r="Y213" s="45" t="str">
        <f t="shared" si="18"/>
        <v>...</v>
      </c>
      <c r="Z213" s="45" t="str">
        <f t="shared" si="19"/>
        <v>...</v>
      </c>
      <c r="AA213" s="12" t="str">
        <f t="shared" si="20"/>
        <v>...</v>
      </c>
      <c r="AB213" s="45" t="str">
        <f t="shared" si="21"/>
        <v>...</v>
      </c>
      <c r="AC213" s="45" t="str">
        <f t="shared" si="22"/>
        <v>...</v>
      </c>
      <c r="AD213" s="12" t="str">
        <f t="shared" si="23"/>
        <v>...</v>
      </c>
      <c r="AE213" s="46" t="str">
        <f t="shared" si="24"/>
        <v>...</v>
      </c>
      <c r="AF213" s="2"/>
      <c r="AG213" s="2"/>
      <c r="AH213" s="2"/>
      <c r="AI213" s="2"/>
      <c r="AJ213" s="2"/>
      <c r="AK213" s="2"/>
    </row>
    <row r="214" ht="24.0" customHeight="1">
      <c r="A214" s="4"/>
      <c r="B214" s="30"/>
      <c r="C214" s="5" t="str">
        <f>IFERROR(__xludf.DUMMYFUNCTION("if(B214=0,""..."", sparkline(query(GOOGLEFINANCE(""BCBA:""&amp;B214,""price"",today()-$AI$36,today()),""select Col2"",0),{""charttype"",$AI$35}))"),"...")</f>
        <v>...</v>
      </c>
      <c r="D214" s="17"/>
      <c r="E214" s="31"/>
      <c r="F214" s="7"/>
      <c r="G214" s="8" t="str">
        <f t="shared" si="1"/>
        <v>...</v>
      </c>
      <c r="H214" s="31"/>
      <c r="I214" s="52"/>
      <c r="J214" s="45" t="str">
        <f t="shared" si="2"/>
        <v>...</v>
      </c>
      <c r="K214" s="47" t="str">
        <f t="array" ref="K214">IF(B214=0,"...",J214/VLOOKUP(D214,{CCL!M:N;CCL!$P:$Q},2,FALSE))</f>
        <v>...</v>
      </c>
      <c r="L214" s="45" t="str">
        <f>IFERROR(__xludf.DUMMYFUNCTION("if(B214=0,""..."",if(E214=""CERRADA"",""Valor Venta"", GOOGLEFINANCE(""BCBA:""&amp;B214)))"),"...")</f>
        <v>...</v>
      </c>
      <c r="M214" s="45" t="str">
        <f>if(B214=0,"...",L214*(1-VLOOKUP(A214,Config!$B$3:$C$22,2,FALSE)))</f>
        <v>...</v>
      </c>
      <c r="N214" s="45" t="str">
        <f t="shared" si="3"/>
        <v>...</v>
      </c>
      <c r="O214" s="12" t="str">
        <f>IFERROR(__xludf.DUMMYFUNCTION("if(B214=0,""..."",GOOGLEFINANCE(B214,""changepct"")/100)"),"...")</f>
        <v>...</v>
      </c>
      <c r="P214" s="10" t="str">
        <f>IFERROR(__xludf.DUMMYFUNCTION("if(B214=0,""..."",GOOGLEFINANCE(B214,""change"")*H214)"),"...")</f>
        <v>...</v>
      </c>
      <c r="Q214" s="12" t="str">
        <f t="shared" si="4"/>
        <v>...</v>
      </c>
      <c r="R214" s="47" t="str">
        <f t="shared" si="5"/>
        <v>...</v>
      </c>
      <c r="S214" s="12" t="str">
        <f t="array" ref="S214">IF(B214=0,"...",(N214/IF(E214="ABIERTA",CCL!$E$2,VLOOKUP(F214,{CCL!M:N;CCL!$P:$Q},2,FALSE))/(J214/VLOOKUP(D214,{CCL!M:N;CCL!$P:$Q},2,FALSE))-1))</f>
        <v>...</v>
      </c>
      <c r="T214" s="47" t="str">
        <f>IF(B214=0,"...",N214/VLOOKUP(IF(E214="ABIERTA",TODAY(),F214),CCL!$A$12:$B$773,2,FALSE)-J214/VLOOKUP(D214,CCL!$A$12:$B235,2,FALSE))</f>
        <v>...</v>
      </c>
      <c r="U214" s="2"/>
      <c r="V214" s="10"/>
      <c r="W214" s="59" t="str">
        <f t="shared" si="16"/>
        <v>...</v>
      </c>
      <c r="X214" s="12" t="str">
        <f t="shared" si="17"/>
        <v/>
      </c>
      <c r="Y214" s="45" t="str">
        <f t="shared" si="18"/>
        <v>...</v>
      </c>
      <c r="Z214" s="45" t="str">
        <f t="shared" si="19"/>
        <v>...</v>
      </c>
      <c r="AA214" s="12" t="str">
        <f t="shared" si="20"/>
        <v>...</v>
      </c>
      <c r="AB214" s="45" t="str">
        <f t="shared" si="21"/>
        <v>...</v>
      </c>
      <c r="AC214" s="45" t="str">
        <f t="shared" si="22"/>
        <v>...</v>
      </c>
      <c r="AD214" s="12" t="str">
        <f t="shared" si="23"/>
        <v>...</v>
      </c>
      <c r="AE214" s="46" t="str">
        <f t="shared" si="24"/>
        <v>...</v>
      </c>
      <c r="AF214" s="2"/>
      <c r="AG214" s="2"/>
      <c r="AH214" s="2"/>
      <c r="AI214" s="2"/>
      <c r="AJ214" s="2"/>
      <c r="AK214" s="2"/>
    </row>
    <row r="215" ht="24.0" customHeight="1">
      <c r="A215" s="4"/>
      <c r="B215" s="30"/>
      <c r="C215" s="5" t="str">
        <f>IFERROR(__xludf.DUMMYFUNCTION("if(B215=0,""..."", sparkline(query(GOOGLEFINANCE(""BCBA:""&amp;B215,""price"",today()-$AI$36,today()),""select Col2"",0),{""charttype"",$AI$35}))"),"...")</f>
        <v>...</v>
      </c>
      <c r="D215" s="17"/>
      <c r="E215" s="31"/>
      <c r="F215" s="7"/>
      <c r="G215" s="8" t="str">
        <f t="shared" si="1"/>
        <v>...</v>
      </c>
      <c r="H215" s="31"/>
      <c r="I215" s="52"/>
      <c r="J215" s="45" t="str">
        <f t="shared" si="2"/>
        <v>...</v>
      </c>
      <c r="K215" s="47" t="str">
        <f t="array" ref="K215">IF(B215=0,"...",J215/VLOOKUP(D215,{CCL!M:N;CCL!$P:$Q},2,FALSE))</f>
        <v>...</v>
      </c>
      <c r="L215" s="45" t="str">
        <f>IFERROR(__xludf.DUMMYFUNCTION("if(B215=0,""..."",if(E215=""CERRADA"",""Valor Venta"", GOOGLEFINANCE(""BCBA:""&amp;B215)))"),"...")</f>
        <v>...</v>
      </c>
      <c r="M215" s="45" t="str">
        <f>if(B215=0,"...",L215*(1-VLOOKUP(A215,Config!$B$3:$C$22,2,FALSE)))</f>
        <v>...</v>
      </c>
      <c r="N215" s="45" t="str">
        <f t="shared" si="3"/>
        <v>...</v>
      </c>
      <c r="O215" s="12" t="str">
        <f>IFERROR(__xludf.DUMMYFUNCTION("if(B215=0,""..."",GOOGLEFINANCE(B215,""changepct"")/100)"),"...")</f>
        <v>...</v>
      </c>
      <c r="P215" s="10" t="str">
        <f>IFERROR(__xludf.DUMMYFUNCTION("if(B215=0,""..."",GOOGLEFINANCE(B215,""change"")*H215)"),"...")</f>
        <v>...</v>
      </c>
      <c r="Q215" s="12" t="str">
        <f t="shared" si="4"/>
        <v>...</v>
      </c>
      <c r="R215" s="47" t="str">
        <f t="shared" si="5"/>
        <v>...</v>
      </c>
      <c r="S215" s="12" t="str">
        <f t="array" ref="S215">IF(B215=0,"...",(N215/IF(E215="ABIERTA",CCL!$E$2,VLOOKUP(F215,{CCL!M:N;CCL!$P:$Q},2,FALSE))/(J215/VLOOKUP(D215,{CCL!M:N;CCL!$P:$Q},2,FALSE))-1))</f>
        <v>...</v>
      </c>
      <c r="T215" s="47" t="str">
        <f>IF(B215=0,"...",N215/VLOOKUP(IF(E215="ABIERTA",TODAY(),F215),CCL!$A$12:$B$773,2,FALSE)-J215/VLOOKUP(D215,CCL!$A$12:$B235,2,FALSE))</f>
        <v>...</v>
      </c>
      <c r="U215" s="2"/>
      <c r="V215" s="10"/>
      <c r="W215" s="59" t="str">
        <f t="shared" si="16"/>
        <v>...</v>
      </c>
      <c r="X215" s="12" t="str">
        <f t="shared" si="17"/>
        <v/>
      </c>
      <c r="Y215" s="45" t="str">
        <f t="shared" si="18"/>
        <v>...</v>
      </c>
      <c r="Z215" s="45" t="str">
        <f t="shared" si="19"/>
        <v>...</v>
      </c>
      <c r="AA215" s="12" t="str">
        <f t="shared" si="20"/>
        <v>...</v>
      </c>
      <c r="AB215" s="45" t="str">
        <f t="shared" si="21"/>
        <v>...</v>
      </c>
      <c r="AC215" s="45" t="str">
        <f t="shared" si="22"/>
        <v>...</v>
      </c>
      <c r="AD215" s="12" t="str">
        <f t="shared" si="23"/>
        <v>...</v>
      </c>
      <c r="AE215" s="46" t="str">
        <f t="shared" si="24"/>
        <v>...</v>
      </c>
      <c r="AF215" s="2"/>
      <c r="AG215" s="2"/>
      <c r="AH215" s="2"/>
      <c r="AI215" s="2"/>
      <c r="AJ215" s="2"/>
      <c r="AK215" s="2"/>
    </row>
    <row r="216" ht="24.0" customHeight="1">
      <c r="A216" s="4"/>
      <c r="B216" s="30"/>
      <c r="C216" s="5" t="str">
        <f>IFERROR(__xludf.DUMMYFUNCTION("if(B216=0,""..."", sparkline(query(GOOGLEFINANCE(""BCBA:""&amp;B216,""price"",today()-$AI$36,today()),""select Col2"",0),{""charttype"",$AI$35}))"),"...")</f>
        <v>...</v>
      </c>
      <c r="D216" s="17"/>
      <c r="E216" s="31"/>
      <c r="F216" s="7"/>
      <c r="G216" s="8" t="str">
        <f t="shared" si="1"/>
        <v>...</v>
      </c>
      <c r="H216" s="31"/>
      <c r="I216" s="52"/>
      <c r="J216" s="45" t="str">
        <f t="shared" si="2"/>
        <v>...</v>
      </c>
      <c r="K216" s="47" t="str">
        <f t="array" ref="K216">IF(B216=0,"...",J216/VLOOKUP(D216,{CCL!M:N;CCL!$P:$Q},2,FALSE))</f>
        <v>...</v>
      </c>
      <c r="L216" s="45" t="str">
        <f>IFERROR(__xludf.DUMMYFUNCTION("if(B216=0,""..."",if(E216=""CERRADA"",""Valor Venta"", GOOGLEFINANCE(""BCBA:""&amp;B216)))"),"...")</f>
        <v>...</v>
      </c>
      <c r="M216" s="45" t="str">
        <f>if(B216=0,"...",L216*(1-VLOOKUP(A216,Config!$B$3:$C$22,2,FALSE)))</f>
        <v>...</v>
      </c>
      <c r="N216" s="45" t="str">
        <f t="shared" si="3"/>
        <v>...</v>
      </c>
      <c r="O216" s="12" t="str">
        <f>IFERROR(__xludf.DUMMYFUNCTION("if(B216=0,""..."",GOOGLEFINANCE(B216,""changepct"")/100)"),"...")</f>
        <v>...</v>
      </c>
      <c r="P216" s="10" t="str">
        <f>IFERROR(__xludf.DUMMYFUNCTION("if(B216=0,""..."",GOOGLEFINANCE(B216,""change"")*H216)"),"...")</f>
        <v>...</v>
      </c>
      <c r="Q216" s="12" t="str">
        <f t="shared" si="4"/>
        <v>...</v>
      </c>
      <c r="R216" s="47" t="str">
        <f t="shared" si="5"/>
        <v>...</v>
      </c>
      <c r="S216" s="12" t="str">
        <f t="array" ref="S216">IF(B216=0,"...",(N216/IF(E216="ABIERTA",CCL!$E$2,VLOOKUP(F216,{CCL!M:N;CCL!$P:$Q},2,FALSE))/(J216/VLOOKUP(D216,{CCL!M:N;CCL!$P:$Q},2,FALSE))-1))</f>
        <v>...</v>
      </c>
      <c r="T216" s="47" t="str">
        <f>IF(B216=0,"...",N216/VLOOKUP(IF(E216="ABIERTA",TODAY(),F216),CCL!$A$12:$B$773,2,FALSE)-J216/VLOOKUP(D216,CCL!$A$12:$B235,2,FALSE))</f>
        <v>...</v>
      </c>
      <c r="U216" s="2"/>
      <c r="V216" s="10"/>
      <c r="W216" s="59" t="str">
        <f t="shared" si="16"/>
        <v>...</v>
      </c>
      <c r="X216" s="12" t="str">
        <f t="shared" si="17"/>
        <v/>
      </c>
      <c r="Y216" s="45" t="str">
        <f t="shared" si="18"/>
        <v>...</v>
      </c>
      <c r="Z216" s="45" t="str">
        <f t="shared" si="19"/>
        <v>...</v>
      </c>
      <c r="AA216" s="12" t="str">
        <f t="shared" si="20"/>
        <v>...</v>
      </c>
      <c r="AB216" s="45" t="str">
        <f t="shared" si="21"/>
        <v>...</v>
      </c>
      <c r="AC216" s="45" t="str">
        <f t="shared" si="22"/>
        <v>...</v>
      </c>
      <c r="AD216" s="12" t="str">
        <f t="shared" si="23"/>
        <v>...</v>
      </c>
      <c r="AE216" s="46" t="str">
        <f t="shared" si="24"/>
        <v>...</v>
      </c>
      <c r="AF216" s="2"/>
      <c r="AG216" s="2"/>
      <c r="AH216" s="2"/>
      <c r="AI216" s="2"/>
      <c r="AJ216" s="2"/>
      <c r="AK216" s="2"/>
    </row>
    <row r="217" ht="24.0" customHeight="1">
      <c r="A217" s="4"/>
      <c r="B217" s="30"/>
      <c r="C217" s="5" t="str">
        <f>IFERROR(__xludf.DUMMYFUNCTION("if(B217=0,""..."", sparkline(query(GOOGLEFINANCE(""BCBA:""&amp;B217,""price"",today()-$AI$36,today()),""select Col2"",0),{""charttype"",$AI$35}))"),"...")</f>
        <v>...</v>
      </c>
      <c r="D217" s="17"/>
      <c r="E217" s="31"/>
      <c r="F217" s="7"/>
      <c r="G217" s="8" t="str">
        <f t="shared" si="1"/>
        <v>...</v>
      </c>
      <c r="H217" s="31"/>
      <c r="I217" s="52"/>
      <c r="J217" s="45" t="str">
        <f t="shared" si="2"/>
        <v>...</v>
      </c>
      <c r="K217" s="47" t="str">
        <f t="array" ref="K217">IF(B217=0,"...",J217/VLOOKUP(D217,{CCL!M:N;CCL!$P:$Q},2,FALSE))</f>
        <v>...</v>
      </c>
      <c r="L217" s="45" t="str">
        <f>IFERROR(__xludf.DUMMYFUNCTION("if(B217=0,""..."",if(E217=""CERRADA"",""Valor Venta"", GOOGLEFINANCE(""BCBA:""&amp;B217)))"),"...")</f>
        <v>...</v>
      </c>
      <c r="M217" s="45" t="str">
        <f>if(B217=0,"...",L217*(1-VLOOKUP(A217,Config!$B$3:$C$22,2,FALSE)))</f>
        <v>...</v>
      </c>
      <c r="N217" s="45" t="str">
        <f t="shared" si="3"/>
        <v>...</v>
      </c>
      <c r="O217" s="12" t="str">
        <f>IFERROR(__xludf.DUMMYFUNCTION("if(B217=0,""..."",GOOGLEFINANCE(B217,""changepct"")/100)"),"...")</f>
        <v>...</v>
      </c>
      <c r="P217" s="10" t="str">
        <f>IFERROR(__xludf.DUMMYFUNCTION("if(B217=0,""..."",GOOGLEFINANCE(B217,""change"")*H217)"),"...")</f>
        <v>...</v>
      </c>
      <c r="Q217" s="12" t="str">
        <f t="shared" si="4"/>
        <v>...</v>
      </c>
      <c r="R217" s="47" t="str">
        <f t="shared" si="5"/>
        <v>...</v>
      </c>
      <c r="S217" s="12" t="str">
        <f t="array" ref="S217">IF(B217=0,"...",(N217/IF(E217="ABIERTA",CCL!$E$2,VLOOKUP(F217,{CCL!M:N;CCL!$P:$Q},2,FALSE))/(J217/VLOOKUP(D217,{CCL!M:N;CCL!$P:$Q},2,FALSE))-1))</f>
        <v>...</v>
      </c>
      <c r="T217" s="47" t="str">
        <f>IF(B217=0,"...",N217/VLOOKUP(IF(E217="ABIERTA",TODAY(),F217),CCL!$A$12:$B$773,2,FALSE)-J217/VLOOKUP(D217,CCL!$A$12:$B235,2,FALSE))</f>
        <v>...</v>
      </c>
      <c r="U217" s="2"/>
      <c r="V217" s="10"/>
      <c r="W217" s="59" t="str">
        <f t="shared" si="16"/>
        <v>...</v>
      </c>
      <c r="X217" s="12" t="str">
        <f t="shared" si="17"/>
        <v/>
      </c>
      <c r="Y217" s="45" t="str">
        <f t="shared" si="18"/>
        <v>...</v>
      </c>
      <c r="Z217" s="45" t="str">
        <f t="shared" si="19"/>
        <v>...</v>
      </c>
      <c r="AA217" s="12" t="str">
        <f t="shared" si="20"/>
        <v>...</v>
      </c>
      <c r="AB217" s="45" t="str">
        <f t="shared" si="21"/>
        <v>...</v>
      </c>
      <c r="AC217" s="45" t="str">
        <f t="shared" si="22"/>
        <v>...</v>
      </c>
      <c r="AD217" s="12" t="str">
        <f t="shared" si="23"/>
        <v>...</v>
      </c>
      <c r="AE217" s="46" t="str">
        <f t="shared" si="24"/>
        <v>...</v>
      </c>
      <c r="AF217" s="2"/>
      <c r="AG217" s="2"/>
      <c r="AH217" s="2"/>
      <c r="AI217" s="2"/>
      <c r="AJ217" s="2"/>
      <c r="AK217" s="2"/>
    </row>
    <row r="218" ht="24.0" customHeight="1">
      <c r="A218" s="4"/>
      <c r="B218" s="30"/>
      <c r="C218" s="5" t="str">
        <f>IFERROR(__xludf.DUMMYFUNCTION("if(B218=0,""..."", sparkline(query(GOOGLEFINANCE(""BCBA:""&amp;B218,""price"",today()-$AI$36,today()),""select Col2"",0),{""charttype"",$AI$35}))"),"...")</f>
        <v>...</v>
      </c>
      <c r="D218" s="17"/>
      <c r="E218" s="31"/>
      <c r="F218" s="7"/>
      <c r="G218" s="8" t="str">
        <f t="shared" si="1"/>
        <v>...</v>
      </c>
      <c r="H218" s="31"/>
      <c r="I218" s="52"/>
      <c r="J218" s="45" t="str">
        <f t="shared" si="2"/>
        <v>...</v>
      </c>
      <c r="K218" s="47" t="str">
        <f t="array" ref="K218">IF(B218=0,"...",J218/VLOOKUP(D218,{CCL!M:N;CCL!$P:$Q},2,FALSE))</f>
        <v>...</v>
      </c>
      <c r="L218" s="45" t="str">
        <f>IFERROR(__xludf.DUMMYFUNCTION("if(B218=0,""..."",if(E218=""CERRADA"",""Valor Venta"", GOOGLEFINANCE(""BCBA:""&amp;B218)))"),"...")</f>
        <v>...</v>
      </c>
      <c r="M218" s="45" t="str">
        <f>if(B218=0,"...",L218*(1-VLOOKUP(A218,Config!$B$3:$C$22,2,FALSE)))</f>
        <v>...</v>
      </c>
      <c r="N218" s="45" t="str">
        <f t="shared" si="3"/>
        <v>...</v>
      </c>
      <c r="O218" s="12" t="str">
        <f>IFERROR(__xludf.DUMMYFUNCTION("if(B218=0,""..."",GOOGLEFINANCE(B218,""changepct"")/100)"),"...")</f>
        <v>...</v>
      </c>
      <c r="P218" s="10" t="str">
        <f>IFERROR(__xludf.DUMMYFUNCTION("if(B218=0,""..."",GOOGLEFINANCE(B218,""change"")*H218)"),"...")</f>
        <v>...</v>
      </c>
      <c r="Q218" s="12" t="str">
        <f t="shared" si="4"/>
        <v>...</v>
      </c>
      <c r="R218" s="47" t="str">
        <f t="shared" si="5"/>
        <v>...</v>
      </c>
      <c r="S218" s="12" t="str">
        <f t="array" ref="S218">IF(B218=0,"...",(N218/IF(E218="ABIERTA",CCL!$E$2,VLOOKUP(F218,{CCL!M:N;CCL!$P:$Q},2,FALSE))/(J218/VLOOKUP(D218,{CCL!M:N;CCL!$P:$Q},2,FALSE))-1))</f>
        <v>...</v>
      </c>
      <c r="T218" s="47" t="str">
        <f>IF(B218=0,"...",N218/VLOOKUP(IF(E218="ABIERTA",TODAY(),F218),CCL!$A$12:$B$773,2,FALSE)-J218/VLOOKUP(D218,CCL!$A$12:$B235,2,FALSE))</f>
        <v>...</v>
      </c>
      <c r="U218" s="2"/>
      <c r="V218" s="10"/>
      <c r="W218" s="59" t="str">
        <f t="shared" si="16"/>
        <v>...</v>
      </c>
      <c r="X218" s="12" t="str">
        <f t="shared" si="17"/>
        <v/>
      </c>
      <c r="Y218" s="45" t="str">
        <f t="shared" si="18"/>
        <v>...</v>
      </c>
      <c r="Z218" s="45" t="str">
        <f t="shared" si="19"/>
        <v>...</v>
      </c>
      <c r="AA218" s="12" t="str">
        <f t="shared" si="20"/>
        <v>...</v>
      </c>
      <c r="AB218" s="45" t="str">
        <f t="shared" si="21"/>
        <v>...</v>
      </c>
      <c r="AC218" s="45" t="str">
        <f t="shared" si="22"/>
        <v>...</v>
      </c>
      <c r="AD218" s="12" t="str">
        <f t="shared" si="23"/>
        <v>...</v>
      </c>
      <c r="AE218" s="46" t="str">
        <f t="shared" si="24"/>
        <v>...</v>
      </c>
      <c r="AF218" s="2"/>
      <c r="AG218" s="2"/>
      <c r="AH218" s="2"/>
      <c r="AI218" s="2"/>
      <c r="AJ218" s="2"/>
      <c r="AK218" s="2"/>
    </row>
    <row r="219" ht="24.0" customHeight="1">
      <c r="A219" s="4"/>
      <c r="B219" s="30"/>
      <c r="C219" s="5" t="str">
        <f>IFERROR(__xludf.DUMMYFUNCTION("if(B219=0,""..."", sparkline(query(GOOGLEFINANCE(""BCBA:""&amp;B219,""price"",today()-$AI$36,today()),""select Col2"",0),{""charttype"",$AI$35}))"),"...")</f>
        <v>...</v>
      </c>
      <c r="D219" s="17"/>
      <c r="E219" s="31"/>
      <c r="F219" s="7"/>
      <c r="G219" s="8" t="str">
        <f t="shared" si="1"/>
        <v>...</v>
      </c>
      <c r="H219" s="31"/>
      <c r="I219" s="52"/>
      <c r="J219" s="45" t="str">
        <f t="shared" si="2"/>
        <v>...</v>
      </c>
      <c r="K219" s="47" t="str">
        <f t="array" ref="K219">IF(B219=0,"...",J219/VLOOKUP(D219,{CCL!M:N;CCL!$P:$Q},2,FALSE))</f>
        <v>...</v>
      </c>
      <c r="L219" s="45" t="str">
        <f>IFERROR(__xludf.DUMMYFUNCTION("if(B219=0,""..."",if(E219=""CERRADA"",""Valor Venta"", GOOGLEFINANCE(""BCBA:""&amp;B219)))"),"...")</f>
        <v>...</v>
      </c>
      <c r="M219" s="45" t="str">
        <f>if(B219=0,"...",L219*(1-VLOOKUP(A219,Config!$B$3:$C$22,2,FALSE)))</f>
        <v>...</v>
      </c>
      <c r="N219" s="45" t="str">
        <f t="shared" si="3"/>
        <v>...</v>
      </c>
      <c r="O219" s="12" t="str">
        <f>IFERROR(__xludf.DUMMYFUNCTION("if(B219=0,""..."",GOOGLEFINANCE(B219,""changepct"")/100)"),"...")</f>
        <v>...</v>
      </c>
      <c r="P219" s="10" t="str">
        <f>IFERROR(__xludf.DUMMYFUNCTION("if(B219=0,""..."",GOOGLEFINANCE(B219,""change"")*H219)"),"...")</f>
        <v>...</v>
      </c>
      <c r="Q219" s="12" t="str">
        <f t="shared" si="4"/>
        <v>...</v>
      </c>
      <c r="R219" s="47" t="str">
        <f t="shared" si="5"/>
        <v>...</v>
      </c>
      <c r="S219" s="12" t="str">
        <f t="array" ref="S219">IF(B219=0,"...",(N219/IF(E219="ABIERTA",CCL!$E$2,VLOOKUP(F219,{CCL!M:N;CCL!$P:$Q},2,FALSE))/(J219/VLOOKUP(D219,{CCL!M:N;CCL!$P:$Q},2,FALSE))-1))</f>
        <v>...</v>
      </c>
      <c r="T219" s="47" t="str">
        <f>IF(B219=0,"...",N219/VLOOKUP(IF(E219="ABIERTA",TODAY(),F219),CCL!$A$12:$B$773,2,FALSE)-J219/VLOOKUP(D219,CCL!$A$12:$B235,2,FALSE))</f>
        <v>...</v>
      </c>
      <c r="U219" s="2"/>
      <c r="V219" s="10"/>
      <c r="W219" s="59" t="str">
        <f t="shared" si="16"/>
        <v>...</v>
      </c>
      <c r="X219" s="12" t="str">
        <f t="shared" si="17"/>
        <v/>
      </c>
      <c r="Y219" s="45" t="str">
        <f t="shared" si="18"/>
        <v>...</v>
      </c>
      <c r="Z219" s="45" t="str">
        <f t="shared" si="19"/>
        <v>...</v>
      </c>
      <c r="AA219" s="12" t="str">
        <f t="shared" si="20"/>
        <v>...</v>
      </c>
      <c r="AB219" s="45" t="str">
        <f t="shared" si="21"/>
        <v>...</v>
      </c>
      <c r="AC219" s="45" t="str">
        <f t="shared" si="22"/>
        <v>...</v>
      </c>
      <c r="AD219" s="12" t="str">
        <f t="shared" si="23"/>
        <v>...</v>
      </c>
      <c r="AE219" s="46" t="str">
        <f t="shared" si="24"/>
        <v>...</v>
      </c>
      <c r="AF219" s="2"/>
      <c r="AG219" s="2"/>
      <c r="AH219" s="2"/>
      <c r="AI219" s="2"/>
      <c r="AJ219" s="2"/>
      <c r="AK219" s="2"/>
    </row>
    <row r="220" ht="24.0" customHeight="1">
      <c r="A220" s="4"/>
      <c r="B220" s="30"/>
      <c r="C220" s="5" t="str">
        <f>IFERROR(__xludf.DUMMYFUNCTION("if(B220=0,""..."", sparkline(query(GOOGLEFINANCE(""BCBA:""&amp;B220,""price"",today()-$AI$36,today()),""select Col2"",0),{""charttype"",$AI$35}))"),"...")</f>
        <v>...</v>
      </c>
      <c r="D220" s="17"/>
      <c r="E220" s="31"/>
      <c r="F220" s="7"/>
      <c r="G220" s="8" t="str">
        <f t="shared" si="1"/>
        <v>...</v>
      </c>
      <c r="H220" s="31"/>
      <c r="I220" s="52"/>
      <c r="J220" s="45" t="str">
        <f t="shared" si="2"/>
        <v>...</v>
      </c>
      <c r="K220" s="47" t="str">
        <f t="array" ref="K220">IF(B220=0,"...",J220/VLOOKUP(D220,{CCL!M:N;CCL!$P:$Q},2,FALSE))</f>
        <v>...</v>
      </c>
      <c r="L220" s="45" t="str">
        <f>IFERROR(__xludf.DUMMYFUNCTION("if(B220=0,""..."",if(E220=""CERRADA"",""Valor Venta"", GOOGLEFINANCE(""BCBA:""&amp;B220)))"),"...")</f>
        <v>...</v>
      </c>
      <c r="M220" s="45" t="str">
        <f>if(B220=0,"...",L220*(1-VLOOKUP(A220,Config!$B$3:$C$22,2,FALSE)))</f>
        <v>...</v>
      </c>
      <c r="N220" s="45" t="str">
        <f t="shared" si="3"/>
        <v>...</v>
      </c>
      <c r="O220" s="12" t="str">
        <f>IFERROR(__xludf.DUMMYFUNCTION("if(B220=0,""..."",GOOGLEFINANCE(B220,""changepct"")/100)"),"...")</f>
        <v>...</v>
      </c>
      <c r="P220" s="10" t="str">
        <f>IFERROR(__xludf.DUMMYFUNCTION("if(B220=0,""..."",GOOGLEFINANCE(B220,""change"")*H220)"),"...")</f>
        <v>...</v>
      </c>
      <c r="Q220" s="12" t="str">
        <f t="shared" si="4"/>
        <v>...</v>
      </c>
      <c r="R220" s="47" t="str">
        <f t="shared" si="5"/>
        <v>...</v>
      </c>
      <c r="S220" s="12" t="str">
        <f t="array" ref="S220">IF(B220=0,"...",(N220/IF(E220="ABIERTA",CCL!$E$2,VLOOKUP(F220,{CCL!M:N;CCL!$P:$Q},2,FALSE))/(J220/VLOOKUP(D220,{CCL!M:N;CCL!$P:$Q},2,FALSE))-1))</f>
        <v>...</v>
      </c>
      <c r="T220" s="47" t="str">
        <f>IF(B220=0,"...",N220/VLOOKUP(IF(E220="ABIERTA",TODAY(),F220),CCL!$A$12:$B$773,2,FALSE)-J220/VLOOKUP(D220,CCL!$A$12:$B235,2,FALSE))</f>
        <v>...</v>
      </c>
      <c r="U220" s="2"/>
      <c r="V220" s="10"/>
      <c r="W220" s="59" t="str">
        <f t="shared" si="16"/>
        <v>...</v>
      </c>
      <c r="X220" s="12" t="str">
        <f t="shared" si="17"/>
        <v/>
      </c>
      <c r="Y220" s="45" t="str">
        <f t="shared" si="18"/>
        <v>...</v>
      </c>
      <c r="Z220" s="45" t="str">
        <f t="shared" si="19"/>
        <v>...</v>
      </c>
      <c r="AA220" s="12" t="str">
        <f t="shared" si="20"/>
        <v>...</v>
      </c>
      <c r="AB220" s="45" t="str">
        <f t="shared" si="21"/>
        <v>...</v>
      </c>
      <c r="AC220" s="45" t="str">
        <f t="shared" si="22"/>
        <v>...</v>
      </c>
      <c r="AD220" s="12" t="str">
        <f t="shared" si="23"/>
        <v>...</v>
      </c>
      <c r="AE220" s="46" t="str">
        <f t="shared" si="24"/>
        <v>...</v>
      </c>
      <c r="AF220" s="2"/>
      <c r="AG220" s="2"/>
      <c r="AH220" s="2"/>
      <c r="AI220" s="2"/>
      <c r="AJ220" s="2"/>
      <c r="AK220" s="2"/>
    </row>
    <row r="221" ht="24.0" customHeight="1">
      <c r="A221" s="4"/>
      <c r="B221" s="30"/>
      <c r="C221" s="5" t="str">
        <f>IFERROR(__xludf.DUMMYFUNCTION("if(B221=0,""..."", sparkline(query(GOOGLEFINANCE(""BCBA:""&amp;B221,""price"",today()-$AI$36,today()),""select Col2"",0),{""charttype"",$AI$35}))"),"...")</f>
        <v>...</v>
      </c>
      <c r="D221" s="17"/>
      <c r="E221" s="31"/>
      <c r="F221" s="7"/>
      <c r="G221" s="8" t="str">
        <f t="shared" si="1"/>
        <v>...</v>
      </c>
      <c r="H221" s="31"/>
      <c r="I221" s="52"/>
      <c r="J221" s="45" t="str">
        <f t="shared" si="2"/>
        <v>...</v>
      </c>
      <c r="K221" s="47" t="str">
        <f t="array" ref="K221">IF(B221=0,"...",J221/VLOOKUP(D221,{CCL!M:N;CCL!$P:$Q},2,FALSE))</f>
        <v>...</v>
      </c>
      <c r="L221" s="45" t="str">
        <f>IFERROR(__xludf.DUMMYFUNCTION("if(B221=0,""..."",if(E221=""CERRADA"",""Valor Venta"", GOOGLEFINANCE(""BCBA:""&amp;B221)))"),"...")</f>
        <v>...</v>
      </c>
      <c r="M221" s="45" t="str">
        <f>if(B221=0,"...",L221*(1-VLOOKUP(A221,Config!$B$3:$C$22,2,FALSE)))</f>
        <v>...</v>
      </c>
      <c r="N221" s="45" t="str">
        <f t="shared" si="3"/>
        <v>...</v>
      </c>
      <c r="O221" s="12" t="str">
        <f>IFERROR(__xludf.DUMMYFUNCTION("if(B221=0,""..."",GOOGLEFINANCE(B221,""changepct"")/100)"),"...")</f>
        <v>...</v>
      </c>
      <c r="P221" s="10" t="str">
        <f>IFERROR(__xludf.DUMMYFUNCTION("if(B221=0,""..."",GOOGLEFINANCE(B221,""change"")*H221)"),"...")</f>
        <v>...</v>
      </c>
      <c r="Q221" s="12" t="str">
        <f t="shared" si="4"/>
        <v>...</v>
      </c>
      <c r="R221" s="47" t="str">
        <f t="shared" si="5"/>
        <v>...</v>
      </c>
      <c r="S221" s="12" t="str">
        <f t="array" ref="S221">IF(B221=0,"...",(N221/IF(E221="ABIERTA",CCL!$E$2,VLOOKUP(F221,{CCL!M:N;CCL!$P:$Q},2,FALSE))/(J221/VLOOKUP(D221,{CCL!M:N;CCL!$P:$Q},2,FALSE))-1))</f>
        <v>...</v>
      </c>
      <c r="T221" s="47" t="str">
        <f>IF(B221=0,"...",N221/VLOOKUP(IF(E221="ABIERTA",TODAY(),F221),CCL!$A$12:$B$773,2,FALSE)-J221/VLOOKUP(D221,CCL!$A$12:$B235,2,FALSE))</f>
        <v>...</v>
      </c>
      <c r="U221" s="2"/>
      <c r="V221" s="10"/>
      <c r="W221" s="59" t="str">
        <f t="shared" si="16"/>
        <v>...</v>
      </c>
      <c r="X221" s="12" t="str">
        <f t="shared" si="17"/>
        <v/>
      </c>
      <c r="Y221" s="45" t="str">
        <f t="shared" si="18"/>
        <v>...</v>
      </c>
      <c r="Z221" s="45" t="str">
        <f t="shared" si="19"/>
        <v>...</v>
      </c>
      <c r="AA221" s="12" t="str">
        <f t="shared" si="20"/>
        <v>...</v>
      </c>
      <c r="AB221" s="45" t="str">
        <f t="shared" si="21"/>
        <v>...</v>
      </c>
      <c r="AC221" s="45" t="str">
        <f t="shared" si="22"/>
        <v>...</v>
      </c>
      <c r="AD221" s="12" t="str">
        <f t="shared" si="23"/>
        <v>...</v>
      </c>
      <c r="AE221" s="46" t="str">
        <f t="shared" si="24"/>
        <v>...</v>
      </c>
      <c r="AF221" s="2"/>
      <c r="AG221" s="2"/>
      <c r="AH221" s="2"/>
      <c r="AI221" s="2"/>
      <c r="AJ221" s="2"/>
      <c r="AK221" s="2"/>
    </row>
    <row r="222" ht="24.0" customHeight="1">
      <c r="A222" s="4"/>
      <c r="B222" s="30"/>
      <c r="C222" s="5" t="str">
        <f>IFERROR(__xludf.DUMMYFUNCTION("if(B222=0,""..."", sparkline(query(GOOGLEFINANCE(""BCBA:""&amp;B222,""price"",today()-$AI$36,today()),""select Col2"",0),{""charttype"",$AI$35}))"),"...")</f>
        <v>...</v>
      </c>
      <c r="D222" s="17"/>
      <c r="E222" s="31"/>
      <c r="F222" s="7"/>
      <c r="G222" s="8" t="str">
        <f t="shared" si="1"/>
        <v>...</v>
      </c>
      <c r="H222" s="31"/>
      <c r="I222" s="52"/>
      <c r="J222" s="45" t="str">
        <f t="shared" si="2"/>
        <v>...</v>
      </c>
      <c r="K222" s="47" t="str">
        <f t="array" ref="K222">IF(B222=0,"...",J222/VLOOKUP(D222,{CCL!M:N;CCL!$P:$Q},2,FALSE))</f>
        <v>...</v>
      </c>
      <c r="L222" s="45" t="str">
        <f>IFERROR(__xludf.DUMMYFUNCTION("if(B222=0,""..."",if(E222=""CERRADA"",""Valor Venta"", GOOGLEFINANCE(""BCBA:""&amp;B222)))"),"...")</f>
        <v>...</v>
      </c>
      <c r="M222" s="45" t="str">
        <f>if(B222=0,"...",L222*(1-VLOOKUP(A222,Config!$B$3:$C$22,2,FALSE)))</f>
        <v>...</v>
      </c>
      <c r="N222" s="45" t="str">
        <f t="shared" si="3"/>
        <v>...</v>
      </c>
      <c r="O222" s="12" t="str">
        <f>IFERROR(__xludf.DUMMYFUNCTION("if(B222=0,""..."",GOOGLEFINANCE(B222,""changepct"")/100)"),"...")</f>
        <v>...</v>
      </c>
      <c r="P222" s="10" t="str">
        <f>IFERROR(__xludf.DUMMYFUNCTION("if(B222=0,""..."",GOOGLEFINANCE(B222,""change"")*H222)"),"...")</f>
        <v>...</v>
      </c>
      <c r="Q222" s="12" t="str">
        <f t="shared" si="4"/>
        <v>...</v>
      </c>
      <c r="R222" s="47" t="str">
        <f t="shared" si="5"/>
        <v>...</v>
      </c>
      <c r="S222" s="12" t="str">
        <f t="array" ref="S222">IF(B222=0,"...",(N222/IF(E222="ABIERTA",CCL!$E$2,VLOOKUP(F222,{CCL!M:N;CCL!$P:$Q},2,FALSE))/(J222/VLOOKUP(D222,{CCL!M:N;CCL!$P:$Q},2,FALSE))-1))</f>
        <v>...</v>
      </c>
      <c r="T222" s="47" t="str">
        <f>IF(B222=0,"...",N222/VLOOKUP(IF(E222="ABIERTA",TODAY(),F222),CCL!$A$12:$B$773,2,FALSE)-J222/VLOOKUP(D222,CCL!$A$12:$B235,2,FALSE))</f>
        <v>...</v>
      </c>
      <c r="U222" s="2"/>
      <c r="V222" s="10"/>
      <c r="W222" s="59" t="str">
        <f t="shared" si="16"/>
        <v>...</v>
      </c>
      <c r="X222" s="12" t="str">
        <f t="shared" si="17"/>
        <v/>
      </c>
      <c r="Y222" s="45" t="str">
        <f t="shared" si="18"/>
        <v>...</v>
      </c>
      <c r="Z222" s="45" t="str">
        <f t="shared" si="19"/>
        <v>...</v>
      </c>
      <c r="AA222" s="12" t="str">
        <f t="shared" si="20"/>
        <v>...</v>
      </c>
      <c r="AB222" s="45" t="str">
        <f t="shared" si="21"/>
        <v>...</v>
      </c>
      <c r="AC222" s="45" t="str">
        <f t="shared" si="22"/>
        <v>...</v>
      </c>
      <c r="AD222" s="12" t="str">
        <f t="shared" si="23"/>
        <v>...</v>
      </c>
      <c r="AE222" s="46" t="str">
        <f t="shared" si="24"/>
        <v>...</v>
      </c>
      <c r="AF222" s="2"/>
      <c r="AG222" s="2"/>
      <c r="AH222" s="2"/>
      <c r="AI222" s="2"/>
      <c r="AJ222" s="2"/>
      <c r="AK222" s="2"/>
    </row>
    <row r="223" ht="24.0" customHeight="1">
      <c r="A223" s="4"/>
      <c r="B223" s="30"/>
      <c r="C223" s="5" t="str">
        <f>IFERROR(__xludf.DUMMYFUNCTION("if(B223=0,""..."", sparkline(query(GOOGLEFINANCE(""BCBA:""&amp;B223,""price"",today()-$AI$36,today()),""select Col2"",0),{""charttype"",$AI$35}))"),"...")</f>
        <v>...</v>
      </c>
      <c r="D223" s="17"/>
      <c r="E223" s="31"/>
      <c r="F223" s="7"/>
      <c r="G223" s="8" t="str">
        <f t="shared" si="1"/>
        <v>...</v>
      </c>
      <c r="H223" s="31"/>
      <c r="I223" s="52"/>
      <c r="J223" s="45" t="str">
        <f t="shared" si="2"/>
        <v>...</v>
      </c>
      <c r="K223" s="47" t="str">
        <f t="array" ref="K223">IF(B223=0,"...",J223/VLOOKUP(D223,{CCL!M:N;CCL!$P:$Q},2,FALSE))</f>
        <v>...</v>
      </c>
      <c r="L223" s="45" t="str">
        <f>IFERROR(__xludf.DUMMYFUNCTION("if(B223=0,""..."",if(E223=""CERRADA"",""Valor Venta"", GOOGLEFINANCE(""BCBA:""&amp;B223)))"),"...")</f>
        <v>...</v>
      </c>
      <c r="M223" s="45" t="str">
        <f>if(B223=0,"...",L223*(1-VLOOKUP(A223,Config!$B$3:$C$22,2,FALSE)))</f>
        <v>...</v>
      </c>
      <c r="N223" s="45" t="str">
        <f t="shared" si="3"/>
        <v>...</v>
      </c>
      <c r="O223" s="12" t="str">
        <f>IFERROR(__xludf.DUMMYFUNCTION("if(B223=0,""..."",GOOGLEFINANCE(B223,""changepct"")/100)"),"...")</f>
        <v>...</v>
      </c>
      <c r="P223" s="10" t="str">
        <f>IFERROR(__xludf.DUMMYFUNCTION("if(B223=0,""..."",GOOGLEFINANCE(B223,""change"")*H223)"),"...")</f>
        <v>...</v>
      </c>
      <c r="Q223" s="12" t="str">
        <f t="shared" si="4"/>
        <v>...</v>
      </c>
      <c r="R223" s="47" t="str">
        <f t="shared" si="5"/>
        <v>...</v>
      </c>
      <c r="S223" s="12" t="str">
        <f t="array" ref="S223">IF(B223=0,"...",(N223/IF(E223="ABIERTA",CCL!$E$2,VLOOKUP(F223,{CCL!M:N;CCL!$P:$Q},2,FALSE))/(J223/VLOOKUP(D223,{CCL!M:N;CCL!$P:$Q},2,FALSE))-1))</f>
        <v>...</v>
      </c>
      <c r="T223" s="47" t="str">
        <f>IF(B223=0,"...",N223/VLOOKUP(IF(E223="ABIERTA",TODAY(),F223),CCL!$A$12:$B$773,2,FALSE)-J223/VLOOKUP(D223,CCL!$A$12:$B235,2,FALSE))</f>
        <v>...</v>
      </c>
      <c r="U223" s="2"/>
      <c r="V223" s="10"/>
      <c r="W223" s="59" t="str">
        <f t="shared" si="16"/>
        <v>...</v>
      </c>
      <c r="X223" s="12" t="str">
        <f t="shared" si="17"/>
        <v/>
      </c>
      <c r="Y223" s="45" t="str">
        <f t="shared" si="18"/>
        <v>...</v>
      </c>
      <c r="Z223" s="45" t="str">
        <f t="shared" si="19"/>
        <v>...</v>
      </c>
      <c r="AA223" s="12" t="str">
        <f t="shared" si="20"/>
        <v>...</v>
      </c>
      <c r="AB223" s="45" t="str">
        <f t="shared" si="21"/>
        <v>...</v>
      </c>
      <c r="AC223" s="45" t="str">
        <f t="shared" si="22"/>
        <v>...</v>
      </c>
      <c r="AD223" s="12" t="str">
        <f t="shared" si="23"/>
        <v>...</v>
      </c>
      <c r="AE223" s="46" t="str">
        <f t="shared" si="24"/>
        <v>...</v>
      </c>
      <c r="AF223" s="2"/>
      <c r="AG223" s="2"/>
      <c r="AH223" s="2"/>
      <c r="AI223" s="2"/>
      <c r="AJ223" s="2"/>
      <c r="AK223" s="2"/>
    </row>
    <row r="224" ht="24.0" customHeight="1">
      <c r="A224" s="4"/>
      <c r="B224" s="30"/>
      <c r="C224" s="5" t="str">
        <f>IFERROR(__xludf.DUMMYFUNCTION("if(B224=0,""..."", sparkline(query(GOOGLEFINANCE(""BCBA:""&amp;B224,""price"",today()-$AI$36,today()),""select Col2"",0),{""charttype"",$AI$35}))"),"...")</f>
        <v>...</v>
      </c>
      <c r="D224" s="17"/>
      <c r="E224" s="31"/>
      <c r="F224" s="7"/>
      <c r="G224" s="8" t="str">
        <f t="shared" si="1"/>
        <v>...</v>
      </c>
      <c r="H224" s="31"/>
      <c r="I224" s="52"/>
      <c r="J224" s="45" t="str">
        <f t="shared" si="2"/>
        <v>...</v>
      </c>
      <c r="K224" s="47" t="str">
        <f t="array" ref="K224">IF(B224=0,"...",J224/VLOOKUP(D224,{CCL!M:N;CCL!$P:$Q},2,FALSE))</f>
        <v>...</v>
      </c>
      <c r="L224" s="45" t="str">
        <f>IFERROR(__xludf.DUMMYFUNCTION("if(B224=0,""..."",if(E224=""CERRADA"",""Valor Venta"", GOOGLEFINANCE(""BCBA:""&amp;B224)))"),"...")</f>
        <v>...</v>
      </c>
      <c r="M224" s="45" t="str">
        <f>if(B224=0,"...",L224*(1-VLOOKUP(A224,Config!$B$3:$C$22,2,FALSE)))</f>
        <v>...</v>
      </c>
      <c r="N224" s="45" t="str">
        <f t="shared" si="3"/>
        <v>...</v>
      </c>
      <c r="O224" s="12" t="str">
        <f>IFERROR(__xludf.DUMMYFUNCTION("if(B224=0,""..."",GOOGLEFINANCE(B224,""changepct"")/100)"),"...")</f>
        <v>...</v>
      </c>
      <c r="P224" s="10" t="str">
        <f>IFERROR(__xludf.DUMMYFUNCTION("if(B224=0,""..."",GOOGLEFINANCE(B224,""change"")*H224)"),"...")</f>
        <v>...</v>
      </c>
      <c r="Q224" s="12" t="str">
        <f t="shared" si="4"/>
        <v>...</v>
      </c>
      <c r="R224" s="47" t="str">
        <f t="shared" si="5"/>
        <v>...</v>
      </c>
      <c r="S224" s="12" t="str">
        <f t="array" ref="S224">IF(B224=0,"...",(N224/IF(E224="ABIERTA",CCL!$E$2,VLOOKUP(F224,{CCL!M:N;CCL!$P:$Q},2,FALSE))/(J224/VLOOKUP(D224,{CCL!M:N;CCL!$P:$Q},2,FALSE))-1))</f>
        <v>...</v>
      </c>
      <c r="T224" s="47" t="str">
        <f>IF(B224=0,"...",N224/VLOOKUP(IF(E224="ABIERTA",TODAY(),F224),CCL!$A$12:$B$773,2,FALSE)-J224/VLOOKUP(D224,CCL!$A$12:$B235,2,FALSE))</f>
        <v>...</v>
      </c>
      <c r="U224" s="2"/>
      <c r="V224" s="10"/>
      <c r="W224" s="59" t="str">
        <f t="shared" si="16"/>
        <v>...</v>
      </c>
      <c r="X224" s="12" t="str">
        <f t="shared" si="17"/>
        <v/>
      </c>
      <c r="Y224" s="45" t="str">
        <f t="shared" si="18"/>
        <v>...</v>
      </c>
      <c r="Z224" s="45" t="str">
        <f t="shared" si="19"/>
        <v>...</v>
      </c>
      <c r="AA224" s="12" t="str">
        <f t="shared" si="20"/>
        <v>...</v>
      </c>
      <c r="AB224" s="45" t="str">
        <f t="shared" si="21"/>
        <v>...</v>
      </c>
      <c r="AC224" s="45" t="str">
        <f t="shared" si="22"/>
        <v>...</v>
      </c>
      <c r="AD224" s="12" t="str">
        <f t="shared" si="23"/>
        <v>...</v>
      </c>
      <c r="AE224" s="46" t="str">
        <f t="shared" si="24"/>
        <v>...</v>
      </c>
      <c r="AF224" s="2"/>
      <c r="AG224" s="2"/>
      <c r="AH224" s="2"/>
      <c r="AI224" s="2"/>
      <c r="AJ224" s="2"/>
      <c r="AK224" s="2"/>
    </row>
    <row r="225" ht="24.0" customHeight="1">
      <c r="A225" s="4"/>
      <c r="B225" s="30"/>
      <c r="C225" s="5" t="str">
        <f>IFERROR(__xludf.DUMMYFUNCTION("if(B225=0,""..."", sparkline(query(GOOGLEFINANCE(""BCBA:""&amp;B225,""price"",today()-$AI$36,today()),""select Col2"",0),{""charttype"",$AI$35}))"),"...")</f>
        <v>...</v>
      </c>
      <c r="D225" s="17"/>
      <c r="E225" s="31"/>
      <c r="F225" s="7"/>
      <c r="G225" s="8" t="str">
        <f t="shared" si="1"/>
        <v>...</v>
      </c>
      <c r="H225" s="31"/>
      <c r="I225" s="52"/>
      <c r="J225" s="45" t="str">
        <f t="shared" si="2"/>
        <v>...</v>
      </c>
      <c r="K225" s="47" t="str">
        <f t="array" ref="K225">IF(B225=0,"...",J225/VLOOKUP(D225,{CCL!M:N;CCL!$P:$Q},2,FALSE))</f>
        <v>...</v>
      </c>
      <c r="L225" s="45" t="str">
        <f>IFERROR(__xludf.DUMMYFUNCTION("if(B225=0,""..."",if(E225=""CERRADA"",""Valor Venta"", GOOGLEFINANCE(""BCBA:""&amp;B225)))"),"...")</f>
        <v>...</v>
      </c>
      <c r="M225" s="45" t="str">
        <f>if(B225=0,"...",L225*(1-VLOOKUP(A225,Config!$B$3:$C$22,2,FALSE)))</f>
        <v>...</v>
      </c>
      <c r="N225" s="45" t="str">
        <f t="shared" si="3"/>
        <v>...</v>
      </c>
      <c r="O225" s="12" t="str">
        <f>IFERROR(__xludf.DUMMYFUNCTION("if(B225=0,""..."",GOOGLEFINANCE(B225,""changepct"")/100)"),"...")</f>
        <v>...</v>
      </c>
      <c r="P225" s="10" t="str">
        <f>IFERROR(__xludf.DUMMYFUNCTION("if(B225=0,""..."",GOOGLEFINANCE(B225,""change"")*H225)"),"...")</f>
        <v>...</v>
      </c>
      <c r="Q225" s="12" t="str">
        <f t="shared" si="4"/>
        <v>...</v>
      </c>
      <c r="R225" s="47" t="str">
        <f t="shared" si="5"/>
        <v>...</v>
      </c>
      <c r="S225" s="12" t="str">
        <f t="array" ref="S225">IF(B225=0,"...",(N225/IF(E225="ABIERTA",CCL!$E$2,VLOOKUP(F225,{CCL!M:N;CCL!$P:$Q},2,FALSE))/(J225/VLOOKUP(D225,{CCL!M:N;CCL!$P:$Q},2,FALSE))-1))</f>
        <v>...</v>
      </c>
      <c r="T225" s="47" t="str">
        <f>IF(B225=0,"...",N225/VLOOKUP(IF(E225="ABIERTA",TODAY(),F225),CCL!$A$12:$B$773,2,FALSE)-J225/VLOOKUP(D225,CCL!$A$12:$B235,2,FALSE))</f>
        <v>...</v>
      </c>
      <c r="U225" s="2"/>
      <c r="V225" s="10"/>
      <c r="W225" s="59" t="str">
        <f t="shared" si="16"/>
        <v>...</v>
      </c>
      <c r="X225" s="12" t="str">
        <f t="shared" si="17"/>
        <v/>
      </c>
      <c r="Y225" s="45" t="str">
        <f t="shared" si="18"/>
        <v>...</v>
      </c>
      <c r="Z225" s="45" t="str">
        <f t="shared" si="19"/>
        <v>...</v>
      </c>
      <c r="AA225" s="12" t="str">
        <f t="shared" si="20"/>
        <v>...</v>
      </c>
      <c r="AB225" s="45" t="str">
        <f t="shared" si="21"/>
        <v>...</v>
      </c>
      <c r="AC225" s="45" t="str">
        <f t="shared" si="22"/>
        <v>...</v>
      </c>
      <c r="AD225" s="12" t="str">
        <f t="shared" si="23"/>
        <v>...</v>
      </c>
      <c r="AE225" s="46" t="str">
        <f t="shared" si="24"/>
        <v>...</v>
      </c>
      <c r="AF225" s="2"/>
      <c r="AG225" s="2"/>
      <c r="AH225" s="2"/>
      <c r="AI225" s="2"/>
      <c r="AJ225" s="2"/>
      <c r="AK225" s="2"/>
    </row>
    <row r="226" ht="24.0" customHeight="1">
      <c r="A226" s="4"/>
      <c r="B226" s="30"/>
      <c r="C226" s="5" t="str">
        <f>IFERROR(__xludf.DUMMYFUNCTION("if(B226=0,""..."", sparkline(query(GOOGLEFINANCE(""BCBA:""&amp;B226,""price"",today()-$AI$36,today()),""select Col2"",0),{""charttype"",$AI$35}))"),"...")</f>
        <v>...</v>
      </c>
      <c r="D226" s="17"/>
      <c r="E226" s="31"/>
      <c r="F226" s="7"/>
      <c r="G226" s="8" t="str">
        <f t="shared" si="1"/>
        <v>...</v>
      </c>
      <c r="H226" s="31"/>
      <c r="I226" s="52"/>
      <c r="J226" s="45" t="str">
        <f t="shared" si="2"/>
        <v>...</v>
      </c>
      <c r="K226" s="47" t="str">
        <f t="array" ref="K226">IF(B226=0,"...",J226/VLOOKUP(D226,{CCL!M:N;CCL!$P:$Q},2,FALSE))</f>
        <v>...</v>
      </c>
      <c r="L226" s="45" t="str">
        <f>IFERROR(__xludf.DUMMYFUNCTION("if(B226=0,""..."",if(E226=""CERRADA"",""Valor Venta"", GOOGLEFINANCE(""BCBA:""&amp;B226)))"),"...")</f>
        <v>...</v>
      </c>
      <c r="M226" s="45" t="str">
        <f>if(B226=0,"...",L226*(1-VLOOKUP(A226,Config!$B$3:$C$22,2,FALSE)))</f>
        <v>...</v>
      </c>
      <c r="N226" s="45" t="str">
        <f t="shared" si="3"/>
        <v>...</v>
      </c>
      <c r="O226" s="12" t="str">
        <f>IFERROR(__xludf.DUMMYFUNCTION("if(B226=0,""..."",GOOGLEFINANCE(B226,""changepct"")/100)"),"...")</f>
        <v>...</v>
      </c>
      <c r="P226" s="10" t="str">
        <f>IFERROR(__xludf.DUMMYFUNCTION("if(B226=0,""..."",GOOGLEFINANCE(B226,""change"")*H226)"),"...")</f>
        <v>...</v>
      </c>
      <c r="Q226" s="12" t="str">
        <f t="shared" si="4"/>
        <v>...</v>
      </c>
      <c r="R226" s="47" t="str">
        <f t="shared" si="5"/>
        <v>...</v>
      </c>
      <c r="S226" s="12" t="str">
        <f t="array" ref="S226">IF(B226=0,"...",(N226/IF(E226="ABIERTA",CCL!$E$2,VLOOKUP(F226,{CCL!M:N;CCL!$P:$Q},2,FALSE))/(J226/VLOOKUP(D226,{CCL!M:N;CCL!$P:$Q},2,FALSE))-1))</f>
        <v>...</v>
      </c>
      <c r="T226" s="47" t="str">
        <f>IF(B226=0,"...",N226/VLOOKUP(IF(E226="ABIERTA",TODAY(),F226),CCL!$A$12:$B$773,2,FALSE)-J226/VLOOKUP(D226,CCL!$A$12:$B235,2,FALSE))</f>
        <v>...</v>
      </c>
      <c r="U226" s="2"/>
      <c r="V226" s="10"/>
      <c r="W226" s="59" t="str">
        <f t="shared" si="16"/>
        <v>...</v>
      </c>
      <c r="X226" s="12" t="str">
        <f t="shared" si="17"/>
        <v/>
      </c>
      <c r="Y226" s="45" t="str">
        <f t="shared" si="18"/>
        <v>...</v>
      </c>
      <c r="Z226" s="45" t="str">
        <f t="shared" si="19"/>
        <v>...</v>
      </c>
      <c r="AA226" s="12" t="str">
        <f t="shared" si="20"/>
        <v>...</v>
      </c>
      <c r="AB226" s="45" t="str">
        <f t="shared" si="21"/>
        <v>...</v>
      </c>
      <c r="AC226" s="45" t="str">
        <f t="shared" si="22"/>
        <v>...</v>
      </c>
      <c r="AD226" s="12" t="str">
        <f t="shared" si="23"/>
        <v>...</v>
      </c>
      <c r="AE226" s="46" t="str">
        <f t="shared" si="24"/>
        <v>...</v>
      </c>
      <c r="AF226" s="2"/>
      <c r="AG226" s="2"/>
      <c r="AH226" s="2"/>
      <c r="AI226" s="2"/>
      <c r="AJ226" s="2"/>
      <c r="AK226" s="2"/>
    </row>
    <row r="227" ht="24.0" customHeight="1">
      <c r="A227" s="4"/>
      <c r="B227" s="30"/>
      <c r="C227" s="5" t="str">
        <f>IFERROR(__xludf.DUMMYFUNCTION("if(B227=0,""..."", sparkline(query(GOOGLEFINANCE(""BCBA:""&amp;B227,""price"",today()-$AI$36,today()),""select Col2"",0),{""charttype"",$AI$35}))"),"...")</f>
        <v>...</v>
      </c>
      <c r="D227" s="17"/>
      <c r="E227" s="31"/>
      <c r="F227" s="7"/>
      <c r="G227" s="8" t="str">
        <f t="shared" si="1"/>
        <v>...</v>
      </c>
      <c r="H227" s="31"/>
      <c r="I227" s="52"/>
      <c r="J227" s="45" t="str">
        <f t="shared" si="2"/>
        <v>...</v>
      </c>
      <c r="K227" s="47" t="str">
        <f t="array" ref="K227">IF(B227=0,"...",J227/VLOOKUP(D227,{CCL!M:N;CCL!$P:$Q},2,FALSE))</f>
        <v>...</v>
      </c>
      <c r="L227" s="45" t="str">
        <f>IFERROR(__xludf.DUMMYFUNCTION("if(B227=0,""..."",if(E227=""CERRADA"",""Valor Venta"", GOOGLEFINANCE(""BCBA:""&amp;B227)))"),"...")</f>
        <v>...</v>
      </c>
      <c r="M227" s="45" t="str">
        <f>if(B227=0,"...",L227*(1-VLOOKUP(A227,Config!$B$3:$C$22,2,FALSE)))</f>
        <v>...</v>
      </c>
      <c r="N227" s="45" t="str">
        <f t="shared" si="3"/>
        <v>...</v>
      </c>
      <c r="O227" s="12" t="str">
        <f>IFERROR(__xludf.DUMMYFUNCTION("if(B227=0,""..."",GOOGLEFINANCE(B227,""changepct"")/100)"),"...")</f>
        <v>...</v>
      </c>
      <c r="P227" s="10" t="str">
        <f>IFERROR(__xludf.DUMMYFUNCTION("if(B227=0,""..."",GOOGLEFINANCE(B227,""change"")*H227)"),"...")</f>
        <v>...</v>
      </c>
      <c r="Q227" s="12" t="str">
        <f t="shared" si="4"/>
        <v>...</v>
      </c>
      <c r="R227" s="47" t="str">
        <f t="shared" si="5"/>
        <v>...</v>
      </c>
      <c r="S227" s="12" t="str">
        <f t="array" ref="S227">IF(B227=0,"...",(N227/IF(E227="ABIERTA",CCL!$E$2,VLOOKUP(F227,{CCL!M:N;CCL!$P:$Q},2,FALSE))/(J227/VLOOKUP(D227,{CCL!M:N;CCL!$P:$Q},2,FALSE))-1))</f>
        <v>...</v>
      </c>
      <c r="T227" s="47" t="str">
        <f>IF(B227=0,"...",N227/VLOOKUP(IF(E227="ABIERTA",TODAY(),F227),CCL!$A$12:$B$773,2,FALSE)-J227/VLOOKUP(D227,CCL!$A$12:$B235,2,FALSE))</f>
        <v>...</v>
      </c>
      <c r="U227" s="2"/>
      <c r="V227" s="10"/>
      <c r="W227" s="59" t="str">
        <f t="shared" si="16"/>
        <v>...</v>
      </c>
      <c r="X227" s="12" t="str">
        <f t="shared" si="17"/>
        <v/>
      </c>
      <c r="Y227" s="45" t="str">
        <f t="shared" si="18"/>
        <v>...</v>
      </c>
      <c r="Z227" s="45" t="str">
        <f t="shared" si="19"/>
        <v>...</v>
      </c>
      <c r="AA227" s="12" t="str">
        <f t="shared" si="20"/>
        <v>...</v>
      </c>
      <c r="AB227" s="45" t="str">
        <f t="shared" si="21"/>
        <v>...</v>
      </c>
      <c r="AC227" s="45" t="str">
        <f t="shared" si="22"/>
        <v>...</v>
      </c>
      <c r="AD227" s="12" t="str">
        <f t="shared" si="23"/>
        <v>...</v>
      </c>
      <c r="AE227" s="46" t="str">
        <f t="shared" si="24"/>
        <v>...</v>
      </c>
      <c r="AF227" s="2"/>
      <c r="AG227" s="2"/>
      <c r="AH227" s="2"/>
      <c r="AI227" s="2"/>
      <c r="AJ227" s="2"/>
      <c r="AK227" s="2"/>
    </row>
    <row r="228" ht="24.0" customHeight="1">
      <c r="A228" s="4"/>
      <c r="B228" s="30"/>
      <c r="C228" s="5" t="str">
        <f>IFERROR(__xludf.DUMMYFUNCTION("if(B228=0,""..."", sparkline(query(GOOGLEFINANCE(""BCBA:""&amp;B228,""price"",today()-$AI$36,today()),""select Col2"",0),{""charttype"",$AI$35}))"),"...")</f>
        <v>...</v>
      </c>
      <c r="D228" s="17"/>
      <c r="E228" s="31"/>
      <c r="F228" s="7"/>
      <c r="G228" s="8" t="str">
        <f t="shared" si="1"/>
        <v>...</v>
      </c>
      <c r="H228" s="31"/>
      <c r="I228" s="52"/>
      <c r="J228" s="45" t="str">
        <f t="shared" si="2"/>
        <v>...</v>
      </c>
      <c r="K228" s="47" t="str">
        <f t="array" ref="K228">IF(B228=0,"...",J228/VLOOKUP(D228,{CCL!M:N;CCL!$P:$Q},2,FALSE))</f>
        <v>...</v>
      </c>
      <c r="L228" s="45" t="str">
        <f>IFERROR(__xludf.DUMMYFUNCTION("if(B228=0,""..."",if(E228=""CERRADA"",""Valor Venta"", GOOGLEFINANCE(""BCBA:""&amp;B228)))"),"...")</f>
        <v>...</v>
      </c>
      <c r="M228" s="45" t="str">
        <f>if(B228=0,"...",L228*(1-VLOOKUP(A228,Config!$B$3:$C$22,2,FALSE)))</f>
        <v>...</v>
      </c>
      <c r="N228" s="45" t="str">
        <f t="shared" si="3"/>
        <v>...</v>
      </c>
      <c r="O228" s="12" t="str">
        <f>IFERROR(__xludf.DUMMYFUNCTION("if(B228=0,""..."",GOOGLEFINANCE(B228,""changepct"")/100)"),"...")</f>
        <v>...</v>
      </c>
      <c r="P228" s="10" t="str">
        <f>IFERROR(__xludf.DUMMYFUNCTION("if(B228=0,""..."",GOOGLEFINANCE(B228,""change"")*H228)"),"...")</f>
        <v>...</v>
      </c>
      <c r="Q228" s="12" t="str">
        <f t="shared" si="4"/>
        <v>...</v>
      </c>
      <c r="R228" s="47" t="str">
        <f t="shared" si="5"/>
        <v>...</v>
      </c>
      <c r="S228" s="12" t="str">
        <f t="array" ref="S228">IF(B228=0,"...",(N228/IF(E228="ABIERTA",CCL!$E$2,VLOOKUP(F228,{CCL!M:N;CCL!$P:$Q},2,FALSE))/(J228/VLOOKUP(D228,{CCL!M:N;CCL!$P:$Q},2,FALSE))-1))</f>
        <v>...</v>
      </c>
      <c r="T228" s="47" t="str">
        <f>IF(B228=0,"...",N228/VLOOKUP(IF(E228="ABIERTA",TODAY(),F228),CCL!$A$12:$B$773,2,FALSE)-J228/VLOOKUP(D228,CCL!$A$12:$B235,2,FALSE))</f>
        <v>...</v>
      </c>
      <c r="U228" s="2"/>
      <c r="V228" s="10"/>
      <c r="W228" s="59" t="str">
        <f t="shared" si="16"/>
        <v>...</v>
      </c>
      <c r="X228" s="12" t="str">
        <f t="shared" si="17"/>
        <v/>
      </c>
      <c r="Y228" s="45" t="str">
        <f t="shared" si="18"/>
        <v>...</v>
      </c>
      <c r="Z228" s="45" t="str">
        <f t="shared" si="19"/>
        <v>...</v>
      </c>
      <c r="AA228" s="12" t="str">
        <f t="shared" si="20"/>
        <v>...</v>
      </c>
      <c r="AB228" s="45" t="str">
        <f t="shared" si="21"/>
        <v>...</v>
      </c>
      <c r="AC228" s="45" t="str">
        <f t="shared" si="22"/>
        <v>...</v>
      </c>
      <c r="AD228" s="12" t="str">
        <f t="shared" si="23"/>
        <v>...</v>
      </c>
      <c r="AE228" s="46" t="str">
        <f t="shared" si="24"/>
        <v>...</v>
      </c>
      <c r="AF228" s="2"/>
      <c r="AG228" s="2"/>
      <c r="AH228" s="2"/>
      <c r="AI228" s="2"/>
      <c r="AJ228" s="2"/>
      <c r="AK228" s="2"/>
    </row>
    <row r="229" ht="24.0" customHeight="1">
      <c r="A229" s="4"/>
      <c r="B229" s="30"/>
      <c r="C229" s="5" t="str">
        <f>IFERROR(__xludf.DUMMYFUNCTION("if(B229=0,""..."", sparkline(query(GOOGLEFINANCE(""BCBA:""&amp;B229,""price"",today()-$AI$36,today()),""select Col2"",0),{""charttype"",$AI$35}))"),"...")</f>
        <v>...</v>
      </c>
      <c r="D229" s="17"/>
      <c r="E229" s="31"/>
      <c r="F229" s="7"/>
      <c r="G229" s="8" t="str">
        <f t="shared" si="1"/>
        <v>...</v>
      </c>
      <c r="H229" s="31"/>
      <c r="I229" s="52"/>
      <c r="J229" s="45" t="str">
        <f t="shared" si="2"/>
        <v>...</v>
      </c>
      <c r="K229" s="47" t="str">
        <f t="array" ref="K229">IF(B229=0,"...",J229/VLOOKUP(D229,{CCL!M:N;CCL!$P:$Q},2,FALSE))</f>
        <v>...</v>
      </c>
      <c r="L229" s="45" t="str">
        <f>IFERROR(__xludf.DUMMYFUNCTION("if(B229=0,""..."",if(E229=""CERRADA"",""Valor Venta"", GOOGLEFINANCE(""BCBA:""&amp;B229)))"),"...")</f>
        <v>...</v>
      </c>
      <c r="M229" s="45" t="str">
        <f>if(B229=0,"...",L229*(1-VLOOKUP(A229,Config!$B$3:$C$22,2,FALSE)))</f>
        <v>...</v>
      </c>
      <c r="N229" s="45" t="str">
        <f t="shared" si="3"/>
        <v>...</v>
      </c>
      <c r="O229" s="12" t="str">
        <f>IFERROR(__xludf.DUMMYFUNCTION("if(B229=0,""..."",GOOGLEFINANCE(B229,""changepct"")/100)"),"...")</f>
        <v>...</v>
      </c>
      <c r="P229" s="10" t="str">
        <f>IFERROR(__xludf.DUMMYFUNCTION("if(B229=0,""..."",GOOGLEFINANCE(B229,""change"")*H229)"),"...")</f>
        <v>...</v>
      </c>
      <c r="Q229" s="12" t="str">
        <f t="shared" si="4"/>
        <v>...</v>
      </c>
      <c r="R229" s="47" t="str">
        <f t="shared" si="5"/>
        <v>...</v>
      </c>
      <c r="S229" s="12" t="str">
        <f t="array" ref="S229">IF(B229=0,"...",(N229/IF(E229="ABIERTA",CCL!$E$2,VLOOKUP(F229,{CCL!M:N;CCL!$P:$Q},2,FALSE))/(J229/VLOOKUP(D229,{CCL!M:N;CCL!$P:$Q},2,FALSE))-1))</f>
        <v>...</v>
      </c>
      <c r="T229" s="47" t="str">
        <f>IF(B229=0,"...",N229/VLOOKUP(IF(E229="ABIERTA",TODAY(),F229),CCL!$A$12:$B$773,2,FALSE)-J229/VLOOKUP(D229,CCL!$A$12:$B235,2,FALSE))</f>
        <v>...</v>
      </c>
      <c r="U229" s="2"/>
      <c r="V229" s="10"/>
      <c r="W229" s="59" t="str">
        <f t="shared" si="16"/>
        <v>...</v>
      </c>
      <c r="X229" s="12" t="str">
        <f t="shared" si="17"/>
        <v/>
      </c>
      <c r="Y229" s="45" t="str">
        <f t="shared" si="18"/>
        <v>...</v>
      </c>
      <c r="Z229" s="45" t="str">
        <f t="shared" si="19"/>
        <v>...</v>
      </c>
      <c r="AA229" s="12" t="str">
        <f t="shared" si="20"/>
        <v>...</v>
      </c>
      <c r="AB229" s="45" t="str">
        <f t="shared" si="21"/>
        <v>...</v>
      </c>
      <c r="AC229" s="45" t="str">
        <f t="shared" si="22"/>
        <v>...</v>
      </c>
      <c r="AD229" s="12" t="str">
        <f t="shared" si="23"/>
        <v>...</v>
      </c>
      <c r="AE229" s="46" t="str">
        <f t="shared" si="24"/>
        <v>...</v>
      </c>
      <c r="AF229" s="2"/>
      <c r="AG229" s="2"/>
      <c r="AH229" s="2"/>
      <c r="AI229" s="2"/>
      <c r="AJ229" s="2"/>
      <c r="AK229" s="2"/>
    </row>
    <row r="230" ht="24.0" customHeight="1">
      <c r="A230" s="4"/>
      <c r="B230" s="30"/>
      <c r="C230" s="5" t="str">
        <f>IFERROR(__xludf.DUMMYFUNCTION("if(B230=0,""..."", sparkline(query(GOOGLEFINANCE(""BCBA:""&amp;B230,""price"",today()-$AI$36,today()),""select Col2"",0),{""charttype"",$AI$35}))"),"...")</f>
        <v>...</v>
      </c>
      <c r="D230" s="17"/>
      <c r="E230" s="31"/>
      <c r="F230" s="7"/>
      <c r="G230" s="8" t="str">
        <f t="shared" si="1"/>
        <v>...</v>
      </c>
      <c r="H230" s="31"/>
      <c r="I230" s="52"/>
      <c r="J230" s="45" t="str">
        <f t="shared" si="2"/>
        <v>...</v>
      </c>
      <c r="K230" s="47" t="str">
        <f t="array" ref="K230">IF(B230=0,"...",J230/VLOOKUP(D230,{CCL!M:N;CCL!$P:$Q},2,FALSE))</f>
        <v>...</v>
      </c>
      <c r="L230" s="45" t="str">
        <f>IFERROR(__xludf.DUMMYFUNCTION("if(B230=0,""..."",if(E230=""CERRADA"",""Valor Venta"", GOOGLEFINANCE(""BCBA:""&amp;B230)))"),"...")</f>
        <v>...</v>
      </c>
      <c r="M230" s="45" t="str">
        <f>if(B230=0,"...",L230*(1-VLOOKUP(A230,Config!$B$3:$C$22,2,FALSE)))</f>
        <v>...</v>
      </c>
      <c r="N230" s="45" t="str">
        <f t="shared" si="3"/>
        <v>...</v>
      </c>
      <c r="O230" s="12" t="str">
        <f>IFERROR(__xludf.DUMMYFUNCTION("if(B230=0,""..."",GOOGLEFINANCE(B230,""changepct"")/100)"),"...")</f>
        <v>...</v>
      </c>
      <c r="P230" s="10" t="str">
        <f>IFERROR(__xludf.DUMMYFUNCTION("if(B230=0,""..."",GOOGLEFINANCE(B230,""change"")*H230)"),"...")</f>
        <v>...</v>
      </c>
      <c r="Q230" s="12" t="str">
        <f t="shared" si="4"/>
        <v>...</v>
      </c>
      <c r="R230" s="47" t="str">
        <f t="shared" si="5"/>
        <v>...</v>
      </c>
      <c r="S230" s="12" t="str">
        <f t="array" ref="S230">IF(B230=0,"...",(N230/IF(E230="ABIERTA",CCL!$E$2,VLOOKUP(F230,{CCL!M:N;CCL!$P:$Q},2,FALSE))/(J230/VLOOKUP(D230,{CCL!M:N;CCL!$P:$Q},2,FALSE))-1))</f>
        <v>...</v>
      </c>
      <c r="T230" s="47" t="str">
        <f>IF(B230=0,"...",N230/VLOOKUP(IF(E230="ABIERTA",TODAY(),F230),CCL!$A$12:$B$773,2,FALSE)-J230/VLOOKUP(D230,CCL!$A$12:$B235,2,FALSE))</f>
        <v>...</v>
      </c>
      <c r="U230" s="2"/>
      <c r="V230" s="10"/>
      <c r="W230" s="59" t="str">
        <f t="shared" si="16"/>
        <v>...</v>
      </c>
      <c r="X230" s="12" t="str">
        <f t="shared" si="17"/>
        <v/>
      </c>
      <c r="Y230" s="45" t="str">
        <f t="shared" si="18"/>
        <v>...</v>
      </c>
      <c r="Z230" s="45" t="str">
        <f t="shared" si="19"/>
        <v>...</v>
      </c>
      <c r="AA230" s="12" t="str">
        <f t="shared" si="20"/>
        <v>...</v>
      </c>
      <c r="AB230" s="45" t="str">
        <f t="shared" si="21"/>
        <v>...</v>
      </c>
      <c r="AC230" s="45" t="str">
        <f t="shared" si="22"/>
        <v>...</v>
      </c>
      <c r="AD230" s="12" t="str">
        <f t="shared" si="23"/>
        <v>...</v>
      </c>
      <c r="AE230" s="46" t="str">
        <f t="shared" si="24"/>
        <v>...</v>
      </c>
      <c r="AF230" s="2"/>
      <c r="AG230" s="2"/>
      <c r="AH230" s="2"/>
      <c r="AI230" s="2"/>
      <c r="AJ230" s="2"/>
      <c r="AK230" s="2"/>
    </row>
    <row r="231" ht="24.0" customHeight="1">
      <c r="A231" s="4"/>
      <c r="B231" s="30"/>
      <c r="C231" s="5" t="str">
        <f>IFERROR(__xludf.DUMMYFUNCTION("if(B231=0,""..."", sparkline(query(GOOGLEFINANCE(""BCBA:""&amp;B231,""price"",today()-$AI$36,today()),""select Col2"",0),{""charttype"",$AI$35}))"),"...")</f>
        <v>...</v>
      </c>
      <c r="D231" s="17"/>
      <c r="E231" s="31"/>
      <c r="F231" s="7"/>
      <c r="G231" s="8" t="str">
        <f t="shared" si="1"/>
        <v>...</v>
      </c>
      <c r="H231" s="31"/>
      <c r="I231" s="52"/>
      <c r="J231" s="45" t="str">
        <f t="shared" si="2"/>
        <v>...</v>
      </c>
      <c r="K231" s="47" t="str">
        <f t="array" ref="K231">IF(B231=0,"...",J231/VLOOKUP(D231,{CCL!M:N;CCL!$P:$Q},2,FALSE))</f>
        <v>...</v>
      </c>
      <c r="L231" s="45" t="str">
        <f>IFERROR(__xludf.DUMMYFUNCTION("if(B231=0,""..."",if(E231=""CERRADA"",""Valor Venta"", GOOGLEFINANCE(""BCBA:""&amp;B231)))"),"...")</f>
        <v>...</v>
      </c>
      <c r="M231" s="45" t="str">
        <f>if(B231=0,"...",L231*(1-VLOOKUP(A231,Config!$B$3:$C$22,2,FALSE)))</f>
        <v>...</v>
      </c>
      <c r="N231" s="45" t="str">
        <f t="shared" si="3"/>
        <v>...</v>
      </c>
      <c r="O231" s="12" t="str">
        <f>IFERROR(__xludf.DUMMYFUNCTION("if(B231=0,""..."",GOOGLEFINANCE(B231,""changepct"")/100)"),"...")</f>
        <v>...</v>
      </c>
      <c r="P231" s="10" t="str">
        <f>IFERROR(__xludf.DUMMYFUNCTION("if(B231=0,""..."",GOOGLEFINANCE(B231,""change"")*H231)"),"...")</f>
        <v>...</v>
      </c>
      <c r="Q231" s="12" t="str">
        <f t="shared" si="4"/>
        <v>...</v>
      </c>
      <c r="R231" s="47" t="str">
        <f t="shared" si="5"/>
        <v>...</v>
      </c>
      <c r="S231" s="12" t="str">
        <f t="array" ref="S231">IF(B231=0,"...",(N231/IF(E231="ABIERTA",CCL!$E$2,VLOOKUP(F231,{CCL!M:N;CCL!$P:$Q},2,FALSE))/(J231/VLOOKUP(D231,{CCL!M:N;CCL!$P:$Q},2,FALSE))-1))</f>
        <v>...</v>
      </c>
      <c r="T231" s="47" t="str">
        <f>IF(B231=0,"...",N231/VLOOKUP(IF(E231="ABIERTA",TODAY(),F231),CCL!$A$12:$B$773,2,FALSE)-J231/VLOOKUP(D231,CCL!$A$12:$B235,2,FALSE))</f>
        <v>...</v>
      </c>
      <c r="U231" s="2"/>
      <c r="V231" s="10"/>
      <c r="W231" s="59" t="str">
        <f t="shared" si="16"/>
        <v>...</v>
      </c>
      <c r="X231" s="12" t="str">
        <f t="shared" si="17"/>
        <v/>
      </c>
      <c r="Y231" s="45" t="str">
        <f t="shared" si="18"/>
        <v>...</v>
      </c>
      <c r="Z231" s="45" t="str">
        <f t="shared" si="19"/>
        <v>...</v>
      </c>
      <c r="AA231" s="12" t="str">
        <f t="shared" si="20"/>
        <v>...</v>
      </c>
      <c r="AB231" s="45" t="str">
        <f t="shared" si="21"/>
        <v>...</v>
      </c>
      <c r="AC231" s="45" t="str">
        <f t="shared" si="22"/>
        <v>...</v>
      </c>
      <c r="AD231" s="12" t="str">
        <f t="shared" si="23"/>
        <v>...</v>
      </c>
      <c r="AE231" s="46" t="str">
        <f t="shared" si="24"/>
        <v>...</v>
      </c>
      <c r="AF231" s="2"/>
      <c r="AG231" s="2"/>
      <c r="AH231" s="2"/>
      <c r="AI231" s="2"/>
      <c r="AJ231" s="2"/>
      <c r="AK231" s="2"/>
    </row>
    <row r="232" ht="24.0" customHeight="1">
      <c r="A232" s="4"/>
      <c r="B232" s="30"/>
      <c r="C232" s="5" t="str">
        <f>IFERROR(__xludf.DUMMYFUNCTION("if(B232=0,""..."", sparkline(query(GOOGLEFINANCE(""BCBA:""&amp;B232,""price"",today()-$AI$36,today()),""select Col2"",0),{""charttype"",$AI$35}))"),"...")</f>
        <v>...</v>
      </c>
      <c r="D232" s="17"/>
      <c r="E232" s="31"/>
      <c r="F232" s="7"/>
      <c r="G232" s="8" t="str">
        <f t="shared" si="1"/>
        <v>...</v>
      </c>
      <c r="H232" s="31"/>
      <c r="I232" s="52"/>
      <c r="J232" s="45" t="str">
        <f t="shared" si="2"/>
        <v>...</v>
      </c>
      <c r="K232" s="47" t="str">
        <f t="array" ref="K232">IF(B232=0,"...",J232/VLOOKUP(D232,{CCL!M:N;CCL!$P:$Q},2,FALSE))</f>
        <v>...</v>
      </c>
      <c r="L232" s="45" t="str">
        <f>IFERROR(__xludf.DUMMYFUNCTION("if(B232=0,""..."",if(E232=""CERRADA"",""Valor Venta"", GOOGLEFINANCE(""BCBA:""&amp;B232)))"),"...")</f>
        <v>...</v>
      </c>
      <c r="M232" s="45" t="str">
        <f>if(B232=0,"...",L232*(1-VLOOKUP(A232,Config!$B$3:$C$22,2,FALSE)))</f>
        <v>...</v>
      </c>
      <c r="N232" s="45" t="str">
        <f t="shared" si="3"/>
        <v>...</v>
      </c>
      <c r="O232" s="12" t="str">
        <f>IFERROR(__xludf.DUMMYFUNCTION("if(B232=0,""..."",GOOGLEFINANCE(B232,""changepct"")/100)"),"...")</f>
        <v>...</v>
      </c>
      <c r="P232" s="10" t="str">
        <f>IFERROR(__xludf.DUMMYFUNCTION("if(B232=0,""..."",GOOGLEFINANCE(B232,""change"")*H232)"),"...")</f>
        <v>...</v>
      </c>
      <c r="Q232" s="12" t="str">
        <f t="shared" si="4"/>
        <v>...</v>
      </c>
      <c r="R232" s="47" t="str">
        <f t="shared" si="5"/>
        <v>...</v>
      </c>
      <c r="S232" s="12" t="str">
        <f t="array" ref="S232">IF(B232=0,"...",(N232/IF(E232="ABIERTA",CCL!$E$2,VLOOKUP(F232,{CCL!M:N;CCL!$P:$Q},2,FALSE))/(J232/VLOOKUP(D232,{CCL!M:N;CCL!$P:$Q},2,FALSE))-1))</f>
        <v>...</v>
      </c>
      <c r="T232" s="47" t="str">
        <f>IF(B232=0,"...",N232/VLOOKUP(IF(E232="ABIERTA",TODAY(),F232),CCL!$A$12:$B$773,2,FALSE)-J232/VLOOKUP(D232,CCL!$A$12:$B235,2,FALSE))</f>
        <v>...</v>
      </c>
      <c r="U232" s="2"/>
      <c r="V232" s="10"/>
      <c r="W232" s="59" t="str">
        <f t="shared" si="16"/>
        <v>...</v>
      </c>
      <c r="X232" s="12" t="str">
        <f t="shared" si="17"/>
        <v/>
      </c>
      <c r="Y232" s="45" t="str">
        <f t="shared" si="18"/>
        <v>...</v>
      </c>
      <c r="Z232" s="45" t="str">
        <f t="shared" si="19"/>
        <v>...</v>
      </c>
      <c r="AA232" s="12" t="str">
        <f t="shared" si="20"/>
        <v>...</v>
      </c>
      <c r="AB232" s="45" t="str">
        <f t="shared" si="21"/>
        <v>...</v>
      </c>
      <c r="AC232" s="45" t="str">
        <f t="shared" si="22"/>
        <v>...</v>
      </c>
      <c r="AD232" s="12" t="str">
        <f t="shared" si="23"/>
        <v>...</v>
      </c>
      <c r="AE232" s="46" t="str">
        <f t="shared" si="24"/>
        <v>...</v>
      </c>
      <c r="AF232" s="2"/>
      <c r="AG232" s="2"/>
      <c r="AH232" s="2"/>
      <c r="AI232" s="2"/>
      <c r="AJ232" s="2"/>
      <c r="AK232" s="2"/>
    </row>
    <row r="233" ht="24.0" customHeight="1">
      <c r="A233" s="4"/>
      <c r="B233" s="30"/>
      <c r="C233" s="5" t="str">
        <f>IFERROR(__xludf.DUMMYFUNCTION("if(B233=0,""..."", sparkline(query(GOOGLEFINANCE(""BCBA:""&amp;B233,""price"",today()-$AI$36,today()),""select Col2"",0),{""charttype"",$AI$35}))"),"...")</f>
        <v>...</v>
      </c>
      <c r="D233" s="17"/>
      <c r="E233" s="31"/>
      <c r="F233" s="7"/>
      <c r="G233" s="8" t="str">
        <f t="shared" si="1"/>
        <v>...</v>
      </c>
      <c r="H233" s="31"/>
      <c r="I233" s="52"/>
      <c r="J233" s="45" t="str">
        <f t="shared" si="2"/>
        <v>...</v>
      </c>
      <c r="K233" s="47" t="str">
        <f t="array" ref="K233">IF(B233=0,"...",J233/VLOOKUP(D233,{CCL!M:N;CCL!$P:$Q},2,FALSE))</f>
        <v>...</v>
      </c>
      <c r="L233" s="45" t="str">
        <f>IFERROR(__xludf.DUMMYFUNCTION("if(B233=0,""..."",if(E233=""CERRADA"",""Valor Venta"", GOOGLEFINANCE(""BCBA:""&amp;B233)))"),"...")</f>
        <v>...</v>
      </c>
      <c r="M233" s="45" t="str">
        <f>if(B233=0,"...",L233*(1-VLOOKUP(A233,Config!$B$3:$C$22,2,FALSE)))</f>
        <v>...</v>
      </c>
      <c r="N233" s="45" t="str">
        <f t="shared" si="3"/>
        <v>...</v>
      </c>
      <c r="O233" s="12" t="str">
        <f>IFERROR(__xludf.DUMMYFUNCTION("if(B233=0,""..."",GOOGLEFINANCE(B233,""changepct"")/100)"),"...")</f>
        <v>...</v>
      </c>
      <c r="P233" s="10" t="str">
        <f>IFERROR(__xludf.DUMMYFUNCTION("if(B233=0,""..."",GOOGLEFINANCE(B233,""change"")*H233)"),"...")</f>
        <v>...</v>
      </c>
      <c r="Q233" s="12" t="str">
        <f t="shared" si="4"/>
        <v>...</v>
      </c>
      <c r="R233" s="47" t="str">
        <f t="shared" si="5"/>
        <v>...</v>
      </c>
      <c r="S233" s="12" t="str">
        <f t="array" ref="S233">IF(B233=0,"...",(N233/IF(E233="ABIERTA",CCL!$E$2,VLOOKUP(F233,{CCL!M:N;CCL!$P:$Q},2,FALSE))/(J233/VLOOKUP(D233,{CCL!M:N;CCL!$P:$Q},2,FALSE))-1))</f>
        <v>...</v>
      </c>
      <c r="T233" s="47" t="str">
        <f>IF(B233=0,"...",N233/VLOOKUP(IF(E233="ABIERTA",TODAY(),F233),CCL!$A$12:$B$773,2,FALSE)-J233/VLOOKUP(D233,CCL!$A$12:$B235,2,FALSE))</f>
        <v>...</v>
      </c>
      <c r="U233" s="2"/>
      <c r="V233" s="10"/>
      <c r="W233" s="59" t="str">
        <f t="shared" si="16"/>
        <v>...</v>
      </c>
      <c r="X233" s="12" t="str">
        <f t="shared" si="17"/>
        <v/>
      </c>
      <c r="Y233" s="45" t="str">
        <f t="shared" si="18"/>
        <v>...</v>
      </c>
      <c r="Z233" s="45" t="str">
        <f t="shared" si="19"/>
        <v>...</v>
      </c>
      <c r="AA233" s="12" t="str">
        <f t="shared" si="20"/>
        <v>...</v>
      </c>
      <c r="AB233" s="45" t="str">
        <f t="shared" si="21"/>
        <v>...</v>
      </c>
      <c r="AC233" s="45" t="str">
        <f t="shared" si="22"/>
        <v>...</v>
      </c>
      <c r="AD233" s="12" t="str">
        <f t="shared" si="23"/>
        <v>...</v>
      </c>
      <c r="AE233" s="46" t="str">
        <f t="shared" si="24"/>
        <v>...</v>
      </c>
      <c r="AF233" s="2"/>
      <c r="AG233" s="2"/>
      <c r="AH233" s="2"/>
      <c r="AI233" s="2"/>
      <c r="AJ233" s="2"/>
      <c r="AK233" s="2"/>
    </row>
    <row r="234" ht="24.0" customHeight="1">
      <c r="A234" s="4"/>
      <c r="B234" s="30"/>
      <c r="C234" s="5" t="str">
        <f>IFERROR(__xludf.DUMMYFUNCTION("if(B234=0,""..."", sparkline(query(GOOGLEFINANCE(""BCBA:""&amp;B234,""price"",today()-$AI$36,today()),""select Col2"",0),{""charttype"",$AI$35}))"),"...")</f>
        <v>...</v>
      </c>
      <c r="D234" s="17"/>
      <c r="E234" s="31"/>
      <c r="F234" s="7"/>
      <c r="G234" s="8" t="str">
        <f t="shared" si="1"/>
        <v>...</v>
      </c>
      <c r="H234" s="31"/>
      <c r="I234" s="52"/>
      <c r="J234" s="45" t="str">
        <f t="shared" si="2"/>
        <v>...</v>
      </c>
      <c r="K234" s="47" t="str">
        <f t="array" ref="K234">IF(B234=0,"...",J234/VLOOKUP(D234,{CCL!M:N;CCL!$P:$Q},2,FALSE))</f>
        <v>...</v>
      </c>
      <c r="L234" s="45" t="str">
        <f>IFERROR(__xludf.DUMMYFUNCTION("if(B234=0,""..."",if(E234=""CERRADA"",""Valor Venta"", GOOGLEFINANCE(""BCBA:""&amp;B234)))"),"...")</f>
        <v>...</v>
      </c>
      <c r="M234" s="45" t="str">
        <f>if(B234=0,"...",L234*(1-VLOOKUP(A234,Config!$B$3:$C$22,2,FALSE)))</f>
        <v>...</v>
      </c>
      <c r="N234" s="45" t="str">
        <f t="shared" si="3"/>
        <v>...</v>
      </c>
      <c r="O234" s="12" t="str">
        <f>IFERROR(__xludf.DUMMYFUNCTION("if(B234=0,""..."",GOOGLEFINANCE(B234,""changepct"")/100)"),"...")</f>
        <v>...</v>
      </c>
      <c r="P234" s="10" t="str">
        <f>IFERROR(__xludf.DUMMYFUNCTION("if(B234=0,""..."",GOOGLEFINANCE(B234,""change"")*H234)"),"...")</f>
        <v>...</v>
      </c>
      <c r="Q234" s="12" t="str">
        <f t="shared" si="4"/>
        <v>...</v>
      </c>
      <c r="R234" s="47" t="str">
        <f t="shared" si="5"/>
        <v>...</v>
      </c>
      <c r="S234" s="12" t="str">
        <f t="array" ref="S234">IF(B234=0,"...",(N234/IF(E234="ABIERTA",CCL!$E$2,VLOOKUP(F234,{CCL!M:N;CCL!$P:$Q},2,FALSE))/(J234/VLOOKUP(D234,{CCL!M:N;CCL!$P:$Q},2,FALSE))-1))</f>
        <v>...</v>
      </c>
      <c r="T234" s="47" t="str">
        <f>IF(B234=0,"...",N234/VLOOKUP(IF(E234="ABIERTA",TODAY(),F234),CCL!$A$12:$B$773,2,FALSE)-J234/VLOOKUP(D234,CCL!$A$12:$B235,2,FALSE))</f>
        <v>...</v>
      </c>
      <c r="U234" s="2"/>
      <c r="V234" s="10"/>
      <c r="W234" s="59" t="str">
        <f t="shared" si="16"/>
        <v>...</v>
      </c>
      <c r="X234" s="12" t="str">
        <f t="shared" si="17"/>
        <v/>
      </c>
      <c r="Y234" s="45" t="str">
        <f t="shared" si="18"/>
        <v>...</v>
      </c>
      <c r="Z234" s="45" t="str">
        <f t="shared" si="19"/>
        <v>...</v>
      </c>
      <c r="AA234" s="12" t="str">
        <f t="shared" si="20"/>
        <v>...</v>
      </c>
      <c r="AB234" s="45" t="str">
        <f t="shared" si="21"/>
        <v>...</v>
      </c>
      <c r="AC234" s="45" t="str">
        <f t="shared" si="22"/>
        <v>...</v>
      </c>
      <c r="AD234" s="12" t="str">
        <f t="shared" si="23"/>
        <v>...</v>
      </c>
      <c r="AE234" s="46" t="str">
        <f t="shared" si="24"/>
        <v>...</v>
      </c>
      <c r="AF234" s="2"/>
      <c r="AG234" s="2"/>
      <c r="AH234" s="2"/>
      <c r="AI234" s="2"/>
      <c r="AJ234" s="2"/>
      <c r="AK234" s="2"/>
    </row>
    <row r="235" ht="24.0" customHeight="1">
      <c r="A235" s="2"/>
      <c r="B235" s="2"/>
      <c r="C235" s="2"/>
      <c r="D235" s="61"/>
      <c r="E235" s="2"/>
      <c r="F235" s="2"/>
      <c r="G235" s="2"/>
      <c r="H235" s="2"/>
      <c r="I235" s="53"/>
      <c r="J235" s="53"/>
      <c r="K235" s="53"/>
      <c r="L235" s="53"/>
      <c r="M235" s="53"/>
      <c r="N235" s="53"/>
      <c r="O235" s="2"/>
      <c r="P235" s="2"/>
      <c r="Q235" s="2"/>
      <c r="R235" s="53"/>
      <c r="S235" s="2"/>
      <c r="T235" s="53"/>
      <c r="U235" s="2"/>
      <c r="V235" s="2"/>
      <c r="W235" s="62"/>
      <c r="X235" s="2"/>
      <c r="Y235" s="53"/>
      <c r="Z235" s="53"/>
      <c r="AA235" s="2"/>
      <c r="AB235" s="53"/>
      <c r="AC235" s="2"/>
      <c r="AD235" s="2"/>
      <c r="AE235" s="53"/>
      <c r="AF235" s="2"/>
      <c r="AG235" s="2"/>
      <c r="AH235" s="2"/>
      <c r="AI235" s="2"/>
      <c r="AJ235" s="2"/>
      <c r="AK235" s="2"/>
    </row>
  </sheetData>
  <autoFilter ref="$A$1:$T$234"/>
  <mergeCells count="27">
    <mergeCell ref="AG19:AG20"/>
    <mergeCell ref="AH19:AH20"/>
    <mergeCell ref="AI19:AI20"/>
    <mergeCell ref="AJ19:AJ20"/>
    <mergeCell ref="AH21:AH23"/>
    <mergeCell ref="AI21:AI23"/>
    <mergeCell ref="AJ21:AJ23"/>
    <mergeCell ref="AI27:AI28"/>
    <mergeCell ref="AJ27:AJ28"/>
    <mergeCell ref="AG21:AG23"/>
    <mergeCell ref="AG24:AG25"/>
    <mergeCell ref="AH24:AH25"/>
    <mergeCell ref="AI24:AI25"/>
    <mergeCell ref="AJ24:AJ25"/>
    <mergeCell ref="AG27:AG28"/>
    <mergeCell ref="AH27:AH28"/>
    <mergeCell ref="AG31:AG32"/>
    <mergeCell ref="AG33:AG34"/>
    <mergeCell ref="AH33:AH34"/>
    <mergeCell ref="AG35:AG36"/>
    <mergeCell ref="AG29:AG30"/>
    <mergeCell ref="AH29:AH30"/>
    <mergeCell ref="AI29:AI30"/>
    <mergeCell ref="AJ29:AJ30"/>
    <mergeCell ref="AH31:AH32"/>
    <mergeCell ref="AI31:AI32"/>
    <mergeCell ref="AJ31:AJ32"/>
  </mergeCells>
  <conditionalFormatting sqref="AH21:AH25 AJ21:AJ25 AH29:AH34 AJ29:AJ32">
    <cfRule type="cellIs" dxfId="9" priority="1" operator="greaterThanOrEqual">
      <formula>0</formula>
    </cfRule>
  </conditionalFormatting>
  <conditionalFormatting sqref="AH21:AH25 AJ21:AJ25 AH29:AH34 AJ29:AJ32">
    <cfRule type="cellIs" dxfId="10" priority="2" operator="lessThan">
      <formula>0</formula>
    </cfRule>
  </conditionalFormatting>
  <conditionalFormatting sqref="O2:O234 Q2:Q234 S2:S234 AA2:AA234 AD2:AD234">
    <cfRule type="cellIs" dxfId="0" priority="3" operator="greaterThanOrEqual">
      <formula>"10%"</formula>
    </cfRule>
  </conditionalFormatting>
  <conditionalFormatting sqref="O2:O234 Q2:Q234 S2:S234 AA2:AA234 AC2:AD234">
    <cfRule type="cellIs" dxfId="1" priority="4" operator="between">
      <formula>"1%"</formula>
      <formula>"10%"</formula>
    </cfRule>
  </conditionalFormatting>
  <conditionalFormatting sqref="O2:O234 Q2:Q234 S2:S234 AA2:AA234 AC2:AD234">
    <cfRule type="cellIs" dxfId="2" priority="5" operator="lessThanOrEqual">
      <formula>"-10%"</formula>
    </cfRule>
  </conditionalFormatting>
  <conditionalFormatting sqref="O2:O234 Q2:Q234 S2:S234 AA2:AA234 AC2:AD234">
    <cfRule type="cellIs" dxfId="3" priority="6" operator="between">
      <formula>"-1%"</formula>
      <formula>"-10%"</formula>
    </cfRule>
  </conditionalFormatting>
  <conditionalFormatting sqref="O2:O234 Q2:Q234 S2:S234 AA2:AA234 AC2:AD234">
    <cfRule type="cellIs" dxfId="4" priority="7" operator="between">
      <formula>"-1%"</formula>
      <formula>"1%"</formula>
    </cfRule>
  </conditionalFormatting>
  <conditionalFormatting sqref="L2:L234">
    <cfRule type="expression" dxfId="5" priority="8">
      <formula>L2&gt;I2</formula>
    </cfRule>
  </conditionalFormatting>
  <conditionalFormatting sqref="L2:L234">
    <cfRule type="expression" dxfId="6" priority="9">
      <formula>L2&lt;I2</formula>
    </cfRule>
  </conditionalFormatting>
  <conditionalFormatting sqref="E2:E234">
    <cfRule type="containsText" dxfId="7" priority="10" operator="containsText" text="ABIERTA">
      <formula>NOT(ISERROR(SEARCH(("ABIERTA"),(E2))))</formula>
    </cfRule>
  </conditionalFormatting>
  <conditionalFormatting sqref="E2:E234">
    <cfRule type="containsText" dxfId="8" priority="11" operator="containsText" text="CERRADA">
      <formula>NOT(ISERROR(SEARCH(("CERRADA"),(E2))))</formula>
    </cfRule>
  </conditionalFormatting>
  <dataValidations>
    <dataValidation type="list" allowBlank="1" sqref="A2:A234">
      <formula1>Config!$B$3:$B$22</formula1>
    </dataValidation>
    <dataValidation type="list" allowBlank="1" sqref="E2:E234">
      <formula1>"ABIERTA,CERRADA"</formula1>
    </dataValidation>
    <dataValidation type="list" allowBlank="1" sqref="AI36">
      <formula1>"7,14,28,365"</formula1>
    </dataValidation>
    <dataValidation type="list" allowBlank="1" sqref="AI35">
      <formula1>"line,column"</formula1>
    </dataValidation>
    <dataValidation type="custom" allowBlank="1" showDropDown="1" sqref="D2:D234 F2:F234">
      <formula1>OR(NOT(ISERROR(DATEVALUE(D2))), AND(ISNUMBER(D2), LEFT(CELL("format", D2))="D"))</formula1>
    </dataValidation>
  </dataValidations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.75"/>
    <col customWidth="1" min="2" max="2" width="9.5"/>
    <col customWidth="1" min="3" max="6" width="10.75"/>
    <col customWidth="1" min="7" max="7" width="6.38"/>
    <col customWidth="1" min="8" max="10" width="10.75"/>
    <col customWidth="1" min="11" max="11" width="12.0"/>
    <col customWidth="1" min="12" max="15" width="10.75"/>
    <col customWidth="1" hidden="1" min="16" max="16" width="10.75"/>
    <col customWidth="1" hidden="1" min="17" max="17" width="14.75"/>
    <col customWidth="1" hidden="1" min="18" max="18" width="12.0"/>
    <col customWidth="1" min="19" max="20" width="12.0"/>
    <col customWidth="1" min="21" max="21" width="3.0"/>
    <col customWidth="1" min="22" max="22" width="17.63"/>
    <col customWidth="1" min="23" max="24" width="10.13"/>
    <col customWidth="1" min="36" max="36" width="3.0"/>
    <col customWidth="1" min="41" max="41" width="3.0"/>
  </cols>
  <sheetData>
    <row r="1" ht="44.25" customHeight="1">
      <c r="A1" s="54" t="s">
        <v>135</v>
      </c>
      <c r="B1" s="54" t="s">
        <v>1</v>
      </c>
      <c r="C1" s="54" t="s">
        <v>82</v>
      </c>
      <c r="D1" s="55" t="s">
        <v>2</v>
      </c>
      <c r="E1" s="54" t="s">
        <v>3</v>
      </c>
      <c r="F1" s="54" t="s">
        <v>4</v>
      </c>
      <c r="G1" s="54" t="s">
        <v>5</v>
      </c>
      <c r="H1" s="54" t="s">
        <v>6</v>
      </c>
      <c r="I1" s="56" t="s">
        <v>97</v>
      </c>
      <c r="J1" s="56" t="s">
        <v>10</v>
      </c>
      <c r="K1" s="56" t="s">
        <v>98</v>
      </c>
      <c r="L1" s="56" t="s">
        <v>99</v>
      </c>
      <c r="M1" s="56" t="s">
        <v>100</v>
      </c>
      <c r="N1" s="56" t="s">
        <v>101</v>
      </c>
      <c r="O1" s="54" t="s">
        <v>85</v>
      </c>
      <c r="P1" s="54" t="s">
        <v>86</v>
      </c>
      <c r="Q1" s="54" t="s">
        <v>102</v>
      </c>
      <c r="R1" s="56" t="s">
        <v>13</v>
      </c>
      <c r="S1" s="54" t="s">
        <v>103</v>
      </c>
      <c r="T1" s="56" t="s">
        <v>104</v>
      </c>
      <c r="U1" s="57"/>
      <c r="V1" s="54" t="s">
        <v>136</v>
      </c>
      <c r="W1" s="54" t="s">
        <v>1</v>
      </c>
      <c r="X1" s="58" t="s">
        <v>6</v>
      </c>
      <c r="Y1" s="56" t="s">
        <v>99</v>
      </c>
      <c r="Z1" s="54"/>
      <c r="AA1" s="56"/>
      <c r="AB1" s="54" t="s">
        <v>14</v>
      </c>
      <c r="AC1" s="56" t="s">
        <v>15</v>
      </c>
      <c r="AD1" s="56" t="s">
        <v>16</v>
      </c>
      <c r="AE1" s="54" t="s">
        <v>105</v>
      </c>
      <c r="AF1" s="56" t="s">
        <v>106</v>
      </c>
      <c r="AG1" s="54" t="s">
        <v>107</v>
      </c>
      <c r="AH1" s="54" t="s">
        <v>108</v>
      </c>
      <c r="AI1" s="56" t="s">
        <v>109</v>
      </c>
      <c r="AJ1" s="57"/>
      <c r="AK1" s="57"/>
      <c r="AL1" s="57"/>
      <c r="AM1" s="57"/>
      <c r="AN1" s="57"/>
      <c r="AO1" s="57"/>
    </row>
    <row r="2" ht="24.0" customHeight="1">
      <c r="A2" s="4" t="s">
        <v>137</v>
      </c>
      <c r="B2" s="4" t="s">
        <v>120</v>
      </c>
      <c r="C2" s="5" t="str">
        <f>IFERROR(__xludf.DUMMYFUNCTION("if(B2=0,""..."", sparkline(query(GOOGLEFINANCE(""BCBA:""&amp;B2,""price"",today()-$AM$47,today()),""select Col2"",0),{""charttype"",$AM$46}))"),"")</f>
        <v/>
      </c>
      <c r="D2" s="17">
        <v>45569.0</v>
      </c>
      <c r="E2" s="6" t="s">
        <v>22</v>
      </c>
      <c r="F2" s="17">
        <v>45796.0</v>
      </c>
      <c r="G2" s="8">
        <f t="shared" ref="G2:G233" si="1">if(B2=0,"...", IF(F2=0,today()-D2,F2-D2))</f>
        <v>227</v>
      </c>
      <c r="H2" s="6">
        <v>8.0</v>
      </c>
      <c r="I2" s="44">
        <v>20050.0</v>
      </c>
      <c r="J2" s="45">
        <f t="shared" ref="J2:J233" si="2">if(B2=0,"...",H2*I2)</f>
        <v>160400</v>
      </c>
      <c r="K2" s="47">
        <f>IF(B2=0,"...",J2/VLOOKUP(D2,CCL!$A$12:$B234,2,FALSE))</f>
        <v>130.8383771</v>
      </c>
      <c r="L2" s="46">
        <v>25025.0</v>
      </c>
      <c r="M2" s="45">
        <f>if(B2=0,"...",L2*(1-VLOOKUP(A2,Config!$B$3:$C$22,2,FALSE)))</f>
        <v>24849.825</v>
      </c>
      <c r="N2" s="45">
        <f t="shared" ref="N2:N233" si="3">IF(B2=0,"...",H2*M2)</f>
        <v>198798.6</v>
      </c>
      <c r="O2" s="12">
        <f>IFERROR(__xludf.DUMMYFUNCTION("if(B2=0,""..."",GOOGLEFINANCE(B2,""changepct"")/100)"),-0.002)</f>
        <v>-0.002</v>
      </c>
      <c r="P2" s="10">
        <f>IFERROR(__xludf.DUMMYFUNCTION("if(B2=0,""..."",GOOGLEFINANCE(B2,""change"")*H2)"),-27.6)</f>
        <v>-27.6</v>
      </c>
      <c r="Q2" s="12">
        <f t="shared" ref="Q2:Q233" si="4">if(B2=0,"...",N2/J2-1)</f>
        <v>0.2393927681</v>
      </c>
      <c r="R2" s="47">
        <f t="shared" ref="R2:R233" si="5">if(B2=0,"...",N2-J2)</f>
        <v>38398.6</v>
      </c>
      <c r="S2" s="12">
        <f t="shared" ref="S2:S28" si="6">IF(B2=0,"...",(T2/(K2+T2)))</f>
        <v>0.2348467806</v>
      </c>
      <c r="T2" s="47">
        <f t="array" ref="T2">IF(B2=0,"...",(N2/IF(E2="ABIERTA",CCL!$E$2,VLOOKUP(F2,{CCL!M:N;CCL!$P:$Q},2,FALSE))-K2))</f>
        <v>40.15793288</v>
      </c>
      <c r="U2" s="2"/>
      <c r="V2" s="63" t="str">
        <f t="shared" ref="V2:V17" si="7">SECTOR(W2)</f>
        <v>ERROR API</v>
      </c>
      <c r="W2" s="10" t="str">
        <f>IFERROR(__xludf.DUMMYFUNCTION("Unique(Filter(B2:B60,E2:E60=""ABIERTA""))"),"MSFT")</f>
        <v>MSFT</v>
      </c>
      <c r="X2" s="59">
        <f t="shared" ref="X2:X17" si="8">IF(W2=0,"...",SUMIFS($H$2:$H$76,$B$2:$B$76,W2,$E$2:$E$76,"ABIERTA"))</f>
        <v>32</v>
      </c>
      <c r="Y2" s="45">
        <f>IFERROR(__xludf.DUMMYFUNCTION("IF(W2=0,""..."",GOOGLEFINANCE(""BCBA:""&amp;W2))"),18330.0)</f>
        <v>18330</v>
      </c>
      <c r="Z2" s="45">
        <f>VLOOKUP(W2,Tabla_1[[TICKER]:[PRECIO ARS]],6,0)</f>
        <v>18628.04037</v>
      </c>
      <c r="AA2" s="45">
        <f t="shared" ref="AA2:AA16" si="9">Y2-Z2</f>
        <v>-298.040375</v>
      </c>
      <c r="AB2" s="12">
        <f t="shared" ref="AB2:AB16" si="10">IF(W2=0,"",AG2/$AN$38)</f>
        <v>0.1237010384</v>
      </c>
      <c r="AC2" s="45">
        <f>if(X2=0,"...",if(W2=0,"...",sumifs($J$2:$J$36,$B$2:$B$36,W2,$E$2:$E$36,"ABIERTA")/X2))</f>
        <v>6910.15625</v>
      </c>
      <c r="AD2" s="45">
        <f>if(W2=0,"...",sumifs($N$2:$N$36,$B$2:$B$36,W2,$E$2:$E$36,"ABIERTA"))</f>
        <v>200218.59</v>
      </c>
      <c r="AE2" s="12">
        <f t="shared" ref="AE2:AE233" si="11">if(X2=0,"...",if(W2=0,"...",AF2/(AD2-AF2)))</f>
        <v>-0.09454566422</v>
      </c>
      <c r="AF2" s="45">
        <f>if(X2=0,"...",if(W2=0,"...",sumifs($R$2:$R$36,$B$2:$B$36,W2,$E$2:$E$36,"ABIERTA")))</f>
        <v>-20906.41</v>
      </c>
      <c r="AG2" s="45">
        <f t="shared" ref="AG2:AG16" si="12">IF(X2=0,"...",IF(W2=0,"...",SUMIFS($K$2:$K$76,$B$2:$B$76,W2,$E$2:$E$76,"ABIERTA")))</f>
        <v>527.5678183</v>
      </c>
      <c r="AH2" s="12">
        <f t="shared" ref="AH2:AH233" si="13">IF(W2=0,"...",AI2/(AG2+AI2))</f>
        <v>-0.07794627082</v>
      </c>
      <c r="AI2" s="46">
        <f>IF(X2=0,"...",if(W2=0,"...",sumifs($T$2:$T$36,$B$2:$B$36,W2,$E$2:$E$36,"ABIERTA")))</f>
        <v>-38.14841718</v>
      </c>
      <c r="AJ2" s="2"/>
      <c r="AK2" s="2"/>
      <c r="AL2" s="2"/>
      <c r="AM2" s="2"/>
      <c r="AN2" s="2"/>
      <c r="AO2" s="2"/>
    </row>
    <row r="3" ht="24.0" customHeight="1">
      <c r="A3" s="4" t="s">
        <v>137</v>
      </c>
      <c r="B3" s="4" t="s">
        <v>133</v>
      </c>
      <c r="C3" s="5" t="str">
        <f>IFERROR(__xludf.DUMMYFUNCTION("if(B3=0,""..."", sparkline(query(GOOGLEFINANCE(""BCBA:""&amp;B3,""price"",today()-$AM$47,today()),""select Col2"",0),{""charttype"",$AM$46}))"),"")</f>
        <v/>
      </c>
      <c r="D3" s="17">
        <v>45569.0</v>
      </c>
      <c r="E3" s="6" t="s">
        <v>22</v>
      </c>
      <c r="F3" s="17">
        <v>46029.0</v>
      </c>
      <c r="G3" s="8">
        <f t="shared" si="1"/>
        <v>460</v>
      </c>
      <c r="H3" s="6">
        <v>19.0</v>
      </c>
      <c r="I3" s="44">
        <v>5550.0</v>
      </c>
      <c r="J3" s="45">
        <f t="shared" si="2"/>
        <v>105450</v>
      </c>
      <c r="K3" s="47">
        <f t="array" ref="K3">IF(B3=0,"...",J3/VLOOKUP(D3,{CCL!M:N;CCL!$P:$Q},2,FALSE))</f>
        <v>86.01562882</v>
      </c>
      <c r="L3" s="46">
        <v>12230.0</v>
      </c>
      <c r="M3" s="45">
        <f>if(B3=0,"...",L3*(1-VLOOKUP(A3,Config!$B$3:$C$22,2,FALSE)))</f>
        <v>12144.39</v>
      </c>
      <c r="N3" s="45">
        <f t="shared" si="3"/>
        <v>230743.41</v>
      </c>
      <c r="O3" s="12">
        <f>IFERROR(__xludf.DUMMYFUNCTION("if(B3=0,""..."",GOOGLEFINANCE(B3,""changepct"")/100)"),0.0489)</f>
        <v>0.0489</v>
      </c>
      <c r="P3" s="10">
        <f>IFERROR(__xludf.DUMMYFUNCTION("if(B3=0,""..."",GOOGLEFINANCE(B3,""change"")*H3)"),44.65)</f>
        <v>44.65</v>
      </c>
      <c r="Q3" s="12">
        <f t="shared" si="4"/>
        <v>1.188178378</v>
      </c>
      <c r="R3" s="47">
        <f t="shared" si="5"/>
        <v>125293.41</v>
      </c>
      <c r="S3" s="12">
        <f t="shared" si="6"/>
        <v>0.4284708645</v>
      </c>
      <c r="T3" s="47">
        <f t="array" ref="T3">IF(B3=0,"...",(N3/IF(E3="ABIERTA",CCL!$E$2,VLOOKUP(F3,{CCL!M:N;CCL!$P:$Q},2,FALSE))-K3))</f>
        <v>64.4852354</v>
      </c>
      <c r="U3" s="2"/>
      <c r="V3" s="63" t="str">
        <f t="shared" si="7"/>
        <v>ERROR API</v>
      </c>
      <c r="W3" s="10" t="str">
        <f>IFERROR(__xludf.DUMMYFUNCTION("""COMPUTED_VALUE"""),"AAPL")</f>
        <v>AAPL</v>
      </c>
      <c r="X3" s="59">
        <f t="shared" si="8"/>
        <v>33</v>
      </c>
      <c r="Y3" s="45">
        <f>IFERROR(__xludf.DUMMYFUNCTION("IF(W3=0,""..."",GOOGLEFINANCE(""BCBA:""&amp;W3))"),18990.0)</f>
        <v>18990</v>
      </c>
      <c r="Z3" s="45">
        <f>VLOOKUP(W3,Tabla_1[[TICKER]:[PRECIO ARS]],6,0)</f>
        <v>19147.78595</v>
      </c>
      <c r="AA3" s="45">
        <f t="shared" si="9"/>
        <v>-157.7859454</v>
      </c>
      <c r="AB3" s="12">
        <f t="shared" si="10"/>
        <v>0.08349711427</v>
      </c>
      <c r="AC3" s="45">
        <f t="shared" ref="AC3:AC10" si="14">IF(X3=0,"...",IF(W3=0,"...",SUMIFS($J$2:$J$76,$B$2:$B$76,W3,$E$2:$E$76,"ABIERTA")/X3))</f>
        <v>12976.51515</v>
      </c>
      <c r="AD3" s="45">
        <f t="shared" ref="AD3:AD10" si="15">IF(W3=0,"...",SUMIFS($N$2:$N$76,$B$2:$B$76,W3,$E$2:$E$76,"ABIERTA"))</f>
        <v>622283.31</v>
      </c>
      <c r="AE3" s="12">
        <f t="shared" si="11"/>
        <v>0.453169035</v>
      </c>
      <c r="AF3" s="45">
        <f t="shared" ref="AF3:AF10" si="16">IF(X3=0,"...",IF(W3=0,"...",SUMIFS($R$2:$R$76,$B$2:$B$76,W3,$E$2:$E$76,"ABIERTA")))</f>
        <v>194058.31</v>
      </c>
      <c r="AG3" s="45">
        <f t="shared" si="12"/>
        <v>356.103643</v>
      </c>
      <c r="AH3" s="12">
        <f t="shared" si="13"/>
        <v>0.1545244443</v>
      </c>
      <c r="AI3" s="46">
        <f t="shared" ref="AI3:AI10" si="17">IF(X3=0,"...",IF(W3=0,"...",SUMIFS($T$2:$T$76,$B$2:$B$76,W3,$E$2:$E$76,"ABIERTA")))</f>
        <v>65.08374744</v>
      </c>
      <c r="AJ3" s="2"/>
      <c r="AK3" s="2"/>
      <c r="AL3" s="2"/>
      <c r="AM3" s="2"/>
      <c r="AN3" s="2"/>
      <c r="AO3" s="2"/>
    </row>
    <row r="4" ht="24.0" customHeight="1">
      <c r="A4" s="4" t="s">
        <v>137</v>
      </c>
      <c r="B4" s="4" t="s">
        <v>110</v>
      </c>
      <c r="C4" s="5" t="str">
        <f>IFERROR(__xludf.DUMMYFUNCTION("if(B4=0,""..."", sparkline(query(GOOGLEFINANCE(""BCBA:""&amp;B4,""price"",today()-$AM$47,today()),""select Col2"",0),{""charttype"",$AM$46}))"),"")</f>
        <v/>
      </c>
      <c r="D4" s="17">
        <v>45595.0</v>
      </c>
      <c r="E4" s="6" t="s">
        <v>24</v>
      </c>
      <c r="F4" s="17"/>
      <c r="G4" s="8">
        <f t="shared" si="1"/>
        <v>522</v>
      </c>
      <c r="H4" s="6">
        <v>5.0</v>
      </c>
      <c r="I4" s="44">
        <v>16775.0</v>
      </c>
      <c r="J4" s="45">
        <f t="shared" si="2"/>
        <v>83875</v>
      </c>
      <c r="K4" s="47">
        <f t="array" ref="K4">IF(B4=0,"...",J4/VLOOKUP(D4,{CCL!M:N;CCL!$P:$Q},2,FALSE))</f>
        <v>72.39340583</v>
      </c>
      <c r="L4" s="45">
        <f t="shared" ref="L4:L5" si="18">IF(B4=0,"...",IF(E4="CERRADA","Valor Venta", VLOOKUP(B4,$W$2:$Y$57,3,0)))</f>
        <v>18330</v>
      </c>
      <c r="M4" s="45">
        <f>if(B4=0,"...",L4*(1-VLOOKUP(A4,Config!$B$3:$C$22,2,FALSE)))</f>
        <v>18201.69</v>
      </c>
      <c r="N4" s="45">
        <f t="shared" si="3"/>
        <v>91008.45</v>
      </c>
      <c r="O4" s="12">
        <f>IFERROR(__xludf.DUMMYFUNCTION("if(B4=0,""..."",GOOGLEFINANCE(B4,""changepct"")/100)"),0.0111)</f>
        <v>0.0111</v>
      </c>
      <c r="P4" s="10">
        <f>IFERROR(__xludf.DUMMYFUNCTION("if(B4=0,""..."",GOOGLEFINANCE(B4,""change"")*H4)"),20.45)</f>
        <v>20.45</v>
      </c>
      <c r="Q4" s="12">
        <f t="shared" si="4"/>
        <v>0.0850485842</v>
      </c>
      <c r="R4" s="47">
        <f t="shared" si="5"/>
        <v>7133.45</v>
      </c>
      <c r="S4" s="12">
        <f t="shared" si="6"/>
        <v>-0.175249523</v>
      </c>
      <c r="T4" s="47">
        <f t="array" ref="T4">IF(B4=0,"...",(N4/IF(E4="ABIERTA",CCL!$E$2,VLOOKUP(F4,{CCL!M:N;CCL!$P:$Q},2,FALSE))-K4))</f>
        <v>-10.79507763</v>
      </c>
      <c r="U4" s="2"/>
      <c r="V4" s="63" t="str">
        <f t="shared" si="7"/>
        <v>ERROR API</v>
      </c>
      <c r="W4" s="10" t="str">
        <f>IFERROR(__xludf.DUMMYFUNCTION("""COMPUTED_VALUE"""),"SPY")</f>
        <v>SPY</v>
      </c>
      <c r="X4" s="59">
        <f t="shared" si="8"/>
        <v>33</v>
      </c>
      <c r="Y4" s="45">
        <f>IFERROR(__xludf.DUMMYFUNCTION("IF(W4=0,""..."",GOOGLEFINANCE(""BCBA:""&amp;W4))"),48760.0)</f>
        <v>48760</v>
      </c>
      <c r="Z4" s="45">
        <f>VLOOKUP(W4,Tabla_1[[TICKER]:[PRECIO ARS]],6,0)</f>
        <v>49068.82016</v>
      </c>
      <c r="AA4" s="45">
        <f t="shared" si="9"/>
        <v>-308.8201647</v>
      </c>
      <c r="AB4" s="12">
        <f t="shared" si="10"/>
        <v>0.2315903411</v>
      </c>
      <c r="AC4" s="45">
        <f t="shared" si="14"/>
        <v>39441.66667</v>
      </c>
      <c r="AD4" s="45">
        <f t="shared" si="15"/>
        <v>1597816.44</v>
      </c>
      <c r="AE4" s="12">
        <f t="shared" si="11"/>
        <v>0.2276022819</v>
      </c>
      <c r="AF4" s="45">
        <f t="shared" si="16"/>
        <v>296241.44</v>
      </c>
      <c r="AG4" s="45">
        <f t="shared" si="12"/>
        <v>987.7007712</v>
      </c>
      <c r="AH4" s="12">
        <f t="shared" si="13"/>
        <v>0.08670453763</v>
      </c>
      <c r="AI4" s="46">
        <f t="shared" si="17"/>
        <v>93.76827348</v>
      </c>
      <c r="AJ4" s="2"/>
      <c r="AK4" s="2"/>
      <c r="AL4" s="2"/>
      <c r="AM4" s="2"/>
      <c r="AN4" s="2"/>
      <c r="AO4" s="2"/>
    </row>
    <row r="5" ht="24.0" customHeight="1">
      <c r="A5" s="4" t="s">
        <v>137</v>
      </c>
      <c r="B5" s="4" t="s">
        <v>119</v>
      </c>
      <c r="C5" s="5" t="str">
        <f>IFERROR(__xludf.DUMMYFUNCTION("if(B5=0,""..."", sparkline(query(GOOGLEFINANCE(""BCBA:""&amp;B5,""price"",today()-$AM$47,today()),""select Col2"",0),{""charttype"",$AM$46}))"),"")</f>
        <v/>
      </c>
      <c r="D5" s="17">
        <v>45595.0</v>
      </c>
      <c r="E5" s="6" t="s">
        <v>24</v>
      </c>
      <c r="F5" s="17"/>
      <c r="G5" s="8">
        <f t="shared" si="1"/>
        <v>522</v>
      </c>
      <c r="H5" s="6">
        <v>5.0</v>
      </c>
      <c r="I5" s="44">
        <v>13350.0</v>
      </c>
      <c r="J5" s="45">
        <f t="shared" si="2"/>
        <v>66750</v>
      </c>
      <c r="K5" s="47">
        <f t="array" ref="K5">IF(B5=0,"...",J5/VLOOKUP(D5,{CCL!M:N;CCL!$P:$Q},2,FALSE))</f>
        <v>57.61263594</v>
      </c>
      <c r="L5" s="45">
        <f t="shared" si="18"/>
        <v>18990</v>
      </c>
      <c r="M5" s="45">
        <f>if(B5=0,"...",L5*(1-VLOOKUP(A5,Config!$B$3:$C$22,2,FALSE)))</f>
        <v>18857.07</v>
      </c>
      <c r="N5" s="45">
        <f t="shared" si="3"/>
        <v>94285.35</v>
      </c>
      <c r="O5" s="12">
        <f>IFERROR(__xludf.DUMMYFUNCTION("if(B5=0,""..."",GOOGLEFINANCE(B5,""changepct"")/100)"),0.0011)</f>
        <v>0.0011</v>
      </c>
      <c r="P5" s="10">
        <f>IFERROR(__xludf.DUMMYFUNCTION("if(B5=0,""..."",GOOGLEFINANCE(B5,""change"")*H5)"),1.45)</f>
        <v>1.45</v>
      </c>
      <c r="Q5" s="12">
        <f t="shared" si="4"/>
        <v>0.4125146067</v>
      </c>
      <c r="R5" s="47">
        <f t="shared" si="5"/>
        <v>27535.35</v>
      </c>
      <c r="S5" s="12">
        <f t="shared" si="6"/>
        <v>0.09721087137</v>
      </c>
      <c r="T5" s="47">
        <f t="array" ref="T5">IF(B5=0,"...",(N5/IF(E5="ABIERTA",CCL!$E$2,VLOOKUP(F5,{CCL!M:N;CCL!$P:$Q},2,FALSE))-K5))</f>
        <v>6.203635338</v>
      </c>
      <c r="U5" s="2"/>
      <c r="V5" s="63" t="str">
        <f t="shared" si="7"/>
        <v>ERROR API</v>
      </c>
      <c r="W5" s="10" t="str">
        <f>IFERROR(__xludf.DUMMYFUNCTION("""COMPUTED_VALUE"""),"TSLA")</f>
        <v>TSLA</v>
      </c>
      <c r="X5" s="59">
        <f t="shared" si="8"/>
        <v>10</v>
      </c>
      <c r="Y5" s="45">
        <f>IFERROR(__xludf.DUMMYFUNCTION("IF(W5=0,""..."",GOOGLEFINANCE(""BCBA:""&amp;W5))"),37840.0)</f>
        <v>37840</v>
      </c>
      <c r="Z5" s="45">
        <f>VLOOKUP(W5,Tabla_1[[TICKER]:[PRECIO ARS]],6,0)</f>
        <v>35972.1795</v>
      </c>
      <c r="AA5" s="45">
        <f t="shared" si="9"/>
        <v>1867.820496</v>
      </c>
      <c r="AB5" s="12">
        <f t="shared" si="10"/>
        <v>0.06248265314</v>
      </c>
      <c r="AC5" s="45">
        <f t="shared" si="14"/>
        <v>31050</v>
      </c>
      <c r="AD5" s="45">
        <f t="shared" si="15"/>
        <v>375751.2</v>
      </c>
      <c r="AE5" s="12">
        <f t="shared" si="11"/>
        <v>0.2101487923</v>
      </c>
      <c r="AF5" s="45">
        <f t="shared" si="16"/>
        <v>65251.2</v>
      </c>
      <c r="AG5" s="45">
        <f t="shared" si="12"/>
        <v>266.479873</v>
      </c>
      <c r="AH5" s="12">
        <f t="shared" si="13"/>
        <v>-0.04779622358</v>
      </c>
      <c r="AI5" s="46">
        <f t="shared" si="17"/>
        <v>-12.15573344</v>
      </c>
      <c r="AJ5" s="2"/>
      <c r="AK5" s="2"/>
      <c r="AL5" s="2"/>
      <c r="AM5" s="2"/>
      <c r="AN5" s="2"/>
      <c r="AO5" s="2"/>
    </row>
    <row r="6" ht="24.0" customHeight="1">
      <c r="A6" s="4" t="s">
        <v>137</v>
      </c>
      <c r="B6" s="4" t="s">
        <v>138</v>
      </c>
      <c r="C6" s="5" t="str">
        <f>IFERROR(__xludf.DUMMYFUNCTION("if(B6=0,""..."", sparkline(query(GOOGLEFINANCE(""BCBA:""&amp;B6,""price"",today()-$AM$47,today()),""select Col2"",0),{""charttype"",$AM$46}))"),"")</f>
        <v/>
      </c>
      <c r="D6" s="17">
        <v>45595.0</v>
      </c>
      <c r="E6" s="6" t="s">
        <v>22</v>
      </c>
      <c r="F6" s="17">
        <v>45950.0</v>
      </c>
      <c r="G6" s="8">
        <f t="shared" si="1"/>
        <v>355</v>
      </c>
      <c r="H6" s="6">
        <v>6.0</v>
      </c>
      <c r="I6" s="44">
        <v>12750.0</v>
      </c>
      <c r="J6" s="45">
        <f t="shared" si="2"/>
        <v>76500</v>
      </c>
      <c r="K6" s="47">
        <f t="array" ref="K6">IF(B6=0,"...",J6/VLOOKUP(D6,{CCL!M:N;CCL!$P:$Q},2,FALSE))</f>
        <v>66.02796479</v>
      </c>
      <c r="L6" s="46">
        <v>29200.0</v>
      </c>
      <c r="M6" s="45">
        <f>if(B6=0,"...",L6*(1-VLOOKUP(A6,Config!$B$3:$C$22,2,FALSE)))</f>
        <v>28995.6</v>
      </c>
      <c r="N6" s="45">
        <f t="shared" si="3"/>
        <v>173973.6</v>
      </c>
      <c r="O6" s="12">
        <f>IFERROR(__xludf.DUMMYFUNCTION("if(B6=0,""..."",GOOGLEFINANCE(B6,""changepct"")/100)"),-0.013600000000000001)</f>
        <v>-0.0136</v>
      </c>
      <c r="P6" s="10">
        <f>IFERROR(__xludf.DUMMYFUNCTION("if(B6=0,""..."",GOOGLEFINANCE(B6,""change"")*H6)"),-10.08)</f>
        <v>-10.08</v>
      </c>
      <c r="Q6" s="12">
        <f t="shared" si="4"/>
        <v>1.274164706</v>
      </c>
      <c r="R6" s="47">
        <f t="shared" si="5"/>
        <v>97473.6</v>
      </c>
      <c r="S6" s="12">
        <f t="shared" si="6"/>
        <v>0.4041438216</v>
      </c>
      <c r="T6" s="47">
        <f t="array" ref="T6">IF(B6=0,"...",(N6/IF(E6="ABIERTA",CCL!$E$2,VLOOKUP(F6,{CCL!M:N;CCL!$P:$Q},2,FALSE))-K6))</f>
        <v>44.78395121</v>
      </c>
      <c r="U6" s="2"/>
      <c r="V6" s="63" t="str">
        <f t="shared" si="7"/>
        <v>ERROR API</v>
      </c>
      <c r="W6" s="10" t="str">
        <f>IFERROR(__xludf.DUMMYFUNCTION("""COMPUTED_VALUE"""),"DIA")</f>
        <v>DIA</v>
      </c>
      <c r="X6" s="59">
        <f t="shared" si="8"/>
        <v>10</v>
      </c>
      <c r="Y6" s="45">
        <f>IFERROR(__xludf.DUMMYFUNCTION("IF(W6=0,""..."",GOOGLEFINANCE(""BCBA:""&amp;W6))"),34680.0)</f>
        <v>34680</v>
      </c>
      <c r="Z6" s="45">
        <f>VLOOKUP(W6,Tabla_1[[TICKER]:[PRECIO ARS]],6,0)</f>
        <v>34795.51943</v>
      </c>
      <c r="AA6" s="45">
        <f t="shared" si="9"/>
        <v>-115.519427</v>
      </c>
      <c r="AB6" s="12">
        <f t="shared" si="10"/>
        <v>0.05120217585</v>
      </c>
      <c r="AC6" s="45">
        <f t="shared" si="14"/>
        <v>27172</v>
      </c>
      <c r="AD6" s="45">
        <f t="shared" si="15"/>
        <v>344372.4</v>
      </c>
      <c r="AE6" s="12">
        <f t="shared" si="11"/>
        <v>0.2673796555</v>
      </c>
      <c r="AF6" s="45">
        <f t="shared" si="16"/>
        <v>72652.4</v>
      </c>
      <c r="AG6" s="45">
        <f t="shared" si="12"/>
        <v>218.3701977</v>
      </c>
      <c r="AH6" s="12">
        <f t="shared" si="13"/>
        <v>0.06313325763</v>
      </c>
      <c r="AI6" s="46">
        <f t="shared" si="17"/>
        <v>14.71545667</v>
      </c>
      <c r="AJ6" s="2"/>
      <c r="AK6" s="2"/>
      <c r="AL6" s="2"/>
      <c r="AM6" s="2"/>
      <c r="AN6" s="2"/>
      <c r="AO6" s="2"/>
    </row>
    <row r="7" ht="24.0" customHeight="1">
      <c r="A7" s="4" t="s">
        <v>137</v>
      </c>
      <c r="B7" s="4" t="s">
        <v>112</v>
      </c>
      <c r="C7" s="5" t="str">
        <f>IFERROR(__xludf.DUMMYFUNCTION("if(B7=0,""..."", sparkline(query(GOOGLEFINANCE(""BCBA:""&amp;B7,""price"",today()-$AM$47,today()),""select Col2"",0),{""charttype"",$AM$46}))"),"")</f>
        <v/>
      </c>
      <c r="D7" s="17">
        <v>45645.0</v>
      </c>
      <c r="E7" s="6" t="s">
        <v>24</v>
      </c>
      <c r="F7" s="17"/>
      <c r="G7" s="8">
        <f t="shared" si="1"/>
        <v>472</v>
      </c>
      <c r="H7" s="6">
        <v>3.0</v>
      </c>
      <c r="I7" s="44">
        <v>34050.0</v>
      </c>
      <c r="J7" s="45">
        <f t="shared" si="2"/>
        <v>102150</v>
      </c>
      <c r="K7" s="47">
        <f t="array" ref="K7">IF(B7=0,"...",J7/VLOOKUP(D7,{CCL!M:N;CCL!$P:$Q},2,FALSE))</f>
        <v>88.24367868</v>
      </c>
      <c r="L7" s="45">
        <f t="shared" ref="L7:L10" si="19">IF(B7=0,"...",IF(E7="CERRADA","Valor Venta", VLOOKUP(B7,$W$2:$Y$57,3,0)))</f>
        <v>48760</v>
      </c>
      <c r="M7" s="45">
        <f>if(B7=0,"...",L7*(1-VLOOKUP(A7,Config!$B$3:$C$22,2,FALSE)))</f>
        <v>48418.68</v>
      </c>
      <c r="N7" s="45">
        <f t="shared" si="3"/>
        <v>145256.04</v>
      </c>
      <c r="O7" s="12">
        <f>IFERROR(__xludf.DUMMYFUNCTION("if(B7=0,""..."",GOOGLEFINANCE(B7,""changepct"")/100)"),9.0E-4)</f>
        <v>0.0009</v>
      </c>
      <c r="P7" s="10">
        <f>IFERROR(__xludf.DUMMYFUNCTION("if(B7=0,""..."",GOOGLEFINANCE(B7,""change"")*H7)"),1.77)</f>
        <v>1.77</v>
      </c>
      <c r="Q7" s="12">
        <f t="shared" si="4"/>
        <v>0.4219876652</v>
      </c>
      <c r="R7" s="47">
        <f t="shared" si="5"/>
        <v>43106.04</v>
      </c>
      <c r="S7" s="12">
        <f t="shared" si="6"/>
        <v>0.1024426725</v>
      </c>
      <c r="T7" s="47">
        <f t="array" ref="T7">IF(B7=0,"...",(N7/IF(E7="ABIERTA",CCL!$E$2,VLOOKUP(F7,{CCL!M:N;CCL!$P:$Q},2,FALSE))-K7))</f>
        <v>10.07168902</v>
      </c>
      <c r="U7" s="2"/>
      <c r="V7" s="63" t="str">
        <f t="shared" si="7"/>
        <v>ERROR API</v>
      </c>
      <c r="W7" s="10" t="str">
        <f>IFERROR(__xludf.DUMMYFUNCTION("""COMPUTED_VALUE"""),"META")</f>
        <v>META</v>
      </c>
      <c r="X7" s="59">
        <f t="shared" si="8"/>
        <v>2</v>
      </c>
      <c r="Y7" s="45">
        <f>IFERROR(__xludf.DUMMYFUNCTION("IF(W7=0,""..."",GOOGLEFINANCE(""BCBA:""&amp;W7))"),35920.0)</f>
        <v>35920</v>
      </c>
      <c r="Z7" s="45">
        <f>VLOOKUP(W7,Tabla_1[[TICKER]:[PRECIO ARS]],6,0)</f>
        <v>35817.3033</v>
      </c>
      <c r="AA7" s="45">
        <f t="shared" si="9"/>
        <v>102.696695</v>
      </c>
      <c r="AB7" s="12">
        <f t="shared" si="10"/>
        <v>0.01243373108</v>
      </c>
      <c r="AC7" s="45">
        <f t="shared" si="14"/>
        <v>32550</v>
      </c>
      <c r="AD7" s="45">
        <f t="shared" si="15"/>
        <v>71337.12</v>
      </c>
      <c r="AE7" s="12">
        <f t="shared" si="11"/>
        <v>0.09580829493</v>
      </c>
      <c r="AF7" s="45">
        <f t="shared" si="16"/>
        <v>6237.12</v>
      </c>
      <c r="AG7" s="45">
        <f t="shared" si="12"/>
        <v>53.0281432</v>
      </c>
      <c r="AH7" s="12">
        <f t="shared" si="13"/>
        <v>-0.0982561417</v>
      </c>
      <c r="AI7" s="46">
        <f t="shared" si="17"/>
        <v>-4.744194505</v>
      </c>
      <c r="AJ7" s="2"/>
      <c r="AK7" s="2"/>
      <c r="AL7" s="2"/>
      <c r="AM7" s="2"/>
      <c r="AN7" s="2"/>
      <c r="AO7" s="2"/>
    </row>
    <row r="8" ht="24.0" customHeight="1">
      <c r="A8" s="4" t="s">
        <v>137</v>
      </c>
      <c r="B8" s="4" t="s">
        <v>139</v>
      </c>
      <c r="C8" s="5" t="str">
        <f>IFERROR(__xludf.DUMMYFUNCTION("if(B8=0,""..."", sparkline(query(GOOGLEFINANCE(""BCBA:""&amp;B8,""price"",today()-$AM$47,today()),""select Col2"",0),{""charttype"",$AM$46}))"),"")</f>
        <v/>
      </c>
      <c r="D8" s="17">
        <v>45645.0</v>
      </c>
      <c r="E8" s="6" t="s">
        <v>24</v>
      </c>
      <c r="F8" s="17"/>
      <c r="G8" s="8">
        <f t="shared" si="1"/>
        <v>472</v>
      </c>
      <c r="H8" s="6">
        <v>3.0</v>
      </c>
      <c r="I8" s="44">
        <v>33525.0</v>
      </c>
      <c r="J8" s="45">
        <f t="shared" si="2"/>
        <v>100575</v>
      </c>
      <c r="K8" s="47">
        <f t="array" ref="K8">IF(B8=0,"...",J8/VLOOKUP(D8,{CCL!M:N;CCL!$P:$Q},2,FALSE))</f>
        <v>86.88309332</v>
      </c>
      <c r="L8" s="45">
        <f t="shared" si="19"/>
        <v>37840</v>
      </c>
      <c r="M8" s="45">
        <f>if(B8=0,"...",L8*(1-VLOOKUP(A8,Config!$B$3:$C$22,2,FALSE)))</f>
        <v>37575.12</v>
      </c>
      <c r="N8" s="45">
        <f t="shared" si="3"/>
        <v>112725.36</v>
      </c>
      <c r="O8" s="12">
        <f>IFERROR(__xludf.DUMMYFUNCTION("if(B8=0,""..."",GOOGLEFINANCE(B8,""changepct"")/100)"),-0.0542)</f>
        <v>-0.0542</v>
      </c>
      <c r="P8" s="10">
        <f>IFERROR(__xludf.DUMMYFUNCTION("if(B8=0,""..."",GOOGLEFINANCE(B8,""change"")*H8)"),-62.010000000000005)</f>
        <v>-62.01</v>
      </c>
      <c r="Q8" s="12">
        <f t="shared" si="4"/>
        <v>0.1208089485</v>
      </c>
      <c r="R8" s="47">
        <f t="shared" si="5"/>
        <v>12150.36</v>
      </c>
      <c r="S8" s="12">
        <f t="shared" si="6"/>
        <v>-0.1387448772</v>
      </c>
      <c r="T8" s="47">
        <f t="array" ref="T8">IF(B8=0,"...",(N8/IF(E8="ABIERTA",CCL!$E$2,VLOOKUP(F8,{CCL!M:N;CCL!$P:$Q},2,FALSE))-K8))</f>
        <v>-10.58585145</v>
      </c>
      <c r="U8" s="2"/>
      <c r="V8" s="63" t="str">
        <f t="shared" si="7"/>
        <v>ERROR API</v>
      </c>
      <c r="W8" s="10" t="str">
        <f>IFERROR(__xludf.DUMMYFUNCTION("""COMPUTED_VALUE"""),"EWZ")</f>
        <v>EWZ</v>
      </c>
      <c r="X8" s="59">
        <f t="shared" si="8"/>
        <v>4</v>
      </c>
      <c r="Y8" s="45">
        <f>IFERROR(__xludf.DUMMYFUNCTION("IF(W8=0,""..."",GOOGLEFINANCE(""BCBA:""&amp;W8))"),28620.0)</f>
        <v>28620</v>
      </c>
      <c r="Z8" s="45">
        <f>VLOOKUP(W8,Tabla_1[[TICKER]:[PRECIO ARS]],6,0)</f>
        <v>28693.24754</v>
      </c>
      <c r="AA8" s="45">
        <f t="shared" si="9"/>
        <v>-73.24753846</v>
      </c>
      <c r="AB8" s="12">
        <f t="shared" si="10"/>
        <v>0.01243075312</v>
      </c>
      <c r="AC8" s="45">
        <f t="shared" si="14"/>
        <v>17500</v>
      </c>
      <c r="AD8" s="45">
        <f t="shared" si="15"/>
        <v>113678.64</v>
      </c>
      <c r="AE8" s="12">
        <f t="shared" si="11"/>
        <v>0.6239805714</v>
      </c>
      <c r="AF8" s="45">
        <f t="shared" si="16"/>
        <v>43678.64</v>
      </c>
      <c r="AG8" s="45">
        <f t="shared" si="12"/>
        <v>53.01544264</v>
      </c>
      <c r="AH8" s="12">
        <f t="shared" si="13"/>
        <v>0.3109728817</v>
      </c>
      <c r="AI8" s="46">
        <f t="shared" si="17"/>
        <v>23.92701903</v>
      </c>
      <c r="AJ8" s="2"/>
      <c r="AK8" s="2"/>
      <c r="AL8" s="2"/>
      <c r="AM8" s="2"/>
      <c r="AN8" s="2"/>
      <c r="AO8" s="2"/>
    </row>
    <row r="9" ht="24.0" customHeight="1">
      <c r="A9" s="4" t="s">
        <v>137</v>
      </c>
      <c r="B9" s="4" t="s">
        <v>140</v>
      </c>
      <c r="C9" s="5" t="str">
        <f>IFERROR(__xludf.DUMMYFUNCTION("if(B9=0,""..."", sparkline(query(GOOGLEFINANCE(""BCBA:""&amp;B9,""price"",today()-$AM$47,today()),""select Col2"",0),{""charttype"",$AM$46}))"),"")</f>
        <v/>
      </c>
      <c r="D9" s="17">
        <v>45645.0</v>
      </c>
      <c r="E9" s="6" t="s">
        <v>24</v>
      </c>
      <c r="F9" s="17"/>
      <c r="G9" s="8">
        <f t="shared" si="1"/>
        <v>472</v>
      </c>
      <c r="H9" s="6">
        <v>5.0</v>
      </c>
      <c r="I9" s="44">
        <v>24625.0</v>
      </c>
      <c r="J9" s="45">
        <f t="shared" si="2"/>
        <v>123125</v>
      </c>
      <c r="K9" s="47">
        <f t="array" ref="K9">IF(B9=0,"...",J9/VLOOKUP(D9,{CCL!M:N;CCL!$P:$Q},2,FALSE))</f>
        <v>106.3632201</v>
      </c>
      <c r="L9" s="45">
        <f t="shared" si="19"/>
        <v>34680</v>
      </c>
      <c r="M9" s="45">
        <f>if(B9=0,"...",L9*(1-VLOOKUP(A9,Config!$B$3:$C$22,2,FALSE)))</f>
        <v>34437.24</v>
      </c>
      <c r="N9" s="45">
        <f t="shared" si="3"/>
        <v>172186.2</v>
      </c>
      <c r="O9" s="12">
        <f>IFERROR(__xludf.DUMMYFUNCTION("if(B9=0,""..."",GOOGLEFINANCE(B9,""changepct"")/100)"),-9.0E-4)</f>
        <v>-0.0009</v>
      </c>
      <c r="P9" s="10">
        <f>IFERROR(__xludf.DUMMYFUNCTION("if(B9=0,""..."",GOOGLEFINANCE(B9,""change"")*H9)"),-2.1)</f>
        <v>-2.1</v>
      </c>
      <c r="Q9" s="12">
        <f t="shared" si="4"/>
        <v>0.398466599</v>
      </c>
      <c r="R9" s="47">
        <f t="shared" si="5"/>
        <v>49061.2</v>
      </c>
      <c r="S9" s="12">
        <f t="shared" si="6"/>
        <v>0.08734649122</v>
      </c>
      <c r="T9" s="47">
        <f t="array" ref="T9">IF(B9=0,"...",(N9/IF(E9="ABIERTA",CCL!$E$2,VLOOKUP(F9,{CCL!M:N;CCL!$P:$Q},2,FALSE))-K9))</f>
        <v>10.17960703</v>
      </c>
      <c r="U9" s="2"/>
      <c r="V9" s="63" t="str">
        <f t="shared" si="7"/>
        <v>ERROR API</v>
      </c>
      <c r="W9" s="10" t="str">
        <f>IFERROR(__xludf.DUMMYFUNCTION("""COMPUTED_VALUE"""),"AMZN")</f>
        <v>AMZN</v>
      </c>
      <c r="X9" s="59">
        <f t="shared" si="8"/>
        <v>231</v>
      </c>
      <c r="Y9" s="45">
        <f>IFERROR(__xludf.DUMMYFUNCTION("IF(W9=0,""..."",GOOGLEFINANCE(""BCBA:""&amp;W9))"),2181.0)</f>
        <v>2181</v>
      </c>
      <c r="Z9" s="45">
        <f>VLOOKUP(W9,Tabla_1[[TICKER]:[PRECIO ARS]],6,0)</f>
        <v>2179.843016</v>
      </c>
      <c r="AA9" s="45">
        <f t="shared" si="9"/>
        <v>1.156983868</v>
      </c>
      <c r="AB9" s="12">
        <f t="shared" si="10"/>
        <v>0.08262322887</v>
      </c>
      <c r="AC9" s="45">
        <f t="shared" si="14"/>
        <v>2081.852814</v>
      </c>
      <c r="AD9" s="45">
        <f t="shared" si="15"/>
        <v>569295.837</v>
      </c>
      <c r="AE9" s="12">
        <f t="shared" si="11"/>
        <v>0.1837936508</v>
      </c>
      <c r="AF9" s="45">
        <f t="shared" si="16"/>
        <v>88387.837</v>
      </c>
      <c r="AG9" s="45">
        <f t="shared" si="12"/>
        <v>352.3766426</v>
      </c>
      <c r="AH9" s="12">
        <f t="shared" si="13"/>
        <v>0.08550381578</v>
      </c>
      <c r="AI9" s="46">
        <f t="shared" si="17"/>
        <v>32.94660826</v>
      </c>
      <c r="AJ9" s="2"/>
      <c r="AK9" s="2"/>
      <c r="AL9" s="2"/>
      <c r="AM9" s="2"/>
      <c r="AN9" s="2"/>
      <c r="AO9" s="2"/>
    </row>
    <row r="10" ht="24.0" customHeight="1">
      <c r="A10" s="4" t="s">
        <v>137</v>
      </c>
      <c r="B10" s="4" t="s">
        <v>112</v>
      </c>
      <c r="C10" s="5" t="str">
        <f>IFERROR(__xludf.DUMMYFUNCTION("if(B10=0,""..."", sparkline(query(GOOGLEFINANCE(""BCBA:""&amp;B10,""price"",today()-$AM$47,today()),""select Col2"",0),{""charttype"",$AM$46}))"),"")</f>
        <v/>
      </c>
      <c r="D10" s="17">
        <v>45686.0</v>
      </c>
      <c r="E10" s="6" t="s">
        <v>24</v>
      </c>
      <c r="F10" s="17"/>
      <c r="G10" s="8">
        <f t="shared" si="1"/>
        <v>431</v>
      </c>
      <c r="H10" s="6">
        <v>3.0</v>
      </c>
      <c r="I10" s="44">
        <v>35525.0</v>
      </c>
      <c r="J10" s="45">
        <f t="shared" si="2"/>
        <v>106575</v>
      </c>
      <c r="K10" s="47">
        <f t="array" ref="K10">IF(B10=0,"...",J10/VLOOKUP(D10,{CCL!M:N;CCL!$P:$Q},2,FALSE))</f>
        <v>90.17489233</v>
      </c>
      <c r="L10" s="45">
        <f t="shared" si="19"/>
        <v>48760</v>
      </c>
      <c r="M10" s="45">
        <f>if(B10=0,"...",L10*(1-VLOOKUP(A10,Config!$B$3:$C$22,2,FALSE)))</f>
        <v>48418.68</v>
      </c>
      <c r="N10" s="45">
        <f t="shared" si="3"/>
        <v>145256.04</v>
      </c>
      <c r="O10" s="12">
        <f>IFERROR(__xludf.DUMMYFUNCTION("if(B10=0,""..."",GOOGLEFINANCE(B10,""changepct"")/100)"),9.0E-4)</f>
        <v>0.0009</v>
      </c>
      <c r="P10" s="10">
        <f>IFERROR(__xludf.DUMMYFUNCTION("if(B10=0,""..."",GOOGLEFINANCE(B10,""change"")*H10)"),1.77)</f>
        <v>1.77</v>
      </c>
      <c r="Q10" s="12">
        <f t="shared" si="4"/>
        <v>0.3629466573</v>
      </c>
      <c r="R10" s="47">
        <f t="shared" si="5"/>
        <v>38681.04</v>
      </c>
      <c r="S10" s="12">
        <f t="shared" si="6"/>
        <v>0.08279962282</v>
      </c>
      <c r="T10" s="47">
        <f t="array" ref="T10">IF(B10=0,"...",(N10/IF(E10="ABIERTA",CCL!$E$2,VLOOKUP(F10,{CCL!M:N;CCL!$P:$Q},2,FALSE))-K10))</f>
        <v>8.140475363</v>
      </c>
      <c r="U10" s="2"/>
      <c r="V10" s="63" t="str">
        <f t="shared" si="7"/>
        <v>ERROR API</v>
      </c>
      <c r="W10" s="10" t="str">
        <f>IFERROR(__xludf.DUMMYFUNCTION("""COMPUTED_VALUE"""),"MELI")</f>
        <v>MELI</v>
      </c>
      <c r="X10" s="59">
        <f t="shared" si="8"/>
        <v>23</v>
      </c>
      <c r="Y10" s="45">
        <f>IFERROR(__xludf.DUMMYFUNCTION("IF(W10=0,""..."",GOOGLEFINANCE(""BCBA:""&amp;W10))"),21350.0)</f>
        <v>21350</v>
      </c>
      <c r="Z10" s="45">
        <f>VLOOKUP(W10,Tabla_1[[TICKER]:[PRECIO ARS]],6,0)</f>
        <v>21392.36854</v>
      </c>
      <c r="AA10" s="45">
        <f t="shared" si="9"/>
        <v>-42.36854289</v>
      </c>
      <c r="AB10" s="12">
        <f t="shared" si="10"/>
        <v>0.1008048285</v>
      </c>
      <c r="AC10" s="45">
        <f t="shared" si="14"/>
        <v>27110</v>
      </c>
      <c r="AD10" s="45">
        <f t="shared" si="15"/>
        <v>487612.65</v>
      </c>
      <c r="AE10" s="12">
        <f t="shared" si="11"/>
        <v>-0.21798045</v>
      </c>
      <c r="AF10" s="45">
        <f t="shared" si="16"/>
        <v>-135917.35</v>
      </c>
      <c r="AG10" s="45">
        <f t="shared" si="12"/>
        <v>429.91865</v>
      </c>
      <c r="AH10" s="12">
        <f t="shared" si="13"/>
        <v>-0.3026391121</v>
      </c>
      <c r="AI10" s="46">
        <f t="shared" si="17"/>
        <v>-99.881999</v>
      </c>
      <c r="AJ10" s="2"/>
      <c r="AK10" s="2"/>
      <c r="AL10" s="2"/>
      <c r="AM10" s="2"/>
      <c r="AN10" s="2"/>
      <c r="AO10" s="2"/>
    </row>
    <row r="11" ht="24.0" customHeight="1">
      <c r="A11" s="4" t="s">
        <v>137</v>
      </c>
      <c r="B11" s="4" t="s">
        <v>120</v>
      </c>
      <c r="C11" s="5" t="str">
        <f>IFERROR(__xludf.DUMMYFUNCTION("if(B11=0,""..."", sparkline(query(GOOGLEFINANCE(""BCBA:""&amp;B11,""price"",today()-$AM$47,today()),""select Col2"",0),{""charttype"",$AM$46}))"),"")</f>
        <v/>
      </c>
      <c r="D11" s="17">
        <v>45686.0</v>
      </c>
      <c r="E11" s="6" t="s">
        <v>22</v>
      </c>
      <c r="F11" s="17">
        <v>45796.0</v>
      </c>
      <c r="G11" s="8">
        <f t="shared" si="1"/>
        <v>110</v>
      </c>
      <c r="H11" s="6">
        <v>4.0</v>
      </c>
      <c r="I11" s="44">
        <v>18575.0</v>
      </c>
      <c r="J11" s="45">
        <f t="shared" si="2"/>
        <v>74300</v>
      </c>
      <c r="K11" s="47">
        <f>IF(B11=0,"...",J11/VLOOKUP(D11,CCL!$A$12:$B234,2,FALSE))</f>
        <v>62.86647432</v>
      </c>
      <c r="L11" s="46">
        <v>25025.0</v>
      </c>
      <c r="M11" s="45">
        <f>if(B11=0,"...",L11*(1-VLOOKUP(A11,Config!$B$3:$C$22,2,FALSE)))</f>
        <v>24849.825</v>
      </c>
      <c r="N11" s="45">
        <f t="shared" si="3"/>
        <v>99399.3</v>
      </c>
      <c r="O11" s="12">
        <f>IFERROR(__xludf.DUMMYFUNCTION("if(B11=0,""..."",GOOGLEFINANCE(B11,""changepct"")/100)"),-0.002)</f>
        <v>-0.002</v>
      </c>
      <c r="P11" s="10">
        <f>IFERROR(__xludf.DUMMYFUNCTION("if(B11=0,""..."",GOOGLEFINANCE(B11,""change"")*H11)"),-13.8)</f>
        <v>-13.8</v>
      </c>
      <c r="Q11" s="12">
        <f t="shared" si="4"/>
        <v>0.3378102288</v>
      </c>
      <c r="R11" s="47">
        <f t="shared" si="5"/>
        <v>25099.3</v>
      </c>
      <c r="S11" s="12">
        <f t="shared" si="6"/>
        <v>0.2647037316</v>
      </c>
      <c r="T11" s="47">
        <f t="array" ref="T11">IF(B11=0,"...",(N11/IF(E11="ABIERTA",CCL!$E$2,VLOOKUP(F11,{CCL!M:N;CCL!$P:$Q},2,FALSE))-K11))</f>
        <v>22.63168067</v>
      </c>
      <c r="U11" s="2"/>
      <c r="V11" s="63" t="str">
        <f t="shared" si="7"/>
        <v>ERROR API</v>
      </c>
      <c r="W11" s="10" t="str">
        <f>IFERROR(__xludf.DUMMYFUNCTION("""COMPUTED_VALUE"""),"NFLX")</f>
        <v>NFLX</v>
      </c>
      <c r="X11" s="59">
        <f t="shared" si="8"/>
        <v>125</v>
      </c>
      <c r="Y11" s="45">
        <f>IFERROR(__xludf.DUMMYFUNCTION("IF(W11=0,""..."",GOOGLEFINANCE(""BCBA:""&amp;W11))"),2957.5)</f>
        <v>2957.5</v>
      </c>
      <c r="Z11" s="45">
        <f>VLOOKUP(W11,Tabla_1[[TICKER]:[PRECIO ARS]],6,0)</f>
        <v>3075.701654</v>
      </c>
      <c r="AA11" s="45">
        <f t="shared" si="9"/>
        <v>-118.2016538</v>
      </c>
      <c r="AB11" s="12">
        <f t="shared" si="10"/>
        <v>0.0739637926</v>
      </c>
      <c r="AC11" s="45">
        <f>if(X11=0,"...",if(W11=0,"...",sumifs($J$2:$J$36,$B$2:$B$36,W11,$E$2:$E$36,"ABIERTA")/X11))</f>
        <v>2444.4</v>
      </c>
      <c r="AD11" s="45">
        <f>if(W11=0,"...",sumifs($N$2:$N$36,$B$2:$B$36,W11,$E$2:$E$36,"ABIERTA"))</f>
        <v>264311.775</v>
      </c>
      <c r="AE11" s="12">
        <f t="shared" si="11"/>
        <v>-0.1349639175</v>
      </c>
      <c r="AF11" s="45">
        <f>if(X11=0,"...",if(W11=0,"...",sumifs($R$2:$R$36,$B$2:$B$36,W11,$E$2:$E$36,"ABIERTA")))</f>
        <v>-41238.225</v>
      </c>
      <c r="AG11" s="45">
        <f t="shared" si="12"/>
        <v>315.4453447</v>
      </c>
      <c r="AH11" s="12">
        <f t="shared" si="13"/>
        <v>-0.2251153812</v>
      </c>
      <c r="AI11" s="46">
        <f>IF(X11=0,"...",if(W11=0,"...",sumifs($T$2:$T$36,$B$2:$B$36,W11,$E$2:$E$36,"ABIERTA")))</f>
        <v>-57.96319279</v>
      </c>
      <c r="AJ11" s="2"/>
      <c r="AK11" s="64" t="s">
        <v>141</v>
      </c>
      <c r="AL11" s="65"/>
      <c r="AM11" s="66" t="s">
        <v>14</v>
      </c>
      <c r="AN11" s="2"/>
      <c r="AO11" s="2"/>
    </row>
    <row r="12" ht="24.0" customHeight="1">
      <c r="A12" s="4" t="s">
        <v>137</v>
      </c>
      <c r="B12" s="4" t="s">
        <v>119</v>
      </c>
      <c r="C12" s="5" t="str">
        <f>IFERROR(__xludf.DUMMYFUNCTION("if(B12=0,""..."", sparkline(query(GOOGLEFINANCE(""BCBA:""&amp;B12,""price"",today()-$AM$47,today()),""select Col2"",0),{""charttype"",$AM$46}))"),"")</f>
        <v/>
      </c>
      <c r="D12" s="17">
        <v>45686.0</v>
      </c>
      <c r="E12" s="6" t="s">
        <v>24</v>
      </c>
      <c r="F12" s="7"/>
      <c r="G12" s="8">
        <f t="shared" si="1"/>
        <v>431</v>
      </c>
      <c r="H12" s="6">
        <v>5.0</v>
      </c>
      <c r="I12" s="44">
        <v>13825.0</v>
      </c>
      <c r="J12" s="45">
        <f t="shared" si="2"/>
        <v>69125</v>
      </c>
      <c r="K12" s="47">
        <f t="array" ref="K12">IF(B12=0,"...",J12/VLOOKUP(D12,{CCL!M:N;CCL!$P:$Q},2,FALSE))</f>
        <v>58.48782015</v>
      </c>
      <c r="L12" s="45">
        <f>IF(B12=0,"...",IF(E12="CERRADA","Valor Venta", VLOOKUP(B12,$W$2:$Y$57,3,0)))</f>
        <v>18990</v>
      </c>
      <c r="M12" s="45">
        <f>if(B12=0,"...",L12*(1-VLOOKUP(A12,Config!$B$3:$C$22,2,FALSE)))</f>
        <v>18857.07</v>
      </c>
      <c r="N12" s="45">
        <f t="shared" si="3"/>
        <v>94285.35</v>
      </c>
      <c r="O12" s="12">
        <f>IFERROR(__xludf.DUMMYFUNCTION("if(B12=0,""..."",GOOGLEFINANCE(B12,""changepct"")/100)"),0.0011)</f>
        <v>0.0011</v>
      </c>
      <c r="P12" s="10">
        <f>IFERROR(__xludf.DUMMYFUNCTION("if(B12=0,""..."",GOOGLEFINANCE(B12,""change"")*H12)"),1.45)</f>
        <v>1.45</v>
      </c>
      <c r="Q12" s="12">
        <f t="shared" si="4"/>
        <v>0.3639833635</v>
      </c>
      <c r="R12" s="47">
        <f t="shared" si="5"/>
        <v>25160.35</v>
      </c>
      <c r="S12" s="12">
        <f t="shared" si="6"/>
        <v>0.08349674812</v>
      </c>
      <c r="T12" s="47">
        <f t="array" ref="T12">IF(B12=0,"...",(N12/IF(E12="ABIERTA",CCL!$E$2,VLOOKUP(F12,{CCL!M:N;CCL!$P:$Q},2,FALSE))-K12))</f>
        <v>5.328451129</v>
      </c>
      <c r="U12" s="2"/>
      <c r="V12" s="63" t="str">
        <f t="shared" si="7"/>
        <v>ERROR API</v>
      </c>
      <c r="W12" s="10" t="str">
        <f>IFERROR(__xludf.DUMMYFUNCTION("""COMPUTED_VALUE"""),"GLD")</f>
        <v>GLD</v>
      </c>
      <c r="X12" s="59">
        <f t="shared" si="8"/>
        <v>50</v>
      </c>
      <c r="Y12" s="45">
        <f>IFERROR(__xludf.DUMMYFUNCTION("IF(W12=0,""..."",GOOGLEFINANCE(""BCBA:""&amp;W12))"),11100.0)</f>
        <v>11100</v>
      </c>
      <c r="Z12" s="45">
        <f>VLOOKUP(W12,Tabla_1[[TICKER]:[PRECIO ARS]],6,0)</f>
        <v>12851.28284</v>
      </c>
      <c r="AA12" s="45">
        <f t="shared" si="9"/>
        <v>-1751.282843</v>
      </c>
      <c r="AB12" s="12">
        <f t="shared" si="10"/>
        <v>0.09040123493</v>
      </c>
      <c r="AC12" s="45">
        <f t="shared" ref="AC12:AC24" si="20">IF(X12=0,"...",IF(W12=0,"...",SUMIFS($J$2:$J$76,$B$2:$B$76,W12,$E$2:$E$76,"ABIERTA")/X12))</f>
        <v>11738.8</v>
      </c>
      <c r="AD12" s="45">
        <f t="shared" ref="AD12:AD24" si="21">IF(W12=0,"...",SUMIFS($N$2:$N$76,$B$2:$B$76,W12,$E$2:$E$76,"ABIERTA"))</f>
        <v>551115</v>
      </c>
      <c r="AE12" s="12">
        <f t="shared" si="11"/>
        <v>-0.06103690326</v>
      </c>
      <c r="AF12" s="45">
        <f t="shared" ref="AF12:AF24" si="22">IF(X12=0,"...",IF(W12=0,"...",SUMIFS($R$2:$R$76,$B$2:$B$76,W12,$E$2:$E$76,"ABIERTA")))</f>
        <v>-35825</v>
      </c>
      <c r="AG12" s="45">
        <f t="shared" si="12"/>
        <v>385.5487626</v>
      </c>
      <c r="AH12" s="12">
        <f t="shared" si="13"/>
        <v>-0.0335937496</v>
      </c>
      <c r="AI12" s="46">
        <f t="shared" ref="AI12:AI24" si="23">IF(X12=0,"...",IF(W12=0,"...",SUMIFS($T$2:$T$76,$B$2:$B$76,W12,$E$2:$E$76,"ABIERTA")))</f>
        <v>-12.53106319</v>
      </c>
      <c r="AJ12" s="2"/>
      <c r="AK12" s="67" t="str">
        <f t="array" ref="AK12:AK14">UNIQUE(V2:V234)</f>
        <v>ERROR API</v>
      </c>
      <c r="AL12" s="68"/>
      <c r="AM12" s="69">
        <f t="shared" ref="AM12:AM20" si="24">SUMIF(V2:V234,AK12,AB2:AB234)</f>
        <v>1</v>
      </c>
      <c r="AN12" s="70"/>
      <c r="AO12" s="2"/>
    </row>
    <row r="13" ht="24.0" customHeight="1">
      <c r="A13" s="4" t="s">
        <v>137</v>
      </c>
      <c r="B13" s="4" t="s">
        <v>114</v>
      </c>
      <c r="C13" s="5" t="str">
        <f>IFERROR(__xludf.DUMMYFUNCTION("if(B13=0,""..."", sparkline(query(GOOGLEFINANCE(""BCBA:""&amp;B13,""price"",today()-$AM$47,today()),""select Col2"",0),{""charttype"",$AM$46}))"),"")</f>
        <v/>
      </c>
      <c r="D13" s="17">
        <v>45722.0</v>
      </c>
      <c r="E13" s="6" t="s">
        <v>22</v>
      </c>
      <c r="F13" s="17">
        <v>46029.0</v>
      </c>
      <c r="G13" s="8">
        <f t="shared" si="1"/>
        <v>307</v>
      </c>
      <c r="H13" s="6">
        <v>2.0</v>
      </c>
      <c r="I13" s="44">
        <v>20350.0</v>
      </c>
      <c r="J13" s="45">
        <f t="shared" si="2"/>
        <v>40700</v>
      </c>
      <c r="K13" s="47">
        <f t="array" ref="K13">IF(B13=0,"...",J13/VLOOKUP(D13,{CCL!M:N;CCL!$P:$Q},2,FALSE))</f>
        <v>33.15277156</v>
      </c>
      <c r="L13" s="46">
        <v>34060.0</v>
      </c>
      <c r="M13" s="45">
        <f>if(B13=0,"...",L13*(1-VLOOKUP(A13,Config!$B$3:$C$22,2,FALSE)))</f>
        <v>33821.58</v>
      </c>
      <c r="N13" s="45">
        <f t="shared" si="3"/>
        <v>67643.16</v>
      </c>
      <c r="O13" s="12">
        <f>IFERROR(__xludf.DUMMYFUNCTION("if(B13=0,""..."",GOOGLEFINANCE(B13,""changepct"")/100)"),-0.0026)</f>
        <v>-0.0026</v>
      </c>
      <c r="P13" s="10">
        <f>IFERROR(__xludf.DUMMYFUNCTION("if(B13=0,""..."",GOOGLEFINANCE(B13,""change"")*H13)"),-1.56)</f>
        <v>-1.56</v>
      </c>
      <c r="Q13" s="12">
        <f t="shared" si="4"/>
        <v>0.6619941032</v>
      </c>
      <c r="R13" s="47">
        <f t="shared" si="5"/>
        <v>26943.16</v>
      </c>
      <c r="S13" s="12">
        <f t="shared" si="6"/>
        <v>0.2485739169</v>
      </c>
      <c r="T13" s="47">
        <f t="array" ref="T13">IF(B13=0,"...",(N13/IF(E13="ABIERTA",CCL!$E$2,VLOOKUP(F13,{CCL!M:N;CCL!$P:$Q},2,FALSE))-K13))</f>
        <v>10.96703251</v>
      </c>
      <c r="U13" s="2"/>
      <c r="V13" s="63" t="str">
        <f t="shared" si="7"/>
        <v>ERROR API</v>
      </c>
      <c r="W13" s="10" t="str">
        <f>IFERROR(__xludf.DUMMYFUNCTION("""COMPUTED_VALUE"""),"KO")</f>
        <v>KO</v>
      </c>
      <c r="X13" s="59">
        <f t="shared" si="8"/>
        <v>5</v>
      </c>
      <c r="Y13" s="45">
        <f>IFERROR(__xludf.DUMMYFUNCTION("IF(W13=0,""..."",GOOGLEFINANCE(W13)*CCL!$E$2/50)"),2266.99928)</f>
        <v>2266.99928</v>
      </c>
      <c r="Z13" s="45">
        <f>VLOOKUP(W13,Tabla_1[[TICKER]:[PRECIO ARS]],6,0)</f>
        <v>22960.58358</v>
      </c>
      <c r="AA13" s="45">
        <f t="shared" si="9"/>
        <v>-20693.5843</v>
      </c>
      <c r="AB13" s="12">
        <f t="shared" si="10"/>
        <v>0.01594602528</v>
      </c>
      <c r="AC13" s="45">
        <f t="shared" si="20"/>
        <v>20280</v>
      </c>
      <c r="AD13" s="45">
        <f t="shared" si="21"/>
        <v>11255.65143</v>
      </c>
      <c r="AE13" s="12">
        <f t="shared" si="11"/>
        <v>-0.8889975205</v>
      </c>
      <c r="AF13" s="45">
        <f t="shared" si="22"/>
        <v>-90144.34857</v>
      </c>
      <c r="AG13" s="45">
        <f t="shared" si="12"/>
        <v>68.00759217</v>
      </c>
      <c r="AH13" s="12">
        <f t="shared" si="13"/>
        <v>-7.926877109</v>
      </c>
      <c r="AI13" s="46">
        <f t="shared" si="23"/>
        <v>-60.38929617</v>
      </c>
      <c r="AJ13" s="2"/>
      <c r="AK13" s="67" t="s">
        <v>142</v>
      </c>
      <c r="AL13" s="68"/>
      <c r="AM13" s="69">
        <f t="shared" si="24"/>
        <v>0</v>
      </c>
      <c r="AN13" s="70"/>
      <c r="AO13" s="2"/>
    </row>
    <row r="14" ht="24.0" customHeight="1">
      <c r="A14" s="4" t="s">
        <v>137</v>
      </c>
      <c r="B14" s="4" t="s">
        <v>116</v>
      </c>
      <c r="C14" s="5" t="str">
        <f>IFERROR(__xludf.DUMMYFUNCTION("if(B14=0,""..."", sparkline(query(GOOGLEFINANCE(""BCBA:""&amp;B14,""price"",today()-$AM$47,today()),""select Col2"",0),{""charttype"",$AM$46}))"),"")</f>
        <v/>
      </c>
      <c r="D14" s="17">
        <v>45722.0</v>
      </c>
      <c r="E14" s="6" t="s">
        <v>24</v>
      </c>
      <c r="F14" s="17"/>
      <c r="G14" s="8">
        <f t="shared" si="1"/>
        <v>395</v>
      </c>
      <c r="H14" s="6">
        <v>2.0</v>
      </c>
      <c r="I14" s="44">
        <v>32550.0</v>
      </c>
      <c r="J14" s="45">
        <f t="shared" si="2"/>
        <v>65100</v>
      </c>
      <c r="K14" s="47">
        <f t="array" ref="K14">IF(B14=0,"...",J14/VLOOKUP(D14,{CCL!M:N;CCL!$P:$Q},2,FALSE))</f>
        <v>53.0281432</v>
      </c>
      <c r="L14" s="45">
        <f t="shared" ref="L14:L16" si="25">IF(B14=0,"...",IF(E14="CERRADA","Valor Venta", VLOOKUP(B14,$W$2:$Y$57,3,0)))</f>
        <v>35920</v>
      </c>
      <c r="M14" s="45">
        <f>if(B14=0,"...",L14*(1-VLOOKUP(A14,Config!$B$3:$C$22,2,FALSE)))</f>
        <v>35668.56</v>
      </c>
      <c r="N14" s="45">
        <f t="shared" si="3"/>
        <v>71337.12</v>
      </c>
      <c r="O14" s="12">
        <f>IFERROR(__xludf.DUMMYFUNCTION("if(B14=0,""..."",GOOGLEFINANCE(B14,""changepct"")/100)"),-0.008199999999999999)</f>
        <v>-0.0082</v>
      </c>
      <c r="P14" s="10">
        <f>IFERROR(__xludf.DUMMYFUNCTION("if(B14=0,""..."",GOOGLEFINANCE(B14,""change"")*H14)"),-9.54)</f>
        <v>-9.54</v>
      </c>
      <c r="Q14" s="12">
        <f t="shared" si="4"/>
        <v>0.09580829493</v>
      </c>
      <c r="R14" s="47">
        <f t="shared" si="5"/>
        <v>6237.12</v>
      </c>
      <c r="S14" s="12">
        <f t="shared" si="6"/>
        <v>-0.0982561417</v>
      </c>
      <c r="T14" s="47">
        <f t="array" ref="T14">IF(B14=0,"...",(N14/IF(E14="ABIERTA",CCL!$E$2,VLOOKUP(F14,{CCL!M:N;CCL!$P:$Q},2,FALSE))-K14))</f>
        <v>-4.744194505</v>
      </c>
      <c r="U14" s="2"/>
      <c r="V14" s="63" t="str">
        <f t="shared" si="7"/>
        <v>ERROR API</v>
      </c>
      <c r="W14" s="11" t="str">
        <f>IFERROR(__xludf.DUMMYFUNCTION("""COMPUTED_VALUE"""),"NIO")</f>
        <v>NIO</v>
      </c>
      <c r="X14" s="59">
        <f t="shared" si="8"/>
        <v>48</v>
      </c>
      <c r="Y14" s="45">
        <f>IFERROR(__xludf.DUMMYFUNCTION("IF(W14=0,""..."",GOOGLEFINANCE(""BCBA:""&amp;W14))"),0.0)</f>
        <v>0</v>
      </c>
      <c r="Z14" s="45">
        <f>VLOOKUP(W14,Tabla_1[[TICKER]:[PRECIO ARS]],6,0)</f>
        <v>2356.811727</v>
      </c>
      <c r="AA14" s="45">
        <f t="shared" si="9"/>
        <v>-2356.811727</v>
      </c>
      <c r="AB14" s="12">
        <f t="shared" si="10"/>
        <v>0.01485966888</v>
      </c>
      <c r="AC14" s="45">
        <f t="shared" si="20"/>
        <v>2041</v>
      </c>
      <c r="AD14" s="45">
        <f t="shared" si="21"/>
        <v>0</v>
      </c>
      <c r="AE14" s="12">
        <f t="shared" si="11"/>
        <v>-1</v>
      </c>
      <c r="AF14" s="45">
        <f t="shared" si="22"/>
        <v>-97968</v>
      </c>
      <c r="AG14" s="45">
        <f t="shared" si="12"/>
        <v>63.37443235</v>
      </c>
      <c r="AH14" s="12" t="str">
        <f t="shared" si="13"/>
        <v>#DIV/0!</v>
      </c>
      <c r="AI14" s="46">
        <f t="shared" si="23"/>
        <v>-63.37443235</v>
      </c>
      <c r="AJ14" s="2"/>
      <c r="AK14" s="67"/>
      <c r="AL14" s="68"/>
      <c r="AM14" s="69">
        <f t="shared" si="24"/>
        <v>0</v>
      </c>
      <c r="AN14" s="70"/>
      <c r="AO14" s="2"/>
    </row>
    <row r="15" ht="24.0" customHeight="1">
      <c r="A15" s="4" t="s">
        <v>137</v>
      </c>
      <c r="B15" s="4" t="s">
        <v>112</v>
      </c>
      <c r="C15" s="5" t="str">
        <f>IFERROR(__xludf.DUMMYFUNCTION("if(B15=0,""..."", sparkline(query(GOOGLEFINANCE(""BCBA:""&amp;B15,""price"",today()-$AM$47,today()),""select Col2"",0),{""charttype"",$AM$46}))"),"")</f>
        <v/>
      </c>
      <c r="D15" s="17">
        <v>45722.0</v>
      </c>
      <c r="E15" s="6" t="s">
        <v>24</v>
      </c>
      <c r="F15" s="17"/>
      <c r="G15" s="8">
        <f t="shared" si="1"/>
        <v>395</v>
      </c>
      <c r="H15" s="6">
        <v>4.0</v>
      </c>
      <c r="I15" s="44">
        <v>35500.0</v>
      </c>
      <c r="J15" s="45">
        <f t="shared" si="2"/>
        <v>142000</v>
      </c>
      <c r="K15" s="47">
        <f t="array" ref="K15">IF(B15=0,"...",J15/VLOOKUP(D15,{CCL!M:N;CCL!$P:$Q},2,FALSE))</f>
        <v>115.6681465</v>
      </c>
      <c r="L15" s="45">
        <f t="shared" si="25"/>
        <v>48760</v>
      </c>
      <c r="M15" s="45">
        <f>if(B15=0,"...",L15*(1-VLOOKUP(A15,Config!$B$3:$C$22,2,FALSE)))</f>
        <v>48418.68</v>
      </c>
      <c r="N15" s="45">
        <f t="shared" si="3"/>
        <v>193674.72</v>
      </c>
      <c r="O15" s="12">
        <f>IFERROR(__xludf.DUMMYFUNCTION("if(B15=0,""..."",GOOGLEFINANCE(B15,""changepct"")/100)"),9.0E-4)</f>
        <v>0.0009</v>
      </c>
      <c r="P15" s="10">
        <f>IFERROR(__xludf.DUMMYFUNCTION("if(B15=0,""..."",GOOGLEFINANCE(B15,""change"")*H15)"),2.36)</f>
        <v>2.36</v>
      </c>
      <c r="Q15" s="12">
        <f t="shared" si="4"/>
        <v>0.3639064789</v>
      </c>
      <c r="R15" s="47">
        <f t="shared" si="5"/>
        <v>51674.72</v>
      </c>
      <c r="S15" s="12">
        <f t="shared" si="6"/>
        <v>0.1176241123</v>
      </c>
      <c r="T15" s="47">
        <f t="array" ref="T15">IF(B15=0,"...",(N15/IF(E15="ABIERTA",CCL!$E$2,VLOOKUP(F15,{CCL!M:N;CCL!$P:$Q},2,FALSE))-K15))</f>
        <v>15.41901047</v>
      </c>
      <c r="U15" s="2"/>
      <c r="V15" s="63" t="str">
        <f t="shared" si="7"/>
        <v>ERROR API</v>
      </c>
      <c r="W15" s="11" t="str">
        <f>IFERROR(__xludf.DUMMYFUNCTION("""COMPUTED_VALUE"""),"QQQ")</f>
        <v>QQQ</v>
      </c>
      <c r="X15" s="59">
        <f t="shared" si="8"/>
        <v>6</v>
      </c>
      <c r="Y15" s="45">
        <f>IFERROR(__xludf.DUMMYFUNCTION("IF(W15=0,""..."",GOOGLEFINANCE(W15)*CCL!E2/5)"),172855.7402)</f>
        <v>172855.7402</v>
      </c>
      <c r="Z15" s="45">
        <f>VLOOKUP(W15,Tabla_1[[TICKER]:[PRECIO ARS]],6,0)</f>
        <v>43767.86426</v>
      </c>
      <c r="AA15" s="45">
        <f t="shared" si="9"/>
        <v>129087.8759</v>
      </c>
      <c r="AB15" s="12">
        <f t="shared" si="10"/>
        <v>0.04406341401</v>
      </c>
      <c r="AC15" s="45">
        <f t="shared" si="20"/>
        <v>48020</v>
      </c>
      <c r="AD15" s="45">
        <f t="shared" si="21"/>
        <v>1029874.5</v>
      </c>
      <c r="AE15" s="12">
        <f t="shared" si="11"/>
        <v>2.574463765</v>
      </c>
      <c r="AF15" s="45">
        <f t="shared" si="22"/>
        <v>741754.5001</v>
      </c>
      <c r="AG15" s="45">
        <f t="shared" si="12"/>
        <v>187.9243659</v>
      </c>
      <c r="AH15" s="12">
        <f t="shared" si="13"/>
        <v>0.7304051568</v>
      </c>
      <c r="AI15" s="46">
        <f t="shared" si="23"/>
        <v>509.1378021</v>
      </c>
      <c r="AJ15" s="2"/>
      <c r="AK15" s="68"/>
      <c r="AL15" s="68"/>
      <c r="AM15" s="69">
        <f t="shared" si="24"/>
        <v>0</v>
      </c>
      <c r="AN15" s="70"/>
      <c r="AO15" s="2"/>
    </row>
    <row r="16" ht="24.0" customHeight="1">
      <c r="A16" s="4" t="s">
        <v>137</v>
      </c>
      <c r="B16" s="4" t="s">
        <v>112</v>
      </c>
      <c r="C16" s="5" t="str">
        <f>IFERROR(__xludf.DUMMYFUNCTION("if(B16=0,""..."", sparkline(query(GOOGLEFINANCE(""BCBA:""&amp;B16,""price"",today()-$AM$47,today()),""select Col2"",0),{""charttype"",$AM$46}))"),"")</f>
        <v/>
      </c>
      <c r="D16" s="17">
        <v>45748.0</v>
      </c>
      <c r="E16" s="6" t="s">
        <v>24</v>
      </c>
      <c r="F16" s="17"/>
      <c r="G16" s="8">
        <f t="shared" si="1"/>
        <v>369</v>
      </c>
      <c r="H16" s="6">
        <v>3.0</v>
      </c>
      <c r="I16" s="44">
        <v>37025.0</v>
      </c>
      <c r="J16" s="45">
        <f t="shared" si="2"/>
        <v>111075</v>
      </c>
      <c r="K16" s="47">
        <f t="array" ref="K16">IF(B16=0,"...",J16/VLOOKUP(D16,{CCL!M:N;CCL!$P:$Q},2,FALSE))</f>
        <v>84.92491896</v>
      </c>
      <c r="L16" s="45">
        <f t="shared" si="25"/>
        <v>48760</v>
      </c>
      <c r="M16" s="45">
        <f>if(B16=0,"...",L16*(1-VLOOKUP(A16,Config!$B$3:$C$22,2,FALSE)))</f>
        <v>48418.68</v>
      </c>
      <c r="N16" s="45">
        <f t="shared" si="3"/>
        <v>145256.04</v>
      </c>
      <c r="O16" s="12">
        <f>IFERROR(__xludf.DUMMYFUNCTION("if(B16=0,""..."",GOOGLEFINANCE(B16,""changepct"")/100)"),9.0E-4)</f>
        <v>0.0009</v>
      </c>
      <c r="P16" s="10">
        <f>IFERROR(__xludf.DUMMYFUNCTION("if(B16=0,""..."",GOOGLEFINANCE(B16,""change"")*H16)"),1.77)</f>
        <v>1.77</v>
      </c>
      <c r="Q16" s="12">
        <f t="shared" si="4"/>
        <v>0.307729372</v>
      </c>
      <c r="R16" s="47">
        <f t="shared" si="5"/>
        <v>34181.04</v>
      </c>
      <c r="S16" s="12">
        <f t="shared" si="6"/>
        <v>0.1361989387</v>
      </c>
      <c r="T16" s="47">
        <f t="array" ref="T16">IF(B16=0,"...",(N16/IF(E16="ABIERTA",CCL!$E$2,VLOOKUP(F16,{CCL!M:N;CCL!$P:$Q},2,FALSE))-K16))</f>
        <v>13.39044874</v>
      </c>
      <c r="U16" s="2"/>
      <c r="V16" s="63" t="str">
        <f t="shared" si="7"/>
        <v>TICKER VACÍO</v>
      </c>
      <c r="W16" s="10"/>
      <c r="X16" s="59" t="str">
        <f t="shared" si="8"/>
        <v>...</v>
      </c>
      <c r="Y16" s="45" t="str">
        <f>IFERROR(__xludf.DUMMYFUNCTION("IF(W16=0,""..."",GOOGLEFINANCE(""BCBA:""&amp;W16))"),"...")</f>
        <v>...</v>
      </c>
      <c r="Z16" s="45" t="str">
        <f>VLOOKUP(W16,Tabla_1[[TICKER]:[PRECIO ARS]],6,0)</f>
        <v>#N/A</v>
      </c>
      <c r="AA16" s="45" t="str">
        <f t="shared" si="9"/>
        <v>#N/A</v>
      </c>
      <c r="AB16" s="12" t="str">
        <f t="shared" si="10"/>
        <v/>
      </c>
      <c r="AC16" s="45" t="str">
        <f t="shared" si="20"/>
        <v>...</v>
      </c>
      <c r="AD16" s="45" t="str">
        <f t="shared" si="21"/>
        <v>...</v>
      </c>
      <c r="AE16" s="12" t="str">
        <f t="shared" si="11"/>
        <v>...</v>
      </c>
      <c r="AF16" s="45" t="str">
        <f t="shared" si="22"/>
        <v>...</v>
      </c>
      <c r="AG16" s="45" t="str">
        <f t="shared" si="12"/>
        <v>...</v>
      </c>
      <c r="AH16" s="12" t="str">
        <f t="shared" si="13"/>
        <v>...</v>
      </c>
      <c r="AI16" s="46" t="str">
        <f t="shared" si="23"/>
        <v>...</v>
      </c>
      <c r="AJ16" s="2"/>
      <c r="AK16" s="68"/>
      <c r="AL16" s="68"/>
      <c r="AM16" s="69">
        <f t="shared" si="24"/>
        <v>0</v>
      </c>
      <c r="AN16" s="70"/>
      <c r="AO16" s="2"/>
    </row>
    <row r="17" ht="24.0" customHeight="1">
      <c r="A17" s="4" t="s">
        <v>137</v>
      </c>
      <c r="B17" s="4" t="s">
        <v>138</v>
      </c>
      <c r="C17" s="5" t="str">
        <f>IFERROR(__xludf.DUMMYFUNCTION("if(B17=0,""..."", sparkline(query(GOOGLEFINANCE(""BCBA:""&amp;B17,""price"",today()-$AM$47,today()),""select Col2"",0),{""charttype"",$AM$46}))"),"")</f>
        <v/>
      </c>
      <c r="D17" s="17">
        <v>45750.0</v>
      </c>
      <c r="E17" s="6" t="s">
        <v>22</v>
      </c>
      <c r="F17" s="17">
        <v>45950.0</v>
      </c>
      <c r="G17" s="8">
        <f t="shared" si="1"/>
        <v>200</v>
      </c>
      <c r="H17" s="6">
        <v>4.0</v>
      </c>
      <c r="I17" s="44">
        <v>18875.0</v>
      </c>
      <c r="J17" s="45">
        <f t="shared" si="2"/>
        <v>75500</v>
      </c>
      <c r="K17" s="47">
        <f t="array" ref="K17">IF(B17=0,"...",J17/VLOOKUP(D17,{CCL!M:N;CCL!$P:$Q},2,FALSE))</f>
        <v>57.18094171</v>
      </c>
      <c r="L17" s="46">
        <v>29200.0</v>
      </c>
      <c r="M17" s="45">
        <f>if(B17=0,"...",L17*(1-VLOOKUP(A17,Config!$B$3:$C$22,2,FALSE)))</f>
        <v>28995.6</v>
      </c>
      <c r="N17" s="45">
        <f t="shared" si="3"/>
        <v>115982.4</v>
      </c>
      <c r="O17" s="12">
        <f>IFERROR(__xludf.DUMMYFUNCTION("if(B17=0,""..."",GOOGLEFINANCE(B17,""changepct"")/100)"),-0.013600000000000001)</f>
        <v>-0.0136</v>
      </c>
      <c r="P17" s="10">
        <f>IFERROR(__xludf.DUMMYFUNCTION("if(B17=0,""..."",GOOGLEFINANCE(B17,""change"")*H17)"),-6.72)</f>
        <v>-6.72</v>
      </c>
      <c r="Q17" s="12">
        <f t="shared" si="4"/>
        <v>0.5361907285</v>
      </c>
      <c r="R17" s="47">
        <f t="shared" si="5"/>
        <v>40482.4</v>
      </c>
      <c r="S17" s="12">
        <f t="shared" si="6"/>
        <v>0.2259730212</v>
      </c>
      <c r="T17" s="47">
        <f t="array" ref="T17">IF(B17=0,"...",(N17/IF(E17="ABIERTA",CCL!$E$2,VLOOKUP(F17,{CCL!M:N;CCL!$P:$Q},2,FALSE))-K17))</f>
        <v>16.69366896</v>
      </c>
      <c r="U17" s="2"/>
      <c r="V17" s="63" t="str">
        <f t="shared" si="7"/>
        <v>TICKER VACÍO</v>
      </c>
      <c r="W17" s="10"/>
      <c r="X17" s="59" t="str">
        <f t="shared" si="8"/>
        <v>...</v>
      </c>
      <c r="Y17" s="45" t="str">
        <f>IFERROR(__xludf.DUMMYFUNCTION("IF(W17=0,""..."",GOOGLEFINANCE(""BCBA:""&amp;W17))"),"...")</f>
        <v>...</v>
      </c>
      <c r="Z17" s="45"/>
      <c r="AA17" s="45"/>
      <c r="AB17" s="12" t="str">
        <f t="shared" ref="AB17:AB233" si="26">if(W17=0,"",AD17/$AL$31)</f>
        <v/>
      </c>
      <c r="AC17" s="45" t="str">
        <f t="shared" si="20"/>
        <v>...</v>
      </c>
      <c r="AD17" s="45" t="str">
        <f t="shared" si="21"/>
        <v>...</v>
      </c>
      <c r="AE17" s="12" t="str">
        <f t="shared" si="11"/>
        <v>...</v>
      </c>
      <c r="AF17" s="45" t="str">
        <f t="shared" si="22"/>
        <v>...</v>
      </c>
      <c r="AG17" s="45" t="str">
        <f t="shared" ref="AG17:AG233" si="27">IF(X17=0,"...",IF(W17=0,"...",SUMIFS($K$2:$K$36,$B$2:$B$36,W17,$E$2:$E$36,"ABIERTA")))</f>
        <v>...</v>
      </c>
      <c r="AH17" s="12" t="str">
        <f t="shared" si="13"/>
        <v>...</v>
      </c>
      <c r="AI17" s="46" t="str">
        <f t="shared" si="23"/>
        <v>...</v>
      </c>
      <c r="AJ17" s="2"/>
      <c r="AK17" s="67"/>
      <c r="AL17" s="68"/>
      <c r="AM17" s="69">
        <f t="shared" si="24"/>
        <v>0</v>
      </c>
      <c r="AN17" s="2"/>
      <c r="AO17" s="2"/>
    </row>
    <row r="18" ht="24.0" customHeight="1">
      <c r="A18" s="4" t="s">
        <v>137</v>
      </c>
      <c r="B18" s="4" t="s">
        <v>111</v>
      </c>
      <c r="C18" s="5" t="str">
        <f>IFERROR(__xludf.DUMMYFUNCTION("if(B18=0,""..."", sparkline(query(GOOGLEFINANCE(""BCBA:""&amp;B18,""price"",today()-$AM$47,today()),""select Col2"",0),{""charttype"",$AM$46}))"),"")</f>
        <v/>
      </c>
      <c r="D18" s="17">
        <v>45750.0</v>
      </c>
      <c r="E18" s="6" t="s">
        <v>24</v>
      </c>
      <c r="F18" s="17"/>
      <c r="G18" s="8">
        <f t="shared" si="1"/>
        <v>367</v>
      </c>
      <c r="H18" s="6">
        <v>4.0</v>
      </c>
      <c r="I18" s="44">
        <v>17500.0</v>
      </c>
      <c r="J18" s="45">
        <f t="shared" si="2"/>
        <v>70000</v>
      </c>
      <c r="K18" s="47">
        <f t="array" ref="K18">IF(B18=0,"...",J18/VLOOKUP(D18,{CCL!M:N;CCL!$P:$Q},2,FALSE))</f>
        <v>53.01544264</v>
      </c>
      <c r="L18" s="45">
        <f t="shared" ref="L18:L20" si="28">IF(B18=0,"...",IF(E18="CERRADA","Valor Venta", VLOOKUP(B18,$W$2:$Y$57,3,0)))</f>
        <v>28620</v>
      </c>
      <c r="M18" s="45">
        <f>if(B18=0,"...",L18*(1-VLOOKUP(A18,Config!$B$3:$C$22,2,FALSE)))</f>
        <v>28419.66</v>
      </c>
      <c r="N18" s="45">
        <f t="shared" si="3"/>
        <v>113678.64</v>
      </c>
      <c r="O18" s="12">
        <f>IFERROR(__xludf.DUMMYFUNCTION("if(B18=0,""..."",GOOGLEFINANCE(B18,""changepct"")/100)"),-5.0E-4)</f>
        <v>-0.0005</v>
      </c>
      <c r="P18" s="10">
        <f>IFERROR(__xludf.DUMMYFUNCTION("if(B18=0,""..."",GOOGLEFINANCE(B18,""change"")*H18)"),-0.08)</f>
        <v>-0.08</v>
      </c>
      <c r="Q18" s="12">
        <f t="shared" si="4"/>
        <v>0.6239805714</v>
      </c>
      <c r="R18" s="47">
        <f t="shared" si="5"/>
        <v>43678.64</v>
      </c>
      <c r="S18" s="12">
        <f t="shared" si="6"/>
        <v>0.3109728817</v>
      </c>
      <c r="T18" s="47">
        <f t="array" ref="T18">IF(B18=0,"...",(N18/IF(E18="ABIERTA",CCL!$E$2,VLOOKUP(F18,{CCL!M:N;CCL!$P:$Q},2,FALSE))-K18))</f>
        <v>23.92701903</v>
      </c>
      <c r="U18" s="2"/>
      <c r="V18" s="63"/>
      <c r="W18" s="10"/>
      <c r="X18" s="59" t="str">
        <f t="shared" ref="X18:X233" si="29">if(W18=0,"...",sumifs($H$2:$H$36,$B$2:$B$36,W18,$E$2:$E$36,"ABIERTA"))</f>
        <v>...</v>
      </c>
      <c r="Y18" s="45" t="str">
        <f>IFERROR(__xludf.DUMMYFUNCTION("IF(W18=0,""..."",GOOGLEFINANCE(""BCBA:""&amp;W18))"),"...")</f>
        <v>...</v>
      </c>
      <c r="Z18" s="12"/>
      <c r="AA18" s="45"/>
      <c r="AB18" s="12" t="str">
        <f t="shared" si="26"/>
        <v/>
      </c>
      <c r="AC18" s="45" t="str">
        <f t="shared" si="20"/>
        <v>...</v>
      </c>
      <c r="AD18" s="45" t="str">
        <f t="shared" si="21"/>
        <v>...</v>
      </c>
      <c r="AE18" s="12" t="str">
        <f t="shared" si="11"/>
        <v>...</v>
      </c>
      <c r="AF18" s="45" t="str">
        <f t="shared" si="22"/>
        <v>...</v>
      </c>
      <c r="AG18" s="45" t="str">
        <f t="shared" si="27"/>
        <v>...</v>
      </c>
      <c r="AH18" s="12" t="str">
        <f t="shared" si="13"/>
        <v>...</v>
      </c>
      <c r="AI18" s="46" t="str">
        <f t="shared" si="23"/>
        <v>...</v>
      </c>
      <c r="AJ18" s="2"/>
      <c r="AK18" s="67"/>
      <c r="AL18" s="68"/>
      <c r="AM18" s="69">
        <f t="shared" si="24"/>
        <v>0</v>
      </c>
      <c r="AN18" s="2"/>
      <c r="AO18" s="2"/>
    </row>
    <row r="19" ht="24.0" customHeight="1">
      <c r="A19" s="4" t="s">
        <v>137</v>
      </c>
      <c r="B19" s="4" t="s">
        <v>112</v>
      </c>
      <c r="C19" s="5" t="str">
        <f>IFERROR(__xludf.DUMMYFUNCTION("if(B19=0,""..."", sparkline(query(GOOGLEFINANCE(""BCBA:""&amp;B19,""price"",today()-$AM$47,today()),""select Col2"",0),{""charttype"",$AM$46}))"),"")</f>
        <v/>
      </c>
      <c r="D19" s="17">
        <v>45776.0</v>
      </c>
      <c r="E19" s="6" t="s">
        <v>24</v>
      </c>
      <c r="F19" s="7"/>
      <c r="G19" s="8">
        <f t="shared" si="1"/>
        <v>341</v>
      </c>
      <c r="H19" s="6">
        <v>3.0</v>
      </c>
      <c r="I19" s="44">
        <v>33025.0</v>
      </c>
      <c r="J19" s="45">
        <f t="shared" si="2"/>
        <v>99075</v>
      </c>
      <c r="K19" s="47">
        <f t="array" ref="K19">IF(B19=0,"...",J19/VLOOKUP(D19,{CCL!M:N;CCL!$P:$Q},2,FALSE))</f>
        <v>83.3494578</v>
      </c>
      <c r="L19" s="45">
        <f t="shared" si="28"/>
        <v>48760</v>
      </c>
      <c r="M19" s="45">
        <f>if(B19=0,"...",L19*(1-VLOOKUP(A19,Config!$B$3:$C$22,2,FALSE)))</f>
        <v>48418.68</v>
      </c>
      <c r="N19" s="45">
        <f t="shared" si="3"/>
        <v>145256.04</v>
      </c>
      <c r="O19" s="12">
        <f>IFERROR(__xludf.DUMMYFUNCTION("if(B19=0,""..."",GOOGLEFINANCE(B19,""changepct"")/100)"),9.0E-4)</f>
        <v>0.0009</v>
      </c>
      <c r="P19" s="10">
        <f>IFERROR(__xludf.DUMMYFUNCTION("if(B19=0,""..."",GOOGLEFINANCE(B19,""change"")*H19)"),1.77)</f>
        <v>1.77</v>
      </c>
      <c r="Q19" s="12">
        <f t="shared" si="4"/>
        <v>0.4661220288</v>
      </c>
      <c r="R19" s="47">
        <f t="shared" si="5"/>
        <v>46181.04</v>
      </c>
      <c r="S19" s="12">
        <f t="shared" si="6"/>
        <v>0.1522235053</v>
      </c>
      <c r="T19" s="47">
        <f t="array" ref="T19">IF(B19=0,"...",(N19/IF(E19="ABIERTA",CCL!$E$2,VLOOKUP(F19,{CCL!M:N;CCL!$P:$Q},2,FALSE))-K19))</f>
        <v>14.9659099</v>
      </c>
      <c r="U19" s="2"/>
      <c r="V19" s="63"/>
      <c r="W19" s="10"/>
      <c r="X19" s="59" t="str">
        <f t="shared" si="29"/>
        <v>...</v>
      </c>
      <c r="Y19" s="45" t="str">
        <f>IFERROR(__xludf.DUMMYFUNCTION("IF(W19=0,""..."",GOOGLEFINANCE(""BCBA:""&amp;W19))"),"...")</f>
        <v>...</v>
      </c>
      <c r="Z19" s="12"/>
      <c r="AA19" s="45"/>
      <c r="AB19" s="12" t="str">
        <f t="shared" si="26"/>
        <v/>
      </c>
      <c r="AC19" s="45" t="str">
        <f t="shared" si="20"/>
        <v>...</v>
      </c>
      <c r="AD19" s="45" t="str">
        <f t="shared" si="21"/>
        <v>...</v>
      </c>
      <c r="AE19" s="12" t="str">
        <f t="shared" si="11"/>
        <v>...</v>
      </c>
      <c r="AF19" s="45" t="str">
        <f t="shared" si="22"/>
        <v>...</v>
      </c>
      <c r="AG19" s="45" t="str">
        <f t="shared" si="27"/>
        <v>...</v>
      </c>
      <c r="AH19" s="12" t="str">
        <f t="shared" si="13"/>
        <v>...</v>
      </c>
      <c r="AI19" s="46" t="str">
        <f t="shared" si="23"/>
        <v>...</v>
      </c>
      <c r="AJ19" s="2"/>
      <c r="AK19" s="67"/>
      <c r="AL19" s="68"/>
      <c r="AM19" s="69">
        <f t="shared" si="24"/>
        <v>0</v>
      </c>
      <c r="AN19" s="2"/>
      <c r="AO19" s="2"/>
    </row>
    <row r="20" ht="24.0" customHeight="1">
      <c r="A20" s="4" t="s">
        <v>137</v>
      </c>
      <c r="B20" s="4" t="s">
        <v>119</v>
      </c>
      <c r="C20" s="5" t="str">
        <f>IFERROR(__xludf.DUMMYFUNCTION("if(B20=0,""..."", sparkline(query(GOOGLEFINANCE(""BCBA:""&amp;B20,""price"",today()-$AM$47,today()),""select Col2"",0),{""charttype"",$AM$46}))"),"")</f>
        <v/>
      </c>
      <c r="D20" s="17">
        <v>45776.0</v>
      </c>
      <c r="E20" s="6" t="s">
        <v>24</v>
      </c>
      <c r="F20" s="17"/>
      <c r="G20" s="8">
        <f t="shared" si="1"/>
        <v>341</v>
      </c>
      <c r="H20" s="6">
        <v>7.0</v>
      </c>
      <c r="I20" s="44">
        <v>12550.0</v>
      </c>
      <c r="J20" s="45">
        <f t="shared" si="2"/>
        <v>87850</v>
      </c>
      <c r="K20" s="47">
        <f t="array" ref="K20">IF(B20=0,"...",J20/VLOOKUP(D20,{CCL!M:N;CCL!$P:$Q},2,FALSE))</f>
        <v>73.90613038</v>
      </c>
      <c r="L20" s="45">
        <f t="shared" si="28"/>
        <v>18990</v>
      </c>
      <c r="M20" s="45">
        <f>if(B20=0,"...",L20*(1-VLOOKUP(A20,Config!$B$3:$C$22,2,FALSE)))</f>
        <v>18857.07</v>
      </c>
      <c r="N20" s="45">
        <f t="shared" si="3"/>
        <v>131999.49</v>
      </c>
      <c r="O20" s="12">
        <f>IFERROR(__xludf.DUMMYFUNCTION("if(B20=0,""..."",GOOGLEFINANCE(B20,""changepct"")/100)"),0.0011)</f>
        <v>0.0011</v>
      </c>
      <c r="P20" s="10">
        <f>IFERROR(__xludf.DUMMYFUNCTION("if(B20=0,""..."",GOOGLEFINANCE(B20,""change"")*H20)"),2.03)</f>
        <v>2.03</v>
      </c>
      <c r="Q20" s="12">
        <f t="shared" si="4"/>
        <v>0.5025553785</v>
      </c>
      <c r="R20" s="47">
        <f t="shared" si="5"/>
        <v>44149.49</v>
      </c>
      <c r="S20" s="12">
        <f t="shared" si="6"/>
        <v>0.1727800438</v>
      </c>
      <c r="T20" s="47">
        <f t="array" ref="T20">IF(B20=0,"...",(N20/IF(E20="ABIERTA",CCL!$E$2,VLOOKUP(F20,{CCL!M:N;CCL!$P:$Q},2,FALSE))-K20))</f>
        <v>15.43664941</v>
      </c>
      <c r="U20" s="2"/>
      <c r="V20" s="63"/>
      <c r="W20" s="10"/>
      <c r="X20" s="59" t="str">
        <f t="shared" si="29"/>
        <v>...</v>
      </c>
      <c r="Y20" s="45" t="str">
        <f>IFERROR(__xludf.DUMMYFUNCTION("IF(W20=0,""..."",GOOGLEFINANCE(""BCBA:""&amp;W20))"),"...")</f>
        <v>...</v>
      </c>
      <c r="Z20" s="12"/>
      <c r="AA20" s="45"/>
      <c r="AB20" s="12" t="str">
        <f t="shared" si="26"/>
        <v/>
      </c>
      <c r="AC20" s="45" t="str">
        <f t="shared" si="20"/>
        <v>...</v>
      </c>
      <c r="AD20" s="45" t="str">
        <f t="shared" si="21"/>
        <v>...</v>
      </c>
      <c r="AE20" s="12" t="str">
        <f t="shared" si="11"/>
        <v>...</v>
      </c>
      <c r="AF20" s="45" t="str">
        <f t="shared" si="22"/>
        <v>...</v>
      </c>
      <c r="AG20" s="45" t="str">
        <f t="shared" si="27"/>
        <v>...</v>
      </c>
      <c r="AH20" s="12" t="str">
        <f t="shared" si="13"/>
        <v>...</v>
      </c>
      <c r="AI20" s="46" t="str">
        <f t="shared" si="23"/>
        <v>...</v>
      </c>
      <c r="AJ20" s="2"/>
      <c r="AK20" s="67"/>
      <c r="AL20" s="68"/>
      <c r="AM20" s="69">
        <f t="shared" si="24"/>
        <v>0</v>
      </c>
      <c r="AN20" s="2"/>
      <c r="AO20" s="2"/>
    </row>
    <row r="21" ht="24.0" customHeight="1">
      <c r="A21" s="4" t="s">
        <v>137</v>
      </c>
      <c r="B21" s="4" t="s">
        <v>113</v>
      </c>
      <c r="C21" s="5" t="str">
        <f>IFERROR(__xludf.DUMMYFUNCTION("if(B21=0,""..."", sparkline(query(GOOGLEFINANCE(""BCBA:""&amp;B21,""price"",today()-$AM$47,today()),""select Col2"",0),{""charttype"",$AM$46}))"),"")</f>
        <v/>
      </c>
      <c r="D21" s="17">
        <v>45776.0</v>
      </c>
      <c r="E21" s="6" t="s">
        <v>22</v>
      </c>
      <c r="F21" s="17">
        <v>45936.0</v>
      </c>
      <c r="G21" s="8">
        <f t="shared" si="1"/>
        <v>160</v>
      </c>
      <c r="H21" s="6">
        <v>8.0</v>
      </c>
      <c r="I21" s="44">
        <v>11500.0</v>
      </c>
      <c r="J21" s="45">
        <f t="shared" si="2"/>
        <v>92000</v>
      </c>
      <c r="K21" s="47">
        <f t="array" ref="K21">IF(B21=0,"...",J21/VLOOKUP(D21,{CCL!M:N;CCL!$P:$Q},2,FALSE))</f>
        <v>77.39742738</v>
      </c>
      <c r="L21" s="46">
        <v>32340.0</v>
      </c>
      <c r="M21" s="45">
        <f>if(B21=0,"...",L21*(1-VLOOKUP(A21,Config!$B$3:$C$22,2,FALSE)))</f>
        <v>32113.62</v>
      </c>
      <c r="N21" s="45">
        <f t="shared" si="3"/>
        <v>256908.96</v>
      </c>
      <c r="O21" s="12">
        <f>IFERROR(__xludf.DUMMYFUNCTION("if(B21=0,""..."",GOOGLEFINANCE(B21,""changepct"")/100)"),0.0347)</f>
        <v>0.0347</v>
      </c>
      <c r="P21" s="10">
        <f>IFERROR(__xludf.DUMMYFUNCTION("if(B21=0,""..."",GOOGLEFINANCE(B21,""change"")*H21)"),58.32)</f>
        <v>58.32</v>
      </c>
      <c r="Q21" s="12">
        <f t="shared" si="4"/>
        <v>1.792488696</v>
      </c>
      <c r="R21" s="47">
        <f t="shared" si="5"/>
        <v>164908.96</v>
      </c>
      <c r="S21" s="12">
        <f t="shared" si="6"/>
        <v>0.543090929</v>
      </c>
      <c r="T21" s="47">
        <f t="array" ref="T21">IF(B21=0,"...",(N21/IF(E21="ABIERTA",CCL!$E$2,VLOOKUP(F21,{CCL!M:N;CCL!$P:$Q},2,FALSE))-K21))</f>
        <v>91.99607405</v>
      </c>
      <c r="U21" s="2"/>
      <c r="V21" s="63"/>
      <c r="W21" s="10"/>
      <c r="X21" s="59" t="str">
        <f t="shared" si="29"/>
        <v>...</v>
      </c>
      <c r="Y21" s="45" t="str">
        <f>IFERROR(__xludf.DUMMYFUNCTION("IF(W21=0,""..."",GOOGLEFINANCE(""BCBA:""&amp;W21))"),"...")</f>
        <v>...</v>
      </c>
      <c r="Z21" s="12"/>
      <c r="AA21" s="45"/>
      <c r="AB21" s="12" t="str">
        <f t="shared" si="26"/>
        <v/>
      </c>
      <c r="AC21" s="45" t="str">
        <f t="shared" si="20"/>
        <v>...</v>
      </c>
      <c r="AD21" s="45" t="str">
        <f t="shared" si="21"/>
        <v>...</v>
      </c>
      <c r="AE21" s="12" t="str">
        <f t="shared" si="11"/>
        <v>...</v>
      </c>
      <c r="AF21" s="45" t="str">
        <f t="shared" si="22"/>
        <v>...</v>
      </c>
      <c r="AG21" s="45" t="str">
        <f t="shared" si="27"/>
        <v>...</v>
      </c>
      <c r="AH21" s="12" t="str">
        <f t="shared" si="13"/>
        <v>...</v>
      </c>
      <c r="AI21" s="46" t="str">
        <f t="shared" si="23"/>
        <v>...</v>
      </c>
      <c r="AJ21" s="2"/>
      <c r="AK21" s="2"/>
      <c r="AL21" s="2"/>
      <c r="AM21" s="2"/>
      <c r="AN21" s="2"/>
      <c r="AO21" s="2"/>
    </row>
    <row r="22" ht="24.0" customHeight="1">
      <c r="A22" s="4" t="s">
        <v>137</v>
      </c>
      <c r="B22" s="4" t="s">
        <v>139</v>
      </c>
      <c r="C22" s="5" t="str">
        <f>IFERROR(__xludf.DUMMYFUNCTION("if(B22=0,""..."", sparkline(query(GOOGLEFINANCE(""BCBA:""&amp;B22,""price"",today()-$AM$47,today()),""select Col2"",0),{""charttype"",$AM$46}))"),"")</f>
        <v/>
      </c>
      <c r="D22" s="17">
        <v>45796.0</v>
      </c>
      <c r="E22" s="6" t="s">
        <v>24</v>
      </c>
      <c r="F22" s="17"/>
      <c r="G22" s="8">
        <f t="shared" si="1"/>
        <v>321</v>
      </c>
      <c r="H22" s="6">
        <v>4.0</v>
      </c>
      <c r="I22" s="44">
        <v>26475.0</v>
      </c>
      <c r="J22" s="45">
        <f t="shared" si="2"/>
        <v>105900</v>
      </c>
      <c r="K22" s="47">
        <f t="array" ref="K22">IF(B22=0,"...",J22/VLOOKUP(D22,{CCL!M:N;CCL!$P:$Q},2,FALSE))</f>
        <v>91.08972209</v>
      </c>
      <c r="L22" s="45">
        <f>IF(B22=0,"...",IF(E22="CERRADA","Valor Venta", VLOOKUP(B22,$W$2:$Y$57,3,0)))</f>
        <v>37840</v>
      </c>
      <c r="M22" s="45">
        <f>if(B22=0,"...",L22*(1-VLOOKUP(A22,Config!$B$3:$C$22,2,FALSE)))</f>
        <v>37575.12</v>
      </c>
      <c r="N22" s="45">
        <f t="shared" si="3"/>
        <v>150300.48</v>
      </c>
      <c r="O22" s="12">
        <f>IFERROR(__xludf.DUMMYFUNCTION("if(B22=0,""..."",GOOGLEFINANCE(B22,""changepct"")/100)"),-0.0542)</f>
        <v>-0.0542</v>
      </c>
      <c r="P22" s="10">
        <f>IFERROR(__xludf.DUMMYFUNCTION("if(B22=0,""..."",GOOGLEFINANCE(B22,""change"")*H22)"),-82.68)</f>
        <v>-82.68</v>
      </c>
      <c r="Q22" s="12">
        <f t="shared" si="4"/>
        <v>0.4192679887</v>
      </c>
      <c r="R22" s="47">
        <f t="shared" si="5"/>
        <v>44400.48</v>
      </c>
      <c r="S22" s="12">
        <f t="shared" si="6"/>
        <v>0.1045902854</v>
      </c>
      <c r="T22" s="47">
        <f t="array" ref="T22">IF(B22=0,"...",(N22/IF(E22="ABIERTA",CCL!$E$2,VLOOKUP(F22,{CCL!M:N;CCL!$P:$Q},2,FALSE))-K22))</f>
        <v>10.63993374</v>
      </c>
      <c r="U22" s="2"/>
      <c r="V22" s="10"/>
      <c r="W22" s="10"/>
      <c r="X22" s="59" t="str">
        <f t="shared" si="29"/>
        <v>...</v>
      </c>
      <c r="Y22" s="45" t="str">
        <f>IFERROR(__xludf.DUMMYFUNCTION("IF(W22=0,""..."",GOOGLEFINANCE(""BCBA:""&amp;W22))"),"...")</f>
        <v>...</v>
      </c>
      <c r="Z22" s="12"/>
      <c r="AA22" s="45"/>
      <c r="AB22" s="12" t="str">
        <f t="shared" si="26"/>
        <v/>
      </c>
      <c r="AC22" s="45" t="str">
        <f t="shared" si="20"/>
        <v>...</v>
      </c>
      <c r="AD22" s="45" t="str">
        <f t="shared" si="21"/>
        <v>...</v>
      </c>
      <c r="AE22" s="12" t="str">
        <f t="shared" si="11"/>
        <v>...</v>
      </c>
      <c r="AF22" s="45" t="str">
        <f t="shared" si="22"/>
        <v>...</v>
      </c>
      <c r="AG22" s="45" t="str">
        <f t="shared" si="27"/>
        <v>...</v>
      </c>
      <c r="AH22" s="12" t="str">
        <f t="shared" si="13"/>
        <v>...</v>
      </c>
      <c r="AI22" s="46" t="str">
        <f t="shared" si="23"/>
        <v>...</v>
      </c>
      <c r="AJ22" s="2"/>
      <c r="AK22" s="2"/>
      <c r="AL22" s="2"/>
      <c r="AM22" s="2"/>
      <c r="AN22" s="2"/>
      <c r="AO22" s="2"/>
    </row>
    <row r="23" ht="24.0" customHeight="1">
      <c r="A23" s="4" t="s">
        <v>137</v>
      </c>
      <c r="B23" s="4" t="s">
        <v>118</v>
      </c>
      <c r="C23" s="5" t="str">
        <f>IFERROR(__xludf.DUMMYFUNCTION("if(B23=0,""..."", sparkline(query(GOOGLEFINANCE(""BCBA:""&amp;B23,""price"",today()-$AM$47,today()),""select Col2"",0),{""charttype"",$AM$46}))"),"")</f>
        <v/>
      </c>
      <c r="D23" s="17">
        <v>45796.0</v>
      </c>
      <c r="E23" s="6" t="s">
        <v>24</v>
      </c>
      <c r="F23" s="17"/>
      <c r="G23" s="8">
        <f t="shared" si="1"/>
        <v>321</v>
      </c>
      <c r="H23" s="6">
        <v>66.0</v>
      </c>
      <c r="I23" s="44">
        <v>1665.0</v>
      </c>
      <c r="J23" s="45">
        <f t="shared" si="2"/>
        <v>109890</v>
      </c>
      <c r="K23" s="47">
        <f t="array" ref="K23">IF(B23=0,"...",J23/VLOOKUP(D23,{CCL!M:N;CCL!$P:$Q},2,FALSE))</f>
        <v>94.52171445</v>
      </c>
      <c r="L23" s="46">
        <v>3234.0</v>
      </c>
      <c r="M23" s="45">
        <f>if(B23=0,"...",L23*(1-VLOOKUP(A23,Config!$B$3:$C$22,2,FALSE)))</f>
        <v>3211.362</v>
      </c>
      <c r="N23" s="45">
        <f t="shared" si="3"/>
        <v>211949.892</v>
      </c>
      <c r="O23" s="12">
        <f>IFERROR(__xludf.DUMMYFUNCTION("if(B23=0,""..."",GOOGLEFINANCE(B23,""changepct"")/100)"),-0.0038)</f>
        <v>-0.0038</v>
      </c>
      <c r="P23" s="10">
        <f>IFERROR(__xludf.DUMMYFUNCTION("if(B23=0,""..."",GOOGLEFINANCE(B23,""change"")*H23)"),-52.800000000000004)</f>
        <v>-52.8</v>
      </c>
      <c r="Q23" s="12">
        <f t="shared" si="4"/>
        <v>0.9287459459</v>
      </c>
      <c r="R23" s="47">
        <f t="shared" si="5"/>
        <v>102059.892</v>
      </c>
      <c r="S23" s="12">
        <f t="shared" si="6"/>
        <v>0.3411126295</v>
      </c>
      <c r="T23" s="47">
        <f t="array" ref="T23">IF(B23=0,"...",(N23/IF(E23="ABIERTA",CCL!$E$2,VLOOKUP(F23,{CCL!M:N;CCL!$P:$Q},2,FALSE))-K23))</f>
        <v>48.93484381</v>
      </c>
      <c r="U23" s="2"/>
      <c r="V23" s="10"/>
      <c r="W23" s="10"/>
      <c r="X23" s="59" t="str">
        <f t="shared" si="29"/>
        <v>...</v>
      </c>
      <c r="Y23" s="45" t="str">
        <f>IFERROR(__xludf.DUMMYFUNCTION("IF(W23=0,""..."",GOOGLEFINANCE(""BCBA:""&amp;W23))"),"...")</f>
        <v>...</v>
      </c>
      <c r="Z23" s="12"/>
      <c r="AA23" s="45"/>
      <c r="AB23" s="12" t="str">
        <f t="shared" si="26"/>
        <v/>
      </c>
      <c r="AC23" s="45" t="str">
        <f t="shared" si="20"/>
        <v>...</v>
      </c>
      <c r="AD23" s="45" t="str">
        <f t="shared" si="21"/>
        <v>...</v>
      </c>
      <c r="AE23" s="12" t="str">
        <f t="shared" si="11"/>
        <v>...</v>
      </c>
      <c r="AF23" s="45" t="str">
        <f t="shared" si="22"/>
        <v>...</v>
      </c>
      <c r="AG23" s="45" t="str">
        <f t="shared" si="27"/>
        <v>...</v>
      </c>
      <c r="AH23" s="12" t="str">
        <f t="shared" si="13"/>
        <v>...</v>
      </c>
      <c r="AI23" s="46" t="str">
        <f t="shared" si="23"/>
        <v>...</v>
      </c>
      <c r="AJ23" s="2"/>
      <c r="AK23" s="2"/>
      <c r="AL23" s="2"/>
      <c r="AM23" s="2"/>
      <c r="AN23" s="2"/>
      <c r="AO23" s="2"/>
    </row>
    <row r="24" ht="24.0" customHeight="1">
      <c r="A24" s="4" t="s">
        <v>137</v>
      </c>
      <c r="B24" s="4" t="s">
        <v>140</v>
      </c>
      <c r="C24" s="5" t="str">
        <f>IFERROR(__xludf.DUMMYFUNCTION("if(B24=0,""..."", sparkline(query(GOOGLEFINANCE(""BCBA:""&amp;B24,""price"",today()-$AM$47,today()),""select Col2"",0),{""charttype"",$AM$46}))"),"")</f>
        <v/>
      </c>
      <c r="D24" s="17">
        <v>45796.0</v>
      </c>
      <c r="E24" s="6" t="s">
        <v>24</v>
      </c>
      <c r="F24" s="17"/>
      <c r="G24" s="8">
        <f t="shared" si="1"/>
        <v>321</v>
      </c>
      <c r="H24" s="6">
        <v>3.0</v>
      </c>
      <c r="I24" s="44">
        <v>24825.0</v>
      </c>
      <c r="J24" s="45">
        <f t="shared" si="2"/>
        <v>74475</v>
      </c>
      <c r="K24" s="47">
        <f t="array" ref="K24">IF(B24=0,"...",J24/VLOOKUP(D24,{CCL!M:N;CCL!$P:$Q},2,FALSE))</f>
        <v>64.05955668</v>
      </c>
      <c r="L24" s="45">
        <f t="shared" ref="L24:L28" si="30">IF(B24=0,"...",IF(E24="CERRADA","Valor Venta", VLOOKUP(B24,$W$2:$Y$57,3,0)))</f>
        <v>34680</v>
      </c>
      <c r="M24" s="45">
        <f>if(B24=0,"...",L24*(1-VLOOKUP(A24,Config!$B$3:$C$22,2,FALSE)))</f>
        <v>34437.24</v>
      </c>
      <c r="N24" s="45">
        <f t="shared" si="3"/>
        <v>103311.72</v>
      </c>
      <c r="O24" s="12">
        <f>IFERROR(__xludf.DUMMYFUNCTION("if(B24=0,""..."",GOOGLEFINANCE(B24,""changepct"")/100)"),-9.0E-4)</f>
        <v>-0.0009</v>
      </c>
      <c r="P24" s="10">
        <f>IFERROR(__xludf.DUMMYFUNCTION("if(B24=0,""..."",GOOGLEFINANCE(B24,""change"")*H24)"),-1.26)</f>
        <v>-1.26</v>
      </c>
      <c r="Q24" s="12">
        <f t="shared" si="4"/>
        <v>0.3872</v>
      </c>
      <c r="R24" s="47">
        <f t="shared" si="5"/>
        <v>28836.72</v>
      </c>
      <c r="S24" s="12">
        <f t="shared" si="6"/>
        <v>0.08389104338</v>
      </c>
      <c r="T24" s="47">
        <f t="array" ref="T24">IF(B24=0,"...",(N24/IF(E24="ABIERTA",CCL!$E$2,VLOOKUP(F24,{CCL!M:N;CCL!$P:$Q},2,FALSE))-K24))</f>
        <v>5.866139622</v>
      </c>
      <c r="U24" s="2"/>
      <c r="V24" s="10"/>
      <c r="W24" s="10"/>
      <c r="X24" s="59" t="str">
        <f t="shared" si="29"/>
        <v>...</v>
      </c>
      <c r="Y24" s="45" t="str">
        <f>IFERROR(__xludf.DUMMYFUNCTION("IF(W24=0,""..."",GOOGLEFINANCE(""BCBA:""&amp;W24))"),"...")</f>
        <v>...</v>
      </c>
      <c r="Z24" s="12"/>
      <c r="AA24" s="45"/>
      <c r="AB24" s="12" t="str">
        <f t="shared" si="26"/>
        <v/>
      </c>
      <c r="AC24" s="45" t="str">
        <f t="shared" si="20"/>
        <v>...</v>
      </c>
      <c r="AD24" s="45" t="str">
        <f t="shared" si="21"/>
        <v>...</v>
      </c>
      <c r="AE24" s="12" t="str">
        <f t="shared" si="11"/>
        <v>...</v>
      </c>
      <c r="AF24" s="45" t="str">
        <f t="shared" si="22"/>
        <v>...</v>
      </c>
      <c r="AG24" s="45" t="str">
        <f t="shared" si="27"/>
        <v>...</v>
      </c>
      <c r="AH24" s="12" t="str">
        <f t="shared" si="13"/>
        <v>...</v>
      </c>
      <c r="AI24" s="46" t="str">
        <f t="shared" si="23"/>
        <v>...</v>
      </c>
      <c r="AJ24" s="2"/>
      <c r="AK24" s="2"/>
      <c r="AL24" s="2"/>
      <c r="AM24" s="2"/>
      <c r="AN24" s="2"/>
      <c r="AO24" s="2"/>
    </row>
    <row r="25" ht="24.0" customHeight="1">
      <c r="A25" s="4" t="s">
        <v>137</v>
      </c>
      <c r="B25" s="4" t="s">
        <v>118</v>
      </c>
      <c r="C25" s="5" t="str">
        <f>IFERROR(__xludf.DUMMYFUNCTION("if(B25=0,""..."", sparkline(query(GOOGLEFINANCE(""BCBA:""&amp;B25,""price"",today()-$AM$47,today()),""select Col2"",0),{""charttype"",$AM$46}))"),"")</f>
        <v/>
      </c>
      <c r="D25" s="17">
        <v>45805.0</v>
      </c>
      <c r="E25" s="6" t="s">
        <v>24</v>
      </c>
      <c r="F25" s="17"/>
      <c r="G25" s="8">
        <f t="shared" si="1"/>
        <v>312</v>
      </c>
      <c r="H25" s="6">
        <v>43.0</v>
      </c>
      <c r="I25" s="44">
        <v>1680.0</v>
      </c>
      <c r="J25" s="45">
        <f t="shared" si="2"/>
        <v>72240</v>
      </c>
      <c r="K25" s="47">
        <f t="array" ref="K25">IF(B25=0,"...",J25/VLOOKUP(D25,{CCL!M:N;CCL!$P:$Q},2,FALSE))</f>
        <v>61.46358895</v>
      </c>
      <c r="L25" s="45">
        <f t="shared" si="30"/>
        <v>2181</v>
      </c>
      <c r="M25" s="45">
        <f>if(B25=0,"...",L25*(1-VLOOKUP(A25,Config!$B$3:$C$22,2,FALSE)))</f>
        <v>2165.733</v>
      </c>
      <c r="N25" s="45">
        <f t="shared" si="3"/>
        <v>93126.519</v>
      </c>
      <c r="O25" s="12">
        <f>IFERROR(__xludf.DUMMYFUNCTION("if(B25=0,""..."",GOOGLEFINANCE(B25,""changepct"")/100)"),-0.0038)</f>
        <v>-0.0038</v>
      </c>
      <c r="P25" s="10">
        <f>IFERROR(__xludf.DUMMYFUNCTION("if(B25=0,""..."",GOOGLEFINANCE(B25,""change"")*H25)"),-34.4)</f>
        <v>-34.4</v>
      </c>
      <c r="Q25" s="12">
        <f t="shared" si="4"/>
        <v>0.2891267857</v>
      </c>
      <c r="R25" s="47">
        <f t="shared" si="5"/>
        <v>20886.519</v>
      </c>
      <c r="S25" s="12">
        <f t="shared" si="6"/>
        <v>0.02488162912</v>
      </c>
      <c r="T25" s="47">
        <f t="array" ref="T25">IF(B25=0,"...",(N25/IF(E25="ABIERTA",CCL!$E$2,VLOOKUP(F25,{CCL!M:N;CCL!$P:$Q},2,FALSE))-K25))</f>
        <v>1.568337004</v>
      </c>
      <c r="U25" s="2"/>
      <c r="V25" s="10"/>
      <c r="W25" s="10"/>
      <c r="X25" s="59" t="str">
        <f t="shared" si="29"/>
        <v>...</v>
      </c>
      <c r="Y25" s="45"/>
      <c r="Z25" s="12"/>
      <c r="AA25" s="45"/>
      <c r="AB25" s="12" t="str">
        <f t="shared" si="26"/>
        <v/>
      </c>
      <c r="AC25" s="45" t="str">
        <f t="shared" ref="AC25:AC35" si="31">if(X25=0,"...",if(W25=0,"...",sumifs($J$2:$J$36,$B$2:$B$36,W25,$E$2:$E$36,"ABIERTA")/X25))</f>
        <v>...</v>
      </c>
      <c r="AD25" s="45" t="str">
        <f t="shared" ref="AD25:AD35" si="32">if(W25=0,"...",sumifs($N$2:$N$36,$B$2:$B$36,W25,$E$2:$E$36,"ABIERTA"))</f>
        <v>...</v>
      </c>
      <c r="AE25" s="12" t="str">
        <f t="shared" si="11"/>
        <v>...</v>
      </c>
      <c r="AF25" s="45" t="str">
        <f t="shared" ref="AF25:AF35" si="33">if(X25=0,"...",if(W25=0,"...",sumifs($R$2:$R$36,$B$2:$B$36,W25,$E$2:$E$36,"ABIERTA")))</f>
        <v>...</v>
      </c>
      <c r="AG25" s="45" t="str">
        <f t="shared" si="27"/>
        <v>...</v>
      </c>
      <c r="AH25" s="12" t="str">
        <f t="shared" si="13"/>
        <v>...</v>
      </c>
      <c r="AI25" s="46" t="str">
        <f t="shared" ref="AI25:AI35" si="34">IF(X25=0,"...",if(W25=0,"...",sumifs($T$2:$T$36,$B$2:$B$36,W25,$E$2:$E$36,"ABIERTA")))</f>
        <v>...</v>
      </c>
      <c r="AJ25" s="2"/>
      <c r="AK25" s="2"/>
      <c r="AL25" s="2"/>
      <c r="AM25" s="2"/>
      <c r="AN25" s="2"/>
      <c r="AO25" s="2"/>
    </row>
    <row r="26" ht="24.0" customHeight="1">
      <c r="A26" s="4" t="s">
        <v>137</v>
      </c>
      <c r="B26" s="4" t="s">
        <v>139</v>
      </c>
      <c r="C26" s="5" t="str">
        <f>IFERROR(__xludf.DUMMYFUNCTION("if(B26=0,""..."", sparkline(query(GOOGLEFINANCE(""BCBA:""&amp;B26,""price"",today()-$AM$47,today()),""select Col2"",0),{""charttype"",$AM$46}))"),"")</f>
        <v/>
      </c>
      <c r="D26" s="17">
        <v>45805.0</v>
      </c>
      <c r="E26" s="6" t="s">
        <v>24</v>
      </c>
      <c r="F26" s="17"/>
      <c r="G26" s="8">
        <f t="shared" si="1"/>
        <v>312</v>
      </c>
      <c r="H26" s="6">
        <v>3.0</v>
      </c>
      <c r="I26" s="44">
        <v>34675.0</v>
      </c>
      <c r="J26" s="45">
        <f t="shared" si="2"/>
        <v>104025</v>
      </c>
      <c r="K26" s="47">
        <f t="array" ref="K26">IF(B26=0,"...",J26/VLOOKUP(D26,{CCL!M:N;CCL!$P:$Q},2,FALSE))</f>
        <v>88.50705759</v>
      </c>
      <c r="L26" s="45">
        <f t="shared" si="30"/>
        <v>37840</v>
      </c>
      <c r="M26" s="45">
        <f>if(B26=0,"...",L26*(1-VLOOKUP(A26,Config!$B$3:$C$22,2,FALSE)))</f>
        <v>37575.12</v>
      </c>
      <c r="N26" s="45">
        <f t="shared" si="3"/>
        <v>112725.36</v>
      </c>
      <c r="O26" s="12">
        <f>IFERROR(__xludf.DUMMYFUNCTION("if(B26=0,""..."",GOOGLEFINANCE(B26,""changepct"")/100)"),-0.0542)</f>
        <v>-0.0542</v>
      </c>
      <c r="P26" s="10">
        <f>IFERROR(__xludf.DUMMYFUNCTION("if(B26=0,""..."",GOOGLEFINANCE(B26,""change"")*H26)"),-62.010000000000005)</f>
        <v>-62.01</v>
      </c>
      <c r="Q26" s="12">
        <f t="shared" si="4"/>
        <v>0.0836372026</v>
      </c>
      <c r="R26" s="47">
        <f t="shared" si="5"/>
        <v>8700.36</v>
      </c>
      <c r="S26" s="12">
        <f t="shared" si="6"/>
        <v>-0.160029582</v>
      </c>
      <c r="T26" s="47">
        <f t="array" ref="T26">IF(B26=0,"...",(N26/IF(E26="ABIERTA",CCL!$E$2,VLOOKUP(F26,{CCL!M:N;CCL!$P:$Q},2,FALSE))-K26))</f>
        <v>-12.20981572</v>
      </c>
      <c r="U26" s="2"/>
      <c r="V26" s="10"/>
      <c r="W26" s="10"/>
      <c r="X26" s="59" t="str">
        <f t="shared" si="29"/>
        <v>...</v>
      </c>
      <c r="Y26" s="45"/>
      <c r="Z26" s="12"/>
      <c r="AA26" s="45"/>
      <c r="AB26" s="12" t="str">
        <f t="shared" si="26"/>
        <v/>
      </c>
      <c r="AC26" s="45" t="str">
        <f t="shared" si="31"/>
        <v>...</v>
      </c>
      <c r="AD26" s="45" t="str">
        <f t="shared" si="32"/>
        <v>...</v>
      </c>
      <c r="AE26" s="12" t="str">
        <f t="shared" si="11"/>
        <v>...</v>
      </c>
      <c r="AF26" s="45" t="str">
        <f t="shared" si="33"/>
        <v>...</v>
      </c>
      <c r="AG26" s="45" t="str">
        <f t="shared" si="27"/>
        <v>...</v>
      </c>
      <c r="AH26" s="12" t="str">
        <f t="shared" si="13"/>
        <v>...</v>
      </c>
      <c r="AI26" s="46" t="str">
        <f t="shared" si="34"/>
        <v>...</v>
      </c>
      <c r="AJ26" s="2"/>
      <c r="AK26" s="2"/>
      <c r="AL26" s="2"/>
      <c r="AM26" s="2"/>
      <c r="AN26" s="2"/>
      <c r="AO26" s="2"/>
    </row>
    <row r="27" ht="24.0" customHeight="1">
      <c r="A27" s="4" t="s">
        <v>137</v>
      </c>
      <c r="B27" s="4" t="s">
        <v>112</v>
      </c>
      <c r="C27" s="5" t="str">
        <f>IFERROR(__xludf.DUMMYFUNCTION("if(B27=0,""..."", sparkline(query(GOOGLEFINANCE(""BCBA:""&amp;B27,""price"",today()-$AM$47,today()),""select Col2"",0),{""charttype"",$AM$46}))"),"")</f>
        <v/>
      </c>
      <c r="D27" s="17">
        <v>45805.0</v>
      </c>
      <c r="E27" s="6" t="s">
        <v>24</v>
      </c>
      <c r="F27" s="7"/>
      <c r="G27" s="8">
        <f t="shared" si="1"/>
        <v>312</v>
      </c>
      <c r="H27" s="6">
        <v>3.0</v>
      </c>
      <c r="I27" s="44">
        <v>24825.0</v>
      </c>
      <c r="J27" s="45">
        <f t="shared" si="2"/>
        <v>74475</v>
      </c>
      <c r="K27" s="47">
        <f t="array" ref="K27">IF(B27=0,"...",J27/VLOOKUP(D27,{CCL!M:N;CCL!$P:$Q},2,FALSE))</f>
        <v>63.36518254</v>
      </c>
      <c r="L27" s="45">
        <f t="shared" si="30"/>
        <v>48760</v>
      </c>
      <c r="M27" s="45">
        <f>if(B27=0,"...",L27*(1-VLOOKUP(A27,Config!$B$3:$C$22,2,FALSE)))</f>
        <v>48418.68</v>
      </c>
      <c r="N27" s="45">
        <f t="shared" si="3"/>
        <v>145256.04</v>
      </c>
      <c r="O27" s="12">
        <f>IFERROR(__xludf.DUMMYFUNCTION("if(B27=0,""..."",GOOGLEFINANCE(B27,""changepct"")/100)"),9.0E-4)</f>
        <v>0.0009</v>
      </c>
      <c r="P27" s="10">
        <f>IFERROR(__xludf.DUMMYFUNCTION("if(B27=0,""..."",GOOGLEFINANCE(B27,""change"")*H27)"),1.77)</f>
        <v>1.77</v>
      </c>
      <c r="Q27" s="12">
        <f t="shared" si="4"/>
        <v>0.9504</v>
      </c>
      <c r="R27" s="47">
        <f t="shared" si="5"/>
        <v>70781.04</v>
      </c>
      <c r="S27" s="12">
        <f t="shared" si="6"/>
        <v>0.3554905603</v>
      </c>
      <c r="T27" s="47">
        <f t="array" ref="T27">IF(B27=0,"...",(N27/IF(E27="ABIERTA",CCL!$E$2,VLOOKUP(F27,{CCL!M:N;CCL!$P:$Q},2,FALSE))-K27))</f>
        <v>34.95018515</v>
      </c>
      <c r="U27" s="2"/>
      <c r="V27" s="10"/>
      <c r="W27" s="10"/>
      <c r="X27" s="59" t="str">
        <f t="shared" si="29"/>
        <v>...</v>
      </c>
      <c r="Y27" s="45"/>
      <c r="Z27" s="12"/>
      <c r="AA27" s="45"/>
      <c r="AB27" s="12" t="str">
        <f t="shared" si="26"/>
        <v/>
      </c>
      <c r="AC27" s="45" t="str">
        <f t="shared" si="31"/>
        <v>...</v>
      </c>
      <c r="AD27" s="45" t="str">
        <f t="shared" si="32"/>
        <v>...</v>
      </c>
      <c r="AE27" s="12" t="str">
        <f t="shared" si="11"/>
        <v>...</v>
      </c>
      <c r="AF27" s="45" t="str">
        <f t="shared" si="33"/>
        <v>...</v>
      </c>
      <c r="AG27" s="45" t="str">
        <f t="shared" si="27"/>
        <v>...</v>
      </c>
      <c r="AH27" s="12" t="str">
        <f t="shared" si="13"/>
        <v>...</v>
      </c>
      <c r="AI27" s="46" t="str">
        <f t="shared" si="34"/>
        <v>...</v>
      </c>
      <c r="AJ27" s="2"/>
      <c r="AK27" s="2"/>
      <c r="AL27" s="2"/>
      <c r="AM27" s="2"/>
      <c r="AN27" s="2"/>
      <c r="AO27" s="2"/>
    </row>
    <row r="28" ht="24.0" customHeight="1">
      <c r="A28" s="4" t="s">
        <v>137</v>
      </c>
      <c r="B28" s="4" t="s">
        <v>119</v>
      </c>
      <c r="C28" s="5" t="str">
        <f>IFERROR(__xludf.DUMMYFUNCTION("if(B28=0,""..."", sparkline(query(GOOGLEFINANCE(""BCBA:""&amp;B28,""price"",today()-$AM$47,today()),""select Col2"",0),{""charttype"",$AM$46}))"),"")</f>
        <v/>
      </c>
      <c r="D28" s="17">
        <v>45818.0</v>
      </c>
      <c r="E28" s="6" t="s">
        <v>24</v>
      </c>
      <c r="F28" s="17"/>
      <c r="G28" s="8">
        <f t="shared" si="1"/>
        <v>299</v>
      </c>
      <c r="H28" s="6">
        <v>10.0</v>
      </c>
      <c r="I28" s="44">
        <v>12125.0</v>
      </c>
      <c r="J28" s="45">
        <f t="shared" si="2"/>
        <v>121250</v>
      </c>
      <c r="K28" s="47">
        <f t="array" ref="K28">IF(B28=0,"...",J28/VLOOKUP(D28,{CCL!M:N;CCL!$P:$Q},2,FALSE))</f>
        <v>101.5621728</v>
      </c>
      <c r="L28" s="45">
        <f t="shared" si="30"/>
        <v>18990</v>
      </c>
      <c r="M28" s="45">
        <f>if(B28=0,"...",L28*(1-VLOOKUP(A28,Config!$B$3:$C$22,2,FALSE)))</f>
        <v>18857.07</v>
      </c>
      <c r="N28" s="45">
        <f t="shared" si="3"/>
        <v>188570.7</v>
      </c>
      <c r="O28" s="12">
        <f>IFERROR(__xludf.DUMMYFUNCTION("if(B28=0,""..."",GOOGLEFINANCE(B28,""changepct"")/100)"),0.0011)</f>
        <v>0.0011</v>
      </c>
      <c r="P28" s="10">
        <f>IFERROR(__xludf.DUMMYFUNCTION("if(B28=0,""..."",GOOGLEFINANCE(B28,""change"")*H28)"),2.9)</f>
        <v>2.9</v>
      </c>
      <c r="Q28" s="12">
        <f t="shared" si="4"/>
        <v>0.555222268</v>
      </c>
      <c r="R28" s="47">
        <f t="shared" si="5"/>
        <v>67320.7</v>
      </c>
      <c r="S28" s="12">
        <f t="shared" si="6"/>
        <v>0.2042611487</v>
      </c>
      <c r="T28" s="47">
        <f t="array" ref="T28">IF(B28=0,"...",(N28/IF(E28="ABIERTA",CCL!$E$2,VLOOKUP(F28,{CCL!M:N;CCL!$P:$Q},2,FALSE))-K28))</f>
        <v>26.07036975</v>
      </c>
      <c r="U28" s="2"/>
      <c r="V28" s="10"/>
      <c r="W28" s="10"/>
      <c r="X28" s="59" t="str">
        <f t="shared" si="29"/>
        <v>...</v>
      </c>
      <c r="Y28" s="45"/>
      <c r="Z28" s="12"/>
      <c r="AA28" s="45"/>
      <c r="AB28" s="12" t="str">
        <f t="shared" si="26"/>
        <v/>
      </c>
      <c r="AC28" s="45" t="str">
        <f t="shared" si="31"/>
        <v>...</v>
      </c>
      <c r="AD28" s="45" t="str">
        <f t="shared" si="32"/>
        <v>...</v>
      </c>
      <c r="AE28" s="12" t="str">
        <f t="shared" si="11"/>
        <v>...</v>
      </c>
      <c r="AF28" s="45" t="str">
        <f t="shared" si="33"/>
        <v>...</v>
      </c>
      <c r="AG28" s="45" t="str">
        <f t="shared" si="27"/>
        <v>...</v>
      </c>
      <c r="AH28" s="12" t="str">
        <f t="shared" si="13"/>
        <v>...</v>
      </c>
      <c r="AI28" s="46" t="str">
        <f t="shared" si="34"/>
        <v>...</v>
      </c>
      <c r="AJ28" s="2"/>
      <c r="AK28" s="2"/>
      <c r="AL28" s="2"/>
      <c r="AM28" s="2"/>
      <c r="AN28" s="2"/>
      <c r="AO28" s="2"/>
    </row>
    <row r="29" ht="24.0" customHeight="1">
      <c r="A29" s="4" t="s">
        <v>137</v>
      </c>
      <c r="B29" s="4" t="s">
        <v>120</v>
      </c>
      <c r="C29" s="5" t="str">
        <f>IFERROR(__xludf.DUMMYFUNCTION("if(B29=0,""..."", sparkline(query(GOOGLEFINANCE(""BCBA:""&amp;B29,""price"",today()-$AM$47,today()),""select Col2"",0),{""charttype"",$AM$46}))"),"")</f>
        <v/>
      </c>
      <c r="D29" s="17">
        <v>45839.0</v>
      </c>
      <c r="E29" s="6" t="s">
        <v>24</v>
      </c>
      <c r="F29" s="17"/>
      <c r="G29" s="8">
        <f t="shared" si="1"/>
        <v>278</v>
      </c>
      <c r="H29" s="6">
        <v>4.0</v>
      </c>
      <c r="I29" s="44">
        <v>25450.0</v>
      </c>
      <c r="J29" s="45">
        <f t="shared" si="2"/>
        <v>101800</v>
      </c>
      <c r="K29" s="47">
        <f t="array" ref="K29">IF(B29=0,"...",J29/VLOOKUP(D29,{CCL!M:N;CCL!$P:$Q},2,FALSE))</f>
        <v>82.5574983</v>
      </c>
      <c r="L29" s="45">
        <f>IFERROR(__xludf.DUMMYFUNCTION("if(B29=0,""..."",if(E29=""CERRADA"",""Valor Venta"", GOOGLEFINANCE(""BCBA:""&amp;B29)))"),21350.0)</f>
        <v>21350</v>
      </c>
      <c r="M29" s="45">
        <f>if(B29=0,"...",L29*(1-VLOOKUP(A29,Config!$B$3:$C$22,2,FALSE)))</f>
        <v>21200.55</v>
      </c>
      <c r="N29" s="45">
        <f t="shared" si="3"/>
        <v>84802.2</v>
      </c>
      <c r="O29" s="12">
        <f>IFERROR(__xludf.DUMMYFUNCTION("if(B29=0,""..."",GOOGLEFINANCE(B29,""changepct"")/100)"),-0.002)</f>
        <v>-0.002</v>
      </c>
      <c r="P29" s="10">
        <f>IFERROR(__xludf.DUMMYFUNCTION("if(B29=0,""..."",GOOGLEFINANCE(B29,""change"")*H29)"),-13.8)</f>
        <v>-13.8</v>
      </c>
      <c r="Q29" s="12">
        <f t="shared" si="4"/>
        <v>-0.1669724951</v>
      </c>
      <c r="R29" s="47">
        <f t="shared" si="5"/>
        <v>-16997.8</v>
      </c>
      <c r="S29" s="12">
        <f>IF(B29=0,"...",(N29/IF(E29="ABIERTA",CCL!$E$2,VLOOKUP(F29,CCL!$A$12:$B234,2,FALSE))/(J29/VLOOKUP(D29,CCL!$A$12:$B234,2,FALSE))-1))</f>
        <v>-0.3047551147</v>
      </c>
      <c r="T29" s="47">
        <f t="array" ref="T29">IF(B29=0,"...",(N29/IF(E29="ABIERTA",CCL!$E$2,VLOOKUP(F29,{CCL!M:N;CCL!$P:$Q},2,FALSE))-K29))</f>
        <v>-25.15981986</v>
      </c>
      <c r="U29" s="2"/>
      <c r="V29" s="10"/>
      <c r="W29" s="10"/>
      <c r="X29" s="59" t="str">
        <f t="shared" si="29"/>
        <v>...</v>
      </c>
      <c r="Y29" s="45"/>
      <c r="Z29" s="12"/>
      <c r="AA29" s="45"/>
      <c r="AB29" s="12" t="str">
        <f t="shared" si="26"/>
        <v/>
      </c>
      <c r="AC29" s="45" t="str">
        <f t="shared" si="31"/>
        <v>...</v>
      </c>
      <c r="AD29" s="45" t="str">
        <f t="shared" si="32"/>
        <v>...</v>
      </c>
      <c r="AE29" s="12" t="str">
        <f t="shared" si="11"/>
        <v>...</v>
      </c>
      <c r="AF29" s="45" t="str">
        <f t="shared" si="33"/>
        <v>...</v>
      </c>
      <c r="AG29" s="45" t="str">
        <f t="shared" si="27"/>
        <v>...</v>
      </c>
      <c r="AH29" s="12" t="str">
        <f t="shared" si="13"/>
        <v>...</v>
      </c>
      <c r="AI29" s="46" t="str">
        <f t="shared" si="34"/>
        <v>...</v>
      </c>
      <c r="AJ29" s="2"/>
      <c r="AK29" s="2"/>
      <c r="AL29" s="2"/>
      <c r="AM29" s="2"/>
      <c r="AN29" s="2"/>
      <c r="AO29" s="2"/>
    </row>
    <row r="30" ht="24.0" customHeight="1">
      <c r="A30" s="4" t="s">
        <v>137</v>
      </c>
      <c r="B30" s="4" t="s">
        <v>112</v>
      </c>
      <c r="C30" s="5" t="str">
        <f>IFERROR(__xludf.DUMMYFUNCTION("if(B30=0,""..."", sparkline(query(GOOGLEFINANCE(""BCBA:""&amp;B30,""price"",today()-$AM$47,today()),""select Col2"",0),{""charttype"",$AM$46}))"),"")</f>
        <v/>
      </c>
      <c r="D30" s="17">
        <v>45855.0</v>
      </c>
      <c r="E30" s="6" t="s">
        <v>24</v>
      </c>
      <c r="F30" s="17"/>
      <c r="G30" s="8">
        <f t="shared" si="1"/>
        <v>262</v>
      </c>
      <c r="H30" s="6">
        <v>3.0</v>
      </c>
      <c r="I30" s="44">
        <v>39925.0</v>
      </c>
      <c r="J30" s="45">
        <f t="shared" si="2"/>
        <v>119775</v>
      </c>
      <c r="K30" s="47">
        <f t="array" ref="K30">IF(B30=0,"...",J30/VLOOKUP(D30,{CCL!M:N;CCL!$P:$Q},2,FALSE))</f>
        <v>93.16733951</v>
      </c>
      <c r="L30" s="45">
        <f t="shared" ref="L30:L40" si="35">IF(B30=0,"...",IF(E30="CERRADA","Valor Venta", VLOOKUP(B30,$W$2:$Y$57,3,0)))</f>
        <v>48760</v>
      </c>
      <c r="M30" s="45">
        <f>if(B30=0,"...",L30*(1-VLOOKUP(A30,Config!$B$3:$C$22,2,FALSE)))</f>
        <v>48418.68</v>
      </c>
      <c r="N30" s="45">
        <f t="shared" si="3"/>
        <v>145256.04</v>
      </c>
      <c r="O30" s="12">
        <f>IFERROR(__xludf.DUMMYFUNCTION("if(B30=0,""..."",GOOGLEFINANCE(B30,""changepct"")/100)"),9.0E-4)</f>
        <v>0.0009</v>
      </c>
      <c r="P30" s="10">
        <f>IFERROR(__xludf.DUMMYFUNCTION("if(B30=0,""..."",GOOGLEFINANCE(B30,""change"")*H30)"),1.77)</f>
        <v>1.77</v>
      </c>
      <c r="Q30" s="12">
        <f t="shared" si="4"/>
        <v>0.2127408892</v>
      </c>
      <c r="R30" s="47">
        <f t="shared" si="5"/>
        <v>25481.04</v>
      </c>
      <c r="S30" s="12">
        <f t="shared" ref="S30:S233" si="36">IF(B30=0,"...",(T30/(K30+T30)))</f>
        <v>0.05236239568</v>
      </c>
      <c r="T30" s="47">
        <f t="array" ref="T30">IF(B30=0,"...",(N30/IF(E30="ABIERTA",CCL!$E$2,VLOOKUP(F30,{CCL!M:N;CCL!$P:$Q},2,FALSE))-K30))</f>
        <v>5.148028185</v>
      </c>
      <c r="U30" s="2"/>
      <c r="V30" s="10"/>
      <c r="W30" s="10"/>
      <c r="X30" s="59" t="str">
        <f t="shared" si="29"/>
        <v>...</v>
      </c>
      <c r="Y30" s="45"/>
      <c r="Z30" s="12"/>
      <c r="AA30" s="45"/>
      <c r="AB30" s="12" t="str">
        <f t="shared" si="26"/>
        <v/>
      </c>
      <c r="AC30" s="45" t="str">
        <f t="shared" si="31"/>
        <v>...</v>
      </c>
      <c r="AD30" s="45" t="str">
        <f t="shared" si="32"/>
        <v>...</v>
      </c>
      <c r="AE30" s="12" t="str">
        <f t="shared" si="11"/>
        <v>...</v>
      </c>
      <c r="AF30" s="45" t="str">
        <f t="shared" si="33"/>
        <v>...</v>
      </c>
      <c r="AG30" s="45" t="str">
        <f t="shared" si="27"/>
        <v>...</v>
      </c>
      <c r="AH30" s="12" t="str">
        <f t="shared" si="13"/>
        <v>...</v>
      </c>
      <c r="AI30" s="46" t="str">
        <f t="shared" si="34"/>
        <v>...</v>
      </c>
      <c r="AJ30" s="2"/>
      <c r="AK30" s="2"/>
      <c r="AL30" s="2"/>
      <c r="AM30" s="2"/>
      <c r="AN30" s="2"/>
      <c r="AO30" s="2"/>
    </row>
    <row r="31" ht="24.0" customHeight="1">
      <c r="A31" s="4" t="s">
        <v>137</v>
      </c>
      <c r="B31" s="4" t="s">
        <v>125</v>
      </c>
      <c r="C31" s="5" t="str">
        <f>IFERROR(__xludf.DUMMYFUNCTION("if(B31=0,""..."", sparkline(query(GOOGLEFINANCE(""BCBA:""&amp;B31,""price"",today()-$AM$47,today()),""select Col2"",0),{""charttype"",$AM$46}))"),"")</f>
        <v/>
      </c>
      <c r="D31" s="17">
        <v>45867.0</v>
      </c>
      <c r="E31" s="6" t="s">
        <v>24</v>
      </c>
      <c r="F31" s="17"/>
      <c r="G31" s="8">
        <f t="shared" si="1"/>
        <v>250</v>
      </c>
      <c r="H31" s="6">
        <v>90.0</v>
      </c>
      <c r="I31" s="44">
        <v>3395.0</v>
      </c>
      <c r="J31" s="45">
        <f t="shared" si="2"/>
        <v>305550</v>
      </c>
      <c r="K31" s="47">
        <f t="array" ref="K31">IF(B31=0,"...",J31/VLOOKUP(D31,{CCL!M:N;CCL!$P:$Q},2,FALSE))</f>
        <v>236.8604651</v>
      </c>
      <c r="L31" s="45">
        <f t="shared" si="35"/>
        <v>2957.5</v>
      </c>
      <c r="M31" s="45">
        <f>if(B31=0,"...",L31*(1-VLOOKUP(A31,Config!$B$3:$C$22,2,FALSE)))</f>
        <v>2936.7975</v>
      </c>
      <c r="N31" s="45">
        <f t="shared" si="3"/>
        <v>264311.775</v>
      </c>
      <c r="O31" s="12">
        <f>IFERROR(__xludf.DUMMYFUNCTION("if(B31=0,""..."",GOOGLEFINANCE(B31,""changepct"")/100)"),0.0325)</f>
        <v>0.0325</v>
      </c>
      <c r="P31" s="10">
        <f>IFERROR(__xludf.DUMMYFUNCTION("if(B31=0,""..."",GOOGLEFINANCE(B31,""change"")*H31)"),279.9)</f>
        <v>279.9</v>
      </c>
      <c r="Q31" s="12">
        <f t="shared" si="4"/>
        <v>-0.1349639175</v>
      </c>
      <c r="R31" s="47">
        <f t="shared" si="5"/>
        <v>-41238.225</v>
      </c>
      <c r="S31" s="12">
        <f t="shared" si="36"/>
        <v>-0.3240026638</v>
      </c>
      <c r="T31" s="47">
        <f t="array" ref="T31">IF(B31=0,"...",(N31/IF(E31="ABIERTA",CCL!$E$2,VLOOKUP(F31,{CCL!M:N;CCL!$P:$Q},2,FALSE))-K31))</f>
        <v>-57.96319279</v>
      </c>
      <c r="U31" s="2"/>
      <c r="V31" s="10"/>
      <c r="W31" s="10"/>
      <c r="X31" s="59" t="str">
        <f t="shared" si="29"/>
        <v>...</v>
      </c>
      <c r="Y31" s="45"/>
      <c r="Z31" s="12"/>
      <c r="AA31" s="45"/>
      <c r="AB31" s="12" t="str">
        <f t="shared" si="26"/>
        <v/>
      </c>
      <c r="AC31" s="45" t="str">
        <f t="shared" si="31"/>
        <v>...</v>
      </c>
      <c r="AD31" s="45" t="str">
        <f t="shared" si="32"/>
        <v>...</v>
      </c>
      <c r="AE31" s="12" t="str">
        <f t="shared" si="11"/>
        <v>...</v>
      </c>
      <c r="AF31" s="45" t="str">
        <f t="shared" si="33"/>
        <v>...</v>
      </c>
      <c r="AG31" s="45" t="str">
        <f t="shared" si="27"/>
        <v>...</v>
      </c>
      <c r="AH31" s="12" t="str">
        <f t="shared" si="13"/>
        <v>...</v>
      </c>
      <c r="AI31" s="46" t="str">
        <f t="shared" si="34"/>
        <v>...</v>
      </c>
      <c r="AJ31" s="2"/>
      <c r="AK31" s="18" t="s">
        <v>96</v>
      </c>
      <c r="AL31" s="19">
        <f>sumifs(N2:N35,E2:E35,"ABIERTA")</f>
        <v>3505371.426</v>
      </c>
      <c r="AM31" s="18" t="s">
        <v>47</v>
      </c>
      <c r="AN31" s="19">
        <f>sum(N2:N35)</f>
        <v>4648820.856</v>
      </c>
      <c r="AO31" s="2"/>
    </row>
    <row r="32" ht="24.0" customHeight="1">
      <c r="A32" s="4" t="s">
        <v>137</v>
      </c>
      <c r="B32" s="4" t="s">
        <v>119</v>
      </c>
      <c r="C32" s="5" t="str">
        <f>IFERROR(__xludf.DUMMYFUNCTION("if(B32=0,""..."", sparkline(query(GOOGLEFINANCE(""BCBA:""&amp;B32,""price"",today()-$AM$47,today()),""select Col2"",0),{""charttype"",$AM$46}))"),"")</f>
        <v/>
      </c>
      <c r="D32" s="17">
        <v>45867.0</v>
      </c>
      <c r="E32" s="6" t="s">
        <v>24</v>
      </c>
      <c r="F32" s="17"/>
      <c r="G32" s="8">
        <f t="shared" si="1"/>
        <v>250</v>
      </c>
      <c r="H32" s="6">
        <v>6.0</v>
      </c>
      <c r="I32" s="44">
        <v>13875.0</v>
      </c>
      <c r="J32" s="45">
        <f t="shared" si="2"/>
        <v>83250</v>
      </c>
      <c r="K32" s="47">
        <f t="array" ref="K32">IF(B32=0,"...",J32/VLOOKUP(D32,{CCL!M:N;CCL!$P:$Q},2,FALSE))</f>
        <v>64.53488372</v>
      </c>
      <c r="L32" s="45">
        <f t="shared" si="35"/>
        <v>18990</v>
      </c>
      <c r="M32" s="45">
        <f>if(B32=0,"...",L32*(1-VLOOKUP(A32,Config!$B$3:$C$22,2,FALSE)))</f>
        <v>18857.07</v>
      </c>
      <c r="N32" s="45">
        <f t="shared" si="3"/>
        <v>113142.42</v>
      </c>
      <c r="O32" s="12">
        <f>IFERROR(__xludf.DUMMYFUNCTION("if(B32=0,""..."",GOOGLEFINANCE(B32,""changepct"")/100)"),0.0011)</f>
        <v>0.0011</v>
      </c>
      <c r="P32" s="10">
        <f>IFERROR(__xludf.DUMMYFUNCTION("if(B32=0,""..."",GOOGLEFINANCE(B32,""change"")*H32)"),1.7399999999999998)</f>
        <v>1.74</v>
      </c>
      <c r="Q32" s="12">
        <f t="shared" si="4"/>
        <v>0.3590681081</v>
      </c>
      <c r="R32" s="47">
        <f t="shared" si="5"/>
        <v>29892.42</v>
      </c>
      <c r="S32" s="12">
        <f t="shared" si="36"/>
        <v>0.157282795</v>
      </c>
      <c r="T32" s="47">
        <f t="array" ref="T32">IF(B32=0,"...",(N32/IF(E32="ABIERTA",CCL!$E$2,VLOOKUP(F32,{CCL!M:N;CCL!$P:$Q},2,FALSE))-K32))</f>
        <v>12.04464181</v>
      </c>
      <c r="U32" s="2"/>
      <c r="V32" s="10"/>
      <c r="W32" s="10"/>
      <c r="X32" s="59" t="str">
        <f t="shared" si="29"/>
        <v>...</v>
      </c>
      <c r="Y32" s="45"/>
      <c r="Z32" s="12"/>
      <c r="AA32" s="45"/>
      <c r="AB32" s="12" t="str">
        <f t="shared" si="26"/>
        <v/>
      </c>
      <c r="AC32" s="45" t="str">
        <f t="shared" si="31"/>
        <v>...</v>
      </c>
      <c r="AD32" s="45" t="str">
        <f t="shared" si="32"/>
        <v>...</v>
      </c>
      <c r="AE32" s="12" t="str">
        <f t="shared" si="11"/>
        <v>...</v>
      </c>
      <c r="AF32" s="45" t="str">
        <f t="shared" si="33"/>
        <v>...</v>
      </c>
      <c r="AG32" s="45" t="str">
        <f t="shared" si="27"/>
        <v>...</v>
      </c>
      <c r="AH32" s="12" t="str">
        <f t="shared" si="13"/>
        <v>...</v>
      </c>
      <c r="AI32" s="46" t="str">
        <f t="shared" si="34"/>
        <v>...</v>
      </c>
      <c r="AJ32" s="2"/>
      <c r="AO32" s="2"/>
    </row>
    <row r="33" ht="24.0" customHeight="1">
      <c r="A33" s="4" t="s">
        <v>137</v>
      </c>
      <c r="B33" s="4" t="s">
        <v>120</v>
      </c>
      <c r="C33" s="5" t="str">
        <f>IFERROR(__xludf.DUMMYFUNCTION("if(B33=0,""..."", sparkline(query(GOOGLEFINANCE(""BCBA:""&amp;B33,""price"",today()-$AM$47,today()),""select Col2"",0),{""charttype"",$AM$46}))"),"")</f>
        <v/>
      </c>
      <c r="D33" s="17">
        <v>45867.0</v>
      </c>
      <c r="E33" s="6" t="s">
        <v>24</v>
      </c>
      <c r="F33" s="17"/>
      <c r="G33" s="8">
        <f t="shared" si="1"/>
        <v>250</v>
      </c>
      <c r="H33" s="6">
        <v>3.0</v>
      </c>
      <c r="I33" s="44">
        <v>25825.0</v>
      </c>
      <c r="J33" s="45">
        <f t="shared" si="2"/>
        <v>77475</v>
      </c>
      <c r="K33" s="47">
        <f t="array" ref="K33">IF(B33=0,"...",J33/VLOOKUP(D33,{CCL!M:N;CCL!$P:$Q},2,FALSE))</f>
        <v>60.05813953</v>
      </c>
      <c r="L33" s="45">
        <f t="shared" si="35"/>
        <v>21350</v>
      </c>
      <c r="M33" s="45">
        <f>if(B33=0,"...",L33*(1-VLOOKUP(A33,Config!$B$3:$C$22,2,FALSE)))</f>
        <v>21200.55</v>
      </c>
      <c r="N33" s="45">
        <f t="shared" si="3"/>
        <v>63601.65</v>
      </c>
      <c r="O33" s="12">
        <f>IFERROR(__xludf.DUMMYFUNCTION("if(B33=0,""..."",GOOGLEFINANCE(B33,""changepct"")/100)"),-0.002)</f>
        <v>-0.002</v>
      </c>
      <c r="P33" s="10">
        <f>IFERROR(__xludf.DUMMYFUNCTION("if(B33=0,""..."",GOOGLEFINANCE(B33,""change"")*H33)"),-10.350000000000001)</f>
        <v>-10.35</v>
      </c>
      <c r="Q33" s="12">
        <f t="shared" si="4"/>
        <v>-0.1790687318</v>
      </c>
      <c r="R33" s="47">
        <f t="shared" si="5"/>
        <v>-13873.35</v>
      </c>
      <c r="S33" s="12">
        <f t="shared" si="36"/>
        <v>-0.3951351617</v>
      </c>
      <c r="T33" s="47">
        <f t="array" ref="T33">IF(B33=0,"...",(N33/IF(E33="ABIERTA",CCL!$E$2,VLOOKUP(F33,{CCL!M:N;CCL!$P:$Q},2,FALSE))-K33))</f>
        <v>-17.00988071</v>
      </c>
      <c r="U33" s="2"/>
      <c r="V33" s="11"/>
      <c r="W33" s="11"/>
      <c r="X33" s="59" t="str">
        <f t="shared" si="29"/>
        <v>...</v>
      </c>
      <c r="Y33" s="45"/>
      <c r="Z33" s="12"/>
      <c r="AA33" s="45"/>
      <c r="AB33" s="12" t="str">
        <f t="shared" si="26"/>
        <v/>
      </c>
      <c r="AC33" s="45" t="str">
        <f t="shared" si="31"/>
        <v>...</v>
      </c>
      <c r="AD33" s="45" t="str">
        <f t="shared" si="32"/>
        <v>...</v>
      </c>
      <c r="AE33" s="12" t="str">
        <f t="shared" si="11"/>
        <v>...</v>
      </c>
      <c r="AF33" s="45" t="str">
        <f t="shared" si="33"/>
        <v>...</v>
      </c>
      <c r="AG33" s="45" t="str">
        <f t="shared" si="27"/>
        <v>...</v>
      </c>
      <c r="AH33" s="12" t="str">
        <f t="shared" si="13"/>
        <v>...</v>
      </c>
      <c r="AI33" s="46" t="str">
        <f t="shared" si="34"/>
        <v>...</v>
      </c>
      <c r="AJ33" s="2"/>
      <c r="AK33" s="18" t="s">
        <v>49</v>
      </c>
      <c r="AL33" s="19">
        <f>sumifs(R2:R35,E2:E35,"ABIERTA")</f>
        <v>707866.426</v>
      </c>
      <c r="AM33" s="18" t="s">
        <v>50</v>
      </c>
      <c r="AN33" s="19">
        <f>sum(R2:R35)</f>
        <v>1226465.856</v>
      </c>
      <c r="AO33" s="2"/>
    </row>
    <row r="34" ht="24.0" customHeight="1">
      <c r="A34" s="4" t="s">
        <v>137</v>
      </c>
      <c r="B34" s="4" t="s">
        <v>120</v>
      </c>
      <c r="C34" s="5" t="str">
        <f>IFERROR(__xludf.DUMMYFUNCTION("if(B34=0,""..."", sparkline(query(GOOGLEFINANCE(""BCBA:""&amp;B34,""price"",today()-$AM$47,today()),""select Col2"",0),{""charttype"",$AM$46}))"),"")</f>
        <v/>
      </c>
      <c r="D34" s="17">
        <v>45898.0</v>
      </c>
      <c r="E34" s="6" t="s">
        <v>24</v>
      </c>
      <c r="F34" s="7"/>
      <c r="G34" s="8">
        <f t="shared" si="1"/>
        <v>219</v>
      </c>
      <c r="H34" s="6">
        <v>3.0</v>
      </c>
      <c r="I34" s="44">
        <v>27625.0</v>
      </c>
      <c r="J34" s="45">
        <f t="shared" si="2"/>
        <v>82875</v>
      </c>
      <c r="K34" s="47">
        <f t="array" ref="K34">IF(B34=0,"...",J34/VLOOKUP(D34,{CCL!M:N;CCL!$P:$Q},2,FALSE))</f>
        <v>61.15017672</v>
      </c>
      <c r="L34" s="45">
        <f t="shared" si="35"/>
        <v>21350</v>
      </c>
      <c r="M34" s="45">
        <f>if(B34=0,"...",L34*(1-VLOOKUP(A34,Config!$B$3:$C$22,2,FALSE)))</f>
        <v>21200.55</v>
      </c>
      <c r="N34" s="45">
        <f t="shared" si="3"/>
        <v>63601.65</v>
      </c>
      <c r="O34" s="12">
        <f>IFERROR(__xludf.DUMMYFUNCTION("if(B34=0,""..."",GOOGLEFINANCE(B34,""changepct"")/100)"),-0.002)</f>
        <v>-0.002</v>
      </c>
      <c r="P34" s="10">
        <f>IFERROR(__xludf.DUMMYFUNCTION("if(B34=0,""..."",GOOGLEFINANCE(B34,""change"")*H34)"),-10.350000000000001)</f>
        <v>-10.35</v>
      </c>
      <c r="Q34" s="12">
        <f t="shared" si="4"/>
        <v>-0.232559276</v>
      </c>
      <c r="R34" s="47">
        <f t="shared" si="5"/>
        <v>-19273.35</v>
      </c>
      <c r="S34" s="12">
        <f t="shared" si="36"/>
        <v>-0.4205029051</v>
      </c>
      <c r="T34" s="47">
        <f t="array" ref="T34">IF(B34=0,"...",(N34/IF(E34="ABIERTA",CCL!$E$2,VLOOKUP(F34,{CCL!M:N;CCL!$P:$Q},2,FALSE))-K34))</f>
        <v>-18.10191789</v>
      </c>
      <c r="U34" s="2"/>
      <c r="V34" s="10"/>
      <c r="W34" s="10"/>
      <c r="X34" s="59" t="str">
        <f t="shared" si="29"/>
        <v>...</v>
      </c>
      <c r="Y34" s="45"/>
      <c r="Z34" s="12"/>
      <c r="AA34" s="45"/>
      <c r="AB34" s="12" t="str">
        <f t="shared" si="26"/>
        <v/>
      </c>
      <c r="AC34" s="45" t="str">
        <f t="shared" si="31"/>
        <v>...</v>
      </c>
      <c r="AD34" s="45" t="str">
        <f t="shared" si="32"/>
        <v>...</v>
      </c>
      <c r="AE34" s="12" t="str">
        <f t="shared" si="11"/>
        <v>...</v>
      </c>
      <c r="AF34" s="45" t="str">
        <f t="shared" si="33"/>
        <v>...</v>
      </c>
      <c r="AG34" s="45" t="str">
        <f t="shared" si="27"/>
        <v>...</v>
      </c>
      <c r="AH34" s="12" t="str">
        <f t="shared" si="13"/>
        <v>...</v>
      </c>
      <c r="AI34" s="46" t="str">
        <f t="shared" si="34"/>
        <v>...</v>
      </c>
      <c r="AJ34" s="2"/>
      <c r="AO34" s="2"/>
    </row>
    <row r="35" ht="24.0" customHeight="1">
      <c r="A35" s="4" t="s">
        <v>137</v>
      </c>
      <c r="B35" s="4" t="s">
        <v>110</v>
      </c>
      <c r="C35" s="5" t="str">
        <f>IFERROR(__xludf.DUMMYFUNCTION("if(B35=0,""..."", sparkline(query(GOOGLEFINANCE(""BCBA:""&amp;B35,""price"",today()-$AM$47,today()),""select Col2"",0),{""charttype"",$AM$46}))"),"")</f>
        <v/>
      </c>
      <c r="D35" s="17">
        <v>45898.0</v>
      </c>
      <c r="E35" s="6" t="s">
        <v>24</v>
      </c>
      <c r="F35" s="7"/>
      <c r="G35" s="8">
        <f t="shared" si="1"/>
        <v>219</v>
      </c>
      <c r="H35" s="6">
        <v>6.0</v>
      </c>
      <c r="I35" s="44">
        <v>22875.0</v>
      </c>
      <c r="J35" s="45">
        <f t="shared" si="2"/>
        <v>137250</v>
      </c>
      <c r="K35" s="47">
        <f t="array" ref="K35">IF(B35=0,"...",J35/VLOOKUP(D35,{CCL!M:N;CCL!$P:$Q},2,FALSE))</f>
        <v>101.2713334</v>
      </c>
      <c r="L35" s="45">
        <f t="shared" si="35"/>
        <v>18330</v>
      </c>
      <c r="M35" s="45">
        <f>if(B35=0,"...",L35*(1-VLOOKUP(A35,Config!$B$3:$C$22,2,FALSE)))</f>
        <v>18201.69</v>
      </c>
      <c r="N35" s="45">
        <f t="shared" si="3"/>
        <v>109210.14</v>
      </c>
      <c r="O35" s="12">
        <f>IFERROR(__xludf.DUMMYFUNCTION("if(B35=0,""..."",GOOGLEFINANCE(B35,""changepct"")/100)"),0.0111)</f>
        <v>0.0111</v>
      </c>
      <c r="P35" s="10">
        <f>IFERROR(__xludf.DUMMYFUNCTION("if(B35=0,""..."",GOOGLEFINANCE(B35,""change"")*H35)"),24.54)</f>
        <v>24.54</v>
      </c>
      <c r="Q35" s="12">
        <f t="shared" si="4"/>
        <v>-0.2042977049</v>
      </c>
      <c r="R35" s="47">
        <f t="shared" si="5"/>
        <v>-28039.86</v>
      </c>
      <c r="S35" s="12">
        <f t="shared" si="36"/>
        <v>-0.3700498096</v>
      </c>
      <c r="T35" s="47">
        <f t="array" ref="T35">IF(B35=0,"...",(N35/IF(E35="ABIERTA",CCL!$E$2,VLOOKUP(F35,{CCL!M:N;CCL!$P:$Q},2,FALSE))-K35))</f>
        <v>-27.35333955</v>
      </c>
      <c r="U35" s="2"/>
      <c r="V35" s="10"/>
      <c r="W35" s="10"/>
      <c r="X35" s="59" t="str">
        <f t="shared" si="29"/>
        <v>...</v>
      </c>
      <c r="Y35" s="45"/>
      <c r="Z35" s="12"/>
      <c r="AA35" s="45"/>
      <c r="AB35" s="12" t="str">
        <f t="shared" si="26"/>
        <v/>
      </c>
      <c r="AC35" s="45" t="str">
        <f t="shared" si="31"/>
        <v>...</v>
      </c>
      <c r="AD35" s="45" t="str">
        <f t="shared" si="32"/>
        <v>...</v>
      </c>
      <c r="AE35" s="12" t="str">
        <f t="shared" si="11"/>
        <v>...</v>
      </c>
      <c r="AF35" s="45" t="str">
        <f t="shared" si="33"/>
        <v>...</v>
      </c>
      <c r="AG35" s="45" t="str">
        <f t="shared" si="27"/>
        <v>...</v>
      </c>
      <c r="AH35" s="12" t="str">
        <f t="shared" si="13"/>
        <v>...</v>
      </c>
      <c r="AI35" s="46" t="str">
        <f t="shared" si="34"/>
        <v>...</v>
      </c>
      <c r="AJ35" s="2"/>
      <c r="AK35" s="18" t="s">
        <v>53</v>
      </c>
      <c r="AL35" s="22">
        <f>AL33/(AL31-AL33)</f>
        <v>0.25303491</v>
      </c>
      <c r="AM35" s="18" t="s">
        <v>53</v>
      </c>
      <c r="AN35" s="22">
        <f>AN33/(AN31-AN33)</f>
        <v>0.3583689757</v>
      </c>
      <c r="AO35" s="2"/>
    </row>
    <row r="36" ht="24.0" customHeight="1">
      <c r="A36" s="4" t="s">
        <v>137</v>
      </c>
      <c r="B36" s="4" t="s">
        <v>112</v>
      </c>
      <c r="C36" s="5" t="str">
        <f>IFERROR(__xludf.DUMMYFUNCTION("if(B36=0,""..."", sparkline(query(GOOGLEFINANCE(""BCBA:""&amp;B36,""price"",today()-$AM$47,today()),""select Col2"",0),{""charttype"",$AM$46}))"),"")</f>
        <v/>
      </c>
      <c r="D36" s="17">
        <v>45898.0</v>
      </c>
      <c r="E36" s="6" t="s">
        <v>24</v>
      </c>
      <c r="F36" s="7"/>
      <c r="G36" s="8">
        <f t="shared" si="1"/>
        <v>219</v>
      </c>
      <c r="H36" s="6">
        <v>3.0</v>
      </c>
      <c r="I36" s="44">
        <v>43475.0</v>
      </c>
      <c r="J36" s="45">
        <f t="shared" si="2"/>
        <v>130425</v>
      </c>
      <c r="K36" s="47">
        <f t="array" ref="K36">IF(B36=0,"...",J36/VLOOKUP(D36,{CCL!M:N;CCL!$P:$Q},2,FALSE))</f>
        <v>96.23543648</v>
      </c>
      <c r="L36" s="45">
        <f t="shared" si="35"/>
        <v>48760</v>
      </c>
      <c r="M36" s="45">
        <f>if(B36=0,"...",L36*(1-VLOOKUP(A36,Config!$B$3:$C$22,2,FALSE)))</f>
        <v>48418.68</v>
      </c>
      <c r="N36" s="45">
        <f t="shared" si="3"/>
        <v>145256.04</v>
      </c>
      <c r="O36" s="12">
        <f>IFERROR(__xludf.DUMMYFUNCTION("if(B36=0,""..."",GOOGLEFINANCE(B36,""changepct"")/100)"),9.0E-4)</f>
        <v>0.0009</v>
      </c>
      <c r="P36" s="10">
        <f>IFERROR(__xludf.DUMMYFUNCTION("if(B36=0,""..."",GOOGLEFINANCE(B36,""change"")*H36)"),1.77)</f>
        <v>1.77</v>
      </c>
      <c r="Q36" s="12">
        <f t="shared" si="4"/>
        <v>0.1137131685</v>
      </c>
      <c r="R36" s="47">
        <f t="shared" si="5"/>
        <v>14831.04</v>
      </c>
      <c r="S36" s="12">
        <f t="shared" si="36"/>
        <v>0.02115570802</v>
      </c>
      <c r="T36" s="47">
        <f t="array" ref="T36">IF(B36=0,"...",(N36/IF(E36="ABIERTA",CCL!$E$2,VLOOKUP(F36,{CCL!M:N;CCL!$P:$Q},2,FALSE))-K36))</f>
        <v>2.079931213</v>
      </c>
      <c r="U36" s="2"/>
      <c r="V36" s="10"/>
      <c r="W36" s="10"/>
      <c r="X36" s="59" t="str">
        <f t="shared" si="29"/>
        <v>...</v>
      </c>
      <c r="Y36" s="45" t="str">
        <f>IFERROR(__xludf.DUMMYFUNCTION("IF(W36=0,""..."",GOOGLEFINANCE(""BCBA:""&amp;W36))"),"...")</f>
        <v>...</v>
      </c>
      <c r="Z36" s="12"/>
      <c r="AA36" s="45"/>
      <c r="AB36" s="12" t="str">
        <f t="shared" si="26"/>
        <v/>
      </c>
      <c r="AC36" s="45" t="str">
        <f t="shared" ref="AC36:AC233" si="37">IF(X36=0,"...",IF(W36=0,"...",SUMIFS($J$2:$J$76,$B$2:$B$76,W36,$E$2:$E$76,"ABIERTA")/X36))</f>
        <v>...</v>
      </c>
      <c r="AD36" s="45" t="str">
        <f t="shared" ref="AD36:AD233" si="38">IF(W36=0,"...",SUMIFS($N$2:$N$76,$B$2:$B$76,W36,$E$2:$E$76,"ABIERTA"))</f>
        <v>...</v>
      </c>
      <c r="AE36" s="12" t="str">
        <f t="shared" si="11"/>
        <v>...</v>
      </c>
      <c r="AF36" s="45" t="str">
        <f t="shared" ref="AF36:AF233" si="39">IF(X36=0,"...",IF(W36=0,"...",SUMIFS($R$2:$R$76,$B$2:$B$76,W36,$E$2:$E$76,"ABIERTA")))</f>
        <v>...</v>
      </c>
      <c r="AG36" s="45" t="str">
        <f t="shared" si="27"/>
        <v>...</v>
      </c>
      <c r="AH36" s="12" t="str">
        <f t="shared" si="13"/>
        <v>...</v>
      </c>
      <c r="AI36" s="46" t="str">
        <f t="shared" ref="AI36:AI233" si="40">IF(X36=0,"...",IF(W36=0,"...",SUMIFS($T$2:$T$76,$B$2:$B$76,W36,$E$2:$E$76,"ABIERTA")))</f>
        <v>...</v>
      </c>
      <c r="AJ36" s="2"/>
      <c r="AO36" s="2"/>
    </row>
    <row r="37" ht="24.0" customHeight="1">
      <c r="A37" s="4" t="s">
        <v>137</v>
      </c>
      <c r="B37" s="4" t="s">
        <v>112</v>
      </c>
      <c r="C37" s="5" t="str">
        <f>IFERROR(__xludf.DUMMYFUNCTION("if(B37=0,""..."", sparkline(query(GOOGLEFINANCE(""BCBA:""&amp;B37,""price"",today()-$AM$47,today()),""select Col2"",0),{""charttype"",$AM$46}))"),"")</f>
        <v/>
      </c>
      <c r="D37" s="17">
        <v>45932.0</v>
      </c>
      <c r="E37" s="6" t="s">
        <v>24</v>
      </c>
      <c r="F37" s="7"/>
      <c r="G37" s="8">
        <f t="shared" si="1"/>
        <v>185</v>
      </c>
      <c r="H37" s="6">
        <v>3.0</v>
      </c>
      <c r="I37" s="44">
        <v>52350.0</v>
      </c>
      <c r="J37" s="45">
        <f t="shared" si="2"/>
        <v>157050</v>
      </c>
      <c r="K37" s="47">
        <f t="array" ref="K37">IF(B37=0,"...",J37/VLOOKUP(D37,{CCL!M:N;CCL!$P:$Q},2,FALSE))</f>
        <v>101.4266247</v>
      </c>
      <c r="L37" s="45">
        <f t="shared" si="35"/>
        <v>48760</v>
      </c>
      <c r="M37" s="45">
        <f>if(B37=0,"...",L37*(1-VLOOKUP(A37,Config!$B$3:$C$22,2,FALSE)))</f>
        <v>48418.68</v>
      </c>
      <c r="N37" s="45">
        <f t="shared" si="3"/>
        <v>145256.04</v>
      </c>
      <c r="O37" s="12">
        <f>IFERROR(__xludf.DUMMYFUNCTION("if(B37=0,""..."",GOOGLEFINANCE(B37,""changepct"")/100)"),9.0E-4)</f>
        <v>0.0009</v>
      </c>
      <c r="P37" s="10">
        <f>IFERROR(__xludf.DUMMYFUNCTION("if(B37=0,""..."",GOOGLEFINANCE(B37,""change"")*H37)"),1.77)</f>
        <v>1.77</v>
      </c>
      <c r="Q37" s="12">
        <f t="shared" si="4"/>
        <v>-0.07509684814</v>
      </c>
      <c r="R37" s="47">
        <f t="shared" si="5"/>
        <v>-11793.96</v>
      </c>
      <c r="S37" s="12">
        <f t="shared" si="36"/>
        <v>-0.03164568378</v>
      </c>
      <c r="T37" s="47">
        <f t="array" ref="T37">IF(B37=0,"...",(N37/IF(E37="ABIERTA",CCL!$E$2,VLOOKUP(F37,{CCL!M:N;CCL!$P:$Q},2,FALSE))-K37))</f>
        <v>-3.111257037</v>
      </c>
      <c r="U37" s="2"/>
      <c r="V37" s="10"/>
      <c r="W37" s="10"/>
      <c r="X37" s="59" t="str">
        <f t="shared" si="29"/>
        <v>...</v>
      </c>
      <c r="Y37" s="45" t="str">
        <f>IFERROR(__xludf.DUMMYFUNCTION("IF(W37=0,""..."",GOOGLEFINANCE(""BCBA:""&amp;W37))"),"...")</f>
        <v>...</v>
      </c>
      <c r="Z37" s="12"/>
      <c r="AA37" s="45"/>
      <c r="AB37" s="12" t="str">
        <f t="shared" si="26"/>
        <v/>
      </c>
      <c r="AC37" s="45" t="str">
        <f t="shared" si="37"/>
        <v>...</v>
      </c>
      <c r="AD37" s="45" t="str">
        <f t="shared" si="38"/>
        <v>...</v>
      </c>
      <c r="AE37" s="12" t="str">
        <f t="shared" si="11"/>
        <v>...</v>
      </c>
      <c r="AF37" s="45" t="str">
        <f t="shared" si="39"/>
        <v>...</v>
      </c>
      <c r="AG37" s="45" t="str">
        <f t="shared" si="27"/>
        <v>...</v>
      </c>
      <c r="AH37" s="12" t="str">
        <f t="shared" si="13"/>
        <v>...</v>
      </c>
      <c r="AI37" s="46" t="str">
        <f t="shared" si="40"/>
        <v>...</v>
      </c>
      <c r="AJ37" s="2"/>
      <c r="AK37" s="2"/>
      <c r="AL37" s="2"/>
      <c r="AM37" s="2"/>
      <c r="AN37" s="2"/>
      <c r="AO37" s="2"/>
    </row>
    <row r="38" ht="24.0" customHeight="1">
      <c r="A38" s="4" t="s">
        <v>137</v>
      </c>
      <c r="B38" s="4" t="s">
        <v>120</v>
      </c>
      <c r="C38" s="5" t="str">
        <f>IFERROR(__xludf.DUMMYFUNCTION("if(B38=0,""..."", sparkline(query(GOOGLEFINANCE(""BCBA:""&amp;B38,""price"",today()-$AM$47,today()),""select Col2"",0),{""charttype"",$AM$46}))"),"")</f>
        <v/>
      </c>
      <c r="D38" s="17">
        <v>45932.0</v>
      </c>
      <c r="E38" s="6" t="s">
        <v>24</v>
      </c>
      <c r="F38" s="7"/>
      <c r="G38" s="8">
        <f t="shared" si="1"/>
        <v>185</v>
      </c>
      <c r="H38" s="6">
        <v>2.0</v>
      </c>
      <c r="I38" s="44">
        <v>28780.0</v>
      </c>
      <c r="J38" s="45">
        <f t="shared" si="2"/>
        <v>57560</v>
      </c>
      <c r="K38" s="47">
        <f t="array" ref="K38">IF(B38=0,"...",J38/VLOOKUP(D38,{CCL!M:N;CCL!$P:$Q},2,FALSE))</f>
        <v>37.17361681</v>
      </c>
      <c r="L38" s="45">
        <f t="shared" si="35"/>
        <v>21350</v>
      </c>
      <c r="M38" s="45">
        <f>if(B38=0,"...",L38*(1-VLOOKUP(A38,Config!$B$3:$C$22,2,FALSE)))</f>
        <v>21200.55</v>
      </c>
      <c r="N38" s="45">
        <f t="shared" si="3"/>
        <v>42401.1</v>
      </c>
      <c r="O38" s="12">
        <f>IFERROR(__xludf.DUMMYFUNCTION("if(B38=0,""..."",GOOGLEFINANCE(B38,""changepct"")/100)"),-0.002)</f>
        <v>-0.002</v>
      </c>
      <c r="P38" s="10">
        <f>IFERROR(__xludf.DUMMYFUNCTION("if(B38=0,""..."",GOOGLEFINANCE(B38,""change"")*H38)"),-6.9)</f>
        <v>-6.9</v>
      </c>
      <c r="Q38" s="12">
        <f t="shared" si="4"/>
        <v>-0.2633582349</v>
      </c>
      <c r="R38" s="47">
        <f t="shared" si="5"/>
        <v>-15158.9</v>
      </c>
      <c r="S38" s="12">
        <f t="shared" si="36"/>
        <v>-0.2953003613</v>
      </c>
      <c r="T38" s="47">
        <f t="array" ref="T38">IF(B38=0,"...",(N38/IF(E38="ABIERTA",CCL!$E$2,VLOOKUP(F38,{CCL!M:N;CCL!$P:$Q},2,FALSE))-K38))</f>
        <v>-8.474777591</v>
      </c>
      <c r="U38" s="2"/>
      <c r="V38" s="10"/>
      <c r="W38" s="10"/>
      <c r="X38" s="59" t="str">
        <f t="shared" si="29"/>
        <v>...</v>
      </c>
      <c r="Y38" s="45" t="str">
        <f>IFERROR(__xludf.DUMMYFUNCTION("IF(W38=0,""..."",GOOGLEFINANCE(""BCBA:""&amp;W38))"),"...")</f>
        <v>...</v>
      </c>
      <c r="Z38" s="12"/>
      <c r="AA38" s="45"/>
      <c r="AB38" s="12" t="str">
        <f t="shared" si="26"/>
        <v/>
      </c>
      <c r="AC38" s="45" t="str">
        <f t="shared" si="37"/>
        <v>...</v>
      </c>
      <c r="AD38" s="45" t="str">
        <f t="shared" si="38"/>
        <v>...</v>
      </c>
      <c r="AE38" s="12" t="str">
        <f t="shared" si="11"/>
        <v>...</v>
      </c>
      <c r="AF38" s="45" t="str">
        <f t="shared" si="39"/>
        <v>...</v>
      </c>
      <c r="AG38" s="45" t="str">
        <f t="shared" si="27"/>
        <v>...</v>
      </c>
      <c r="AH38" s="12" t="str">
        <f t="shared" si="13"/>
        <v>...</v>
      </c>
      <c r="AI38" s="46" t="str">
        <f t="shared" si="40"/>
        <v>...</v>
      </c>
      <c r="AJ38" s="2"/>
      <c r="AK38" s="18" t="s">
        <v>126</v>
      </c>
      <c r="AL38" s="19" t="str">
        <f>AL31/VLOOKUP(TODAY(),CCL!$A$12:$B234,2,FALSE)</f>
        <v>#N/A</v>
      </c>
      <c r="AM38" s="18" t="s">
        <v>143</v>
      </c>
      <c r="AN38" s="19">
        <f>SUM(AG2:AG234)</f>
        <v>4264.861679</v>
      </c>
      <c r="AO38" s="2"/>
    </row>
    <row r="39" ht="24.0" customHeight="1">
      <c r="A39" s="4" t="s">
        <v>137</v>
      </c>
      <c r="B39" s="4" t="s">
        <v>110</v>
      </c>
      <c r="C39" s="5" t="str">
        <f>IFERROR(__xludf.DUMMYFUNCTION("if(B39=0,""..."", sparkline(query(GOOGLEFINANCE(""BCBA:""&amp;B39,""price"",today()-$AM$47,today()),""select Col2"",0),{""charttype"",$AM$46}))"),"")</f>
        <v/>
      </c>
      <c r="D39" s="17">
        <v>45936.0</v>
      </c>
      <c r="E39" s="6" t="s">
        <v>24</v>
      </c>
      <c r="F39" s="7"/>
      <c r="G39" s="8">
        <f t="shared" si="1"/>
        <v>181</v>
      </c>
      <c r="H39" s="6">
        <v>9.0</v>
      </c>
      <c r="I39" s="44">
        <v>26780.0</v>
      </c>
      <c r="J39" s="45">
        <f t="shared" si="2"/>
        <v>241020</v>
      </c>
      <c r="K39" s="47">
        <f t="array" ref="K39">IF(B39=0,"...",J39/VLOOKUP(D39,{CCL!M:N;CCL!$P:$Q},2,FALSE))</f>
        <v>158.9170799</v>
      </c>
      <c r="L39" s="45">
        <f t="shared" si="35"/>
        <v>18330</v>
      </c>
      <c r="M39" s="45">
        <f>if(B39=0,"...",L39*(1-VLOOKUP(A39,Config!$B$3:$C$22,2,FALSE)))</f>
        <v>18201.69</v>
      </c>
      <c r="N39" s="45">
        <f t="shared" si="3"/>
        <v>163815.21</v>
      </c>
      <c r="O39" s="12">
        <f>IFERROR(__xludf.DUMMYFUNCTION("if(B39=0,""..."",GOOGLEFINANCE(B39,""changepct"")/100)"),0.0111)</f>
        <v>0.0111</v>
      </c>
      <c r="P39" s="10">
        <f>IFERROR(__xludf.DUMMYFUNCTION("if(B39=0,""..."",GOOGLEFINANCE(B39,""change"")*H39)"),36.81)</f>
        <v>36.81</v>
      </c>
      <c r="Q39" s="12">
        <f t="shared" si="4"/>
        <v>-0.3203252427</v>
      </c>
      <c r="R39" s="47">
        <f t="shared" si="5"/>
        <v>-77204.79</v>
      </c>
      <c r="S39" s="12">
        <f t="shared" si="36"/>
        <v>-0.4332737457</v>
      </c>
      <c r="T39" s="47">
        <f t="array" ref="T39">IF(B39=0,"...",(N39/IF(E39="ABIERTA",CCL!$E$2,VLOOKUP(F39,{CCL!M:N;CCL!$P:$Q},2,FALSE))-K39))</f>
        <v>-48.0400891</v>
      </c>
      <c r="U39" s="2"/>
      <c r="V39" s="10"/>
      <c r="W39" s="10"/>
      <c r="X39" s="59" t="str">
        <f t="shared" si="29"/>
        <v>...</v>
      </c>
      <c r="Y39" s="45" t="str">
        <f>IFERROR(__xludf.DUMMYFUNCTION("IF(W39=0,""..."",GOOGLEFINANCE(""BCBA:""&amp;W39))"),"...")</f>
        <v>...</v>
      </c>
      <c r="Z39" s="12"/>
      <c r="AA39" s="45"/>
      <c r="AB39" s="12" t="str">
        <f t="shared" si="26"/>
        <v/>
      </c>
      <c r="AC39" s="45" t="str">
        <f t="shared" si="37"/>
        <v>...</v>
      </c>
      <c r="AD39" s="45" t="str">
        <f t="shared" si="38"/>
        <v>...</v>
      </c>
      <c r="AE39" s="12" t="str">
        <f t="shared" si="11"/>
        <v>...</v>
      </c>
      <c r="AF39" s="45" t="str">
        <f t="shared" si="39"/>
        <v>...</v>
      </c>
      <c r="AG39" s="45" t="str">
        <f t="shared" si="27"/>
        <v>...</v>
      </c>
      <c r="AH39" s="12" t="str">
        <f t="shared" si="13"/>
        <v>...</v>
      </c>
      <c r="AI39" s="46" t="str">
        <f t="shared" si="40"/>
        <v>...</v>
      </c>
      <c r="AJ39" s="2"/>
      <c r="AO39" s="2"/>
    </row>
    <row r="40" ht="24.0" customHeight="1">
      <c r="A40" s="4" t="s">
        <v>137</v>
      </c>
      <c r="B40" s="4" t="s">
        <v>120</v>
      </c>
      <c r="C40" s="5" t="str">
        <f>IFERROR(__xludf.DUMMYFUNCTION("if(B40=0,""..."", sparkline(query(GOOGLEFINANCE(""BCBA:""&amp;B40,""price"",today()-$AM$47,today()),""select Col2"",0),{""charttype"",$AM$46}))"),"")</f>
        <v/>
      </c>
      <c r="D40" s="17">
        <v>45951.0</v>
      </c>
      <c r="E40" s="6" t="s">
        <v>24</v>
      </c>
      <c r="F40" s="7"/>
      <c r="G40" s="8">
        <f t="shared" si="1"/>
        <v>166</v>
      </c>
      <c r="H40" s="6">
        <v>11.0</v>
      </c>
      <c r="I40" s="44">
        <v>27620.0</v>
      </c>
      <c r="J40" s="45">
        <f t="shared" si="2"/>
        <v>303820</v>
      </c>
      <c r="K40" s="47">
        <f t="array" ref="K40">IF(B40=0,"...",J40/VLOOKUP(D40,{CCL!M:N;CCL!$P:$Q},2,FALSE))</f>
        <v>188.9792186</v>
      </c>
      <c r="L40" s="45">
        <f t="shared" si="35"/>
        <v>21350</v>
      </c>
      <c r="M40" s="45">
        <f>if(B40=0,"...",L40*(1-VLOOKUP(A40,Config!$B$3:$C$22,2,FALSE)))</f>
        <v>21200.55</v>
      </c>
      <c r="N40" s="45">
        <f t="shared" si="3"/>
        <v>233206.05</v>
      </c>
      <c r="O40" s="12">
        <f>IFERROR(__xludf.DUMMYFUNCTION("if(B40=0,""..."",GOOGLEFINANCE(B40,""changepct"")/100)"),-0.002)</f>
        <v>-0.002</v>
      </c>
      <c r="P40" s="10">
        <f>IFERROR(__xludf.DUMMYFUNCTION("if(B40=0,""..."",GOOGLEFINANCE(B40,""change"")*H40)"),-37.95)</f>
        <v>-37.95</v>
      </c>
      <c r="Q40" s="12">
        <f t="shared" si="4"/>
        <v>-0.2324203476</v>
      </c>
      <c r="R40" s="47">
        <f t="shared" si="5"/>
        <v>-70613.95</v>
      </c>
      <c r="S40" s="12">
        <f t="shared" si="36"/>
        <v>-0.197256017</v>
      </c>
      <c r="T40" s="47">
        <f t="array" ref="T40">IF(B40=0,"...",(N40/IF(E40="ABIERTA",CCL!$E$2,VLOOKUP(F40,{CCL!M:N;CCL!$P:$Q},2,FALSE))-K40))</f>
        <v>-31.13560294</v>
      </c>
      <c r="U40" s="2"/>
      <c r="V40" s="10"/>
      <c r="W40" s="10"/>
      <c r="X40" s="59" t="str">
        <f t="shared" si="29"/>
        <v>...</v>
      </c>
      <c r="Y40" s="45" t="str">
        <f>IFERROR(__xludf.DUMMYFUNCTION("IF(W40=0,""..."",GOOGLEFINANCE(""BCBA:""&amp;W40))"),"...")</f>
        <v>...</v>
      </c>
      <c r="Z40" s="12"/>
      <c r="AA40" s="45"/>
      <c r="AB40" s="12" t="str">
        <f t="shared" si="26"/>
        <v/>
      </c>
      <c r="AC40" s="45" t="str">
        <f t="shared" si="37"/>
        <v>...</v>
      </c>
      <c r="AD40" s="45" t="str">
        <f t="shared" si="38"/>
        <v>...</v>
      </c>
      <c r="AE40" s="12" t="str">
        <f t="shared" si="11"/>
        <v>...</v>
      </c>
      <c r="AF40" s="45" t="str">
        <f t="shared" si="39"/>
        <v>...</v>
      </c>
      <c r="AG40" s="45" t="str">
        <f t="shared" si="27"/>
        <v>...</v>
      </c>
      <c r="AH40" s="12" t="str">
        <f t="shared" si="13"/>
        <v>...</v>
      </c>
      <c r="AI40" s="46" t="str">
        <f t="shared" si="40"/>
        <v>...</v>
      </c>
      <c r="AJ40" s="2"/>
      <c r="AK40" s="18" t="s">
        <v>128</v>
      </c>
      <c r="AL40" s="19">
        <f>sumifs(T2:T234,E2:E234,"ABIERTA")</f>
        <v>286.1867597</v>
      </c>
      <c r="AM40" s="18" t="s">
        <v>129</v>
      </c>
      <c r="AN40" s="19">
        <f>SUM(AI2:AI234)</f>
        <v>390.3905784</v>
      </c>
      <c r="AO40" s="2"/>
    </row>
    <row r="41" ht="24.0" customHeight="1">
      <c r="A41" s="4" t="s">
        <v>137</v>
      </c>
      <c r="B41" s="4" t="s">
        <v>124</v>
      </c>
      <c r="C41" s="5" t="str">
        <f>IFERROR(__xludf.DUMMYFUNCTION("if(B41=0,""..."", sparkline(query(GOOGLEFINANCE(""BCBA:""&amp;B41,""price"",today()-$AM$47,today()),""select Col2"",0),{""charttype"",$AM$46}))"),"")</f>
        <v/>
      </c>
      <c r="D41" s="17">
        <v>45960.0</v>
      </c>
      <c r="E41" s="6" t="s">
        <v>22</v>
      </c>
      <c r="F41" s="17">
        <v>46059.0</v>
      </c>
      <c r="G41" s="8">
        <f t="shared" si="1"/>
        <v>99</v>
      </c>
      <c r="H41" s="6">
        <v>11.0</v>
      </c>
      <c r="I41" s="44">
        <v>7030.0</v>
      </c>
      <c r="J41" s="45">
        <f t="shared" si="2"/>
        <v>77330</v>
      </c>
      <c r="K41" s="47">
        <f t="array" ref="K41">IF(B41=0,"...",J41/VLOOKUP(D41,{CCL!M:N;CCL!$P:$Q},2,FALSE))</f>
        <v>51.86417261</v>
      </c>
      <c r="L41" s="46">
        <v>6016.86</v>
      </c>
      <c r="M41" s="45">
        <f>if(B41=0,"...",L41*(1-VLOOKUP(A41,Config!$B$3:$C$22,2,FALSE)))</f>
        <v>5974.74198</v>
      </c>
      <c r="N41" s="45">
        <f t="shared" si="3"/>
        <v>65722.16178</v>
      </c>
      <c r="O41" s="12">
        <f>IFERROR(__xludf.DUMMYFUNCTION("if(B41=0,""..."",GOOGLEFINANCE(B41,""changepct"")/100)"),-0.0070999999999999995)</f>
        <v>-0.0071</v>
      </c>
      <c r="P41" s="10">
        <f>IFERROR(__xludf.DUMMYFUNCTION("if(B41=0,""..."",GOOGLEFINANCE(B41,""change"")*H41)"),-26.73)</f>
        <v>-26.73</v>
      </c>
      <c r="Q41" s="12">
        <f t="shared" si="4"/>
        <v>-0.1501078265</v>
      </c>
      <c r="R41" s="47">
        <f t="shared" si="5"/>
        <v>-11607.83822</v>
      </c>
      <c r="S41" s="12">
        <f t="shared" si="36"/>
        <v>-0.174244528</v>
      </c>
      <c r="T41" s="47">
        <f>IF(B41=0,"...",(N41/IF(E41="ABIERTA",CCL!$E$2,1488)-K41))</f>
        <v>-7.696053132</v>
      </c>
      <c r="U41" s="2"/>
      <c r="V41" s="10"/>
      <c r="W41" s="10"/>
      <c r="X41" s="59" t="str">
        <f t="shared" si="29"/>
        <v>...</v>
      </c>
      <c r="Y41" s="45" t="str">
        <f>IFERROR(__xludf.DUMMYFUNCTION("IF(W41=0,""..."",GOOGLEFINANCE(""BCBA:""&amp;W41))"),"...")</f>
        <v>...</v>
      </c>
      <c r="Z41" s="12"/>
      <c r="AA41" s="45"/>
      <c r="AB41" s="12" t="str">
        <f t="shared" si="26"/>
        <v/>
      </c>
      <c r="AC41" s="45" t="str">
        <f t="shared" si="37"/>
        <v>...</v>
      </c>
      <c r="AD41" s="45" t="str">
        <f t="shared" si="38"/>
        <v>...</v>
      </c>
      <c r="AE41" s="12" t="str">
        <f t="shared" si="11"/>
        <v>...</v>
      </c>
      <c r="AF41" s="45" t="str">
        <f t="shared" si="39"/>
        <v>...</v>
      </c>
      <c r="AG41" s="45" t="str">
        <f t="shared" si="27"/>
        <v>...</v>
      </c>
      <c r="AH41" s="12" t="str">
        <f t="shared" si="13"/>
        <v>...</v>
      </c>
      <c r="AI41" s="46" t="str">
        <f t="shared" si="40"/>
        <v>...</v>
      </c>
      <c r="AJ41" s="2"/>
      <c r="AO41" s="2"/>
    </row>
    <row r="42" ht="24.0" customHeight="1">
      <c r="A42" s="4" t="s">
        <v>137</v>
      </c>
      <c r="B42" s="4" t="s">
        <v>112</v>
      </c>
      <c r="C42" s="5" t="str">
        <f>IFERROR(__xludf.DUMMYFUNCTION("if(B42=0,""..."", sparkline(query(GOOGLEFINANCE(""BCBA:""&amp;B42,""price"",today()-$AM$47,today()),""select Col2"",0),{""charttype"",$AM$46}))"),"")</f>
        <v/>
      </c>
      <c r="D42" s="17">
        <v>45960.0</v>
      </c>
      <c r="E42" s="6" t="s">
        <v>24</v>
      </c>
      <c r="F42" s="7"/>
      <c r="G42" s="8">
        <f t="shared" si="1"/>
        <v>157</v>
      </c>
      <c r="H42" s="6">
        <v>1.0</v>
      </c>
      <c r="I42" s="44">
        <v>51075.0</v>
      </c>
      <c r="J42" s="45">
        <f t="shared" si="2"/>
        <v>51075</v>
      </c>
      <c r="K42" s="47">
        <f t="array" ref="K42">IF(B42=0,"...",J42/VLOOKUP(D42,{CCL!M:N;CCL!$P:$Q},2,FALSE))</f>
        <v>34.25530345</v>
      </c>
      <c r="L42" s="45">
        <f t="shared" ref="L42:L233" si="41">IF(B42=0,"...",IF(E42="CERRADA","Valor Venta", VLOOKUP(B42,$W$2:$Y$57,3,0)))</f>
        <v>48760</v>
      </c>
      <c r="M42" s="45">
        <f>if(B42=0,"...",L42*(1-VLOOKUP(A42,Config!$B$3:$C$22,2,FALSE)))</f>
        <v>48418.68</v>
      </c>
      <c r="N42" s="45">
        <f t="shared" si="3"/>
        <v>48418.68</v>
      </c>
      <c r="O42" s="12">
        <f>IFERROR(__xludf.DUMMYFUNCTION("if(B42=0,""..."",GOOGLEFINANCE(B42,""changepct"")/100)"),9.0E-4)</f>
        <v>0.0009</v>
      </c>
      <c r="P42" s="10">
        <f>IFERROR(__xludf.DUMMYFUNCTION("if(B42=0,""..."",GOOGLEFINANCE(B42,""change"")*H42)"),0.59)</f>
        <v>0.59</v>
      </c>
      <c r="Q42" s="12">
        <f t="shared" si="4"/>
        <v>-0.0520082232</v>
      </c>
      <c r="R42" s="47">
        <f t="shared" si="5"/>
        <v>-2656.32</v>
      </c>
      <c r="S42" s="12">
        <f t="shared" si="36"/>
        <v>-0.04526802641</v>
      </c>
      <c r="T42" s="47">
        <f t="array" ref="T42">IF(B42=0,"...",(N42/IF(E42="ABIERTA",CCL!$E$2,VLOOKUP(F42,{CCL!M:N;CCL!$P:$Q},2,FALSE))-K42))</f>
        <v>-1.483514221</v>
      </c>
      <c r="U42" s="2"/>
      <c r="V42" s="10"/>
      <c r="W42" s="10"/>
      <c r="X42" s="59" t="str">
        <f t="shared" si="29"/>
        <v>...</v>
      </c>
      <c r="Y42" s="45" t="str">
        <f>IFERROR(__xludf.DUMMYFUNCTION("IF(W42=0,""..."",GOOGLEFINANCE(""BCBA:""&amp;W42))"),"...")</f>
        <v>...</v>
      </c>
      <c r="Z42" s="12"/>
      <c r="AA42" s="45"/>
      <c r="AB42" s="12" t="str">
        <f t="shared" si="26"/>
        <v/>
      </c>
      <c r="AC42" s="45" t="str">
        <f t="shared" si="37"/>
        <v>...</v>
      </c>
      <c r="AD42" s="45" t="str">
        <f t="shared" si="38"/>
        <v>...</v>
      </c>
      <c r="AE42" s="12" t="str">
        <f t="shared" si="11"/>
        <v>...</v>
      </c>
      <c r="AF42" s="45" t="str">
        <f t="shared" si="39"/>
        <v>...</v>
      </c>
      <c r="AG42" s="45" t="str">
        <f t="shared" si="27"/>
        <v>...</v>
      </c>
      <c r="AH42" s="12" t="str">
        <f t="shared" si="13"/>
        <v>...</v>
      </c>
      <c r="AI42" s="46" t="str">
        <f t="shared" si="40"/>
        <v>...</v>
      </c>
      <c r="AJ42" s="2"/>
      <c r="AK42" s="18" t="s">
        <v>132</v>
      </c>
      <c r="AL42" s="22" t="str">
        <f>AL40/(AL38-AL40)</f>
        <v>#N/A</v>
      </c>
      <c r="AM42" s="18" t="s">
        <v>132</v>
      </c>
      <c r="AN42" s="22">
        <f>AN40/(AN38-AN40)</f>
        <v>0.1007597084</v>
      </c>
      <c r="AO42" s="2"/>
    </row>
    <row r="43" ht="24.0" customHeight="1">
      <c r="A43" s="4" t="s">
        <v>137</v>
      </c>
      <c r="B43" s="4" t="s">
        <v>122</v>
      </c>
      <c r="C43" s="5" t="str">
        <f>IFERROR(__xludf.DUMMYFUNCTION("if(B43=0,""..."", sparkline(query(GOOGLEFINANCE(""BCBA:""&amp;B43,""price"",today()-$AM$47,today()),""select Col2"",0),{""charttype"",$AM$46}))"),"")</f>
        <v/>
      </c>
      <c r="D43" s="17">
        <v>45960.0</v>
      </c>
      <c r="E43" s="6" t="s">
        <v>24</v>
      </c>
      <c r="F43" s="7"/>
      <c r="G43" s="8">
        <f t="shared" si="1"/>
        <v>157</v>
      </c>
      <c r="H43" s="6">
        <v>10.0</v>
      </c>
      <c r="I43" s="44">
        <v>10870.0</v>
      </c>
      <c r="J43" s="45">
        <f t="shared" si="2"/>
        <v>108700</v>
      </c>
      <c r="K43" s="47">
        <f t="array" ref="K43">IF(B43=0,"...",J43/VLOOKUP(D43,{CCL!M:N;CCL!$P:$Q},2,FALSE))</f>
        <v>72.90360226</v>
      </c>
      <c r="L43" s="45">
        <f t="shared" si="41"/>
        <v>11100</v>
      </c>
      <c r="M43" s="45">
        <f>if(B43=0,"...",L43*(1-VLOOKUP(A43,Config!$B$3:$C$22,2,FALSE)))</f>
        <v>11022.3</v>
      </c>
      <c r="N43" s="45">
        <f t="shared" si="3"/>
        <v>110223</v>
      </c>
      <c r="O43" s="12">
        <f>IFERROR(__xludf.DUMMYFUNCTION("if(B43=0,""..."",GOOGLEFINANCE(B43,""changepct"")/100)"),-0.0192)</f>
        <v>-0.0192</v>
      </c>
      <c r="P43" s="10">
        <f>IFERROR(__xludf.DUMMYFUNCTION("if(B43=0,""..."",GOOGLEFINANCE(B43,""change"")*H43)"),-84.1)</f>
        <v>-84.1</v>
      </c>
      <c r="Q43" s="12">
        <f t="shared" si="4"/>
        <v>0.01401103956</v>
      </c>
      <c r="R43" s="47">
        <f t="shared" si="5"/>
        <v>1523</v>
      </c>
      <c r="S43" s="12">
        <f t="shared" si="36"/>
        <v>0.02278628641</v>
      </c>
      <c r="T43" s="47">
        <f t="array" ref="T43">IF(B43=0,"...",(N43/IF(E43="ABIERTA",CCL!$E$2,VLOOKUP(F43,{CCL!M:N;CCL!$P:$Q},2,FALSE))-K43))</f>
        <v>1.699937627</v>
      </c>
      <c r="U43" s="2"/>
      <c r="V43" s="10"/>
      <c r="W43" s="10"/>
      <c r="X43" s="59" t="str">
        <f t="shared" si="29"/>
        <v>...</v>
      </c>
      <c r="Y43" s="45" t="str">
        <f>IFERROR(__xludf.DUMMYFUNCTION("IF(W43=0,""..."",GOOGLEFINANCE(""BCBA:""&amp;W43))"),"...")</f>
        <v>...</v>
      </c>
      <c r="Z43" s="12"/>
      <c r="AA43" s="45"/>
      <c r="AB43" s="12" t="str">
        <f t="shared" si="26"/>
        <v/>
      </c>
      <c r="AC43" s="45" t="str">
        <f t="shared" si="37"/>
        <v>...</v>
      </c>
      <c r="AD43" s="45" t="str">
        <f t="shared" si="38"/>
        <v>...</v>
      </c>
      <c r="AE43" s="12" t="str">
        <f t="shared" si="11"/>
        <v>...</v>
      </c>
      <c r="AF43" s="45" t="str">
        <f t="shared" si="39"/>
        <v>...</v>
      </c>
      <c r="AG43" s="45" t="str">
        <f t="shared" si="27"/>
        <v>...</v>
      </c>
      <c r="AH43" s="12" t="str">
        <f t="shared" si="13"/>
        <v>...</v>
      </c>
      <c r="AI43" s="46" t="str">
        <f t="shared" si="40"/>
        <v>...</v>
      </c>
      <c r="AJ43" s="2"/>
      <c r="AO43" s="2"/>
    </row>
    <row r="44" ht="24.0" customHeight="1">
      <c r="A44" s="4" t="s">
        <v>137</v>
      </c>
      <c r="B44" s="4" t="s">
        <v>123</v>
      </c>
      <c r="C44" s="5" t="str">
        <f>IFERROR(__xludf.DUMMYFUNCTION("if(B44=0,""..."", sparkline(query(GOOGLEFINANCE(""BCBA:""&amp;B44,""price"",today()-$AM$47,today()),""select Col2"",0),{""charttype"",$AM$46}))"),"")</f>
        <v/>
      </c>
      <c r="D44" s="17">
        <v>45960.0</v>
      </c>
      <c r="E44" s="6" t="s">
        <v>24</v>
      </c>
      <c r="F44" s="7"/>
      <c r="G44" s="8">
        <f t="shared" si="1"/>
        <v>157</v>
      </c>
      <c r="H44" s="6">
        <v>5.0</v>
      </c>
      <c r="I44" s="44">
        <v>20280.0</v>
      </c>
      <c r="J44" s="45">
        <f t="shared" si="2"/>
        <v>101400</v>
      </c>
      <c r="K44" s="47">
        <f t="array" ref="K44">IF(B44=0,"...",J44/VLOOKUP(D44,{CCL!M:N;CCL!$P:$Q},2,FALSE))</f>
        <v>68.00759217</v>
      </c>
      <c r="L44" s="45">
        <f t="shared" si="41"/>
        <v>2266.99928</v>
      </c>
      <c r="M44" s="45">
        <f>if(B44=0,"...",L44*(1-VLOOKUP(A44,Config!$B$3:$C$22,2,FALSE)))</f>
        <v>2251.130285</v>
      </c>
      <c r="N44" s="45">
        <f t="shared" si="3"/>
        <v>11255.65143</v>
      </c>
      <c r="O44" s="12">
        <f>IFERROR(__xludf.DUMMYFUNCTION("if(B44=0,""..."",GOOGLEFINANCE(B44,""changepct"")/100)"),0.0084)</f>
        <v>0.0084</v>
      </c>
      <c r="P44" s="10">
        <f>IFERROR(__xludf.DUMMYFUNCTION("if(B44=0,""..."",GOOGLEFINANCE(B44,""change"")*H44)"),3.2)</f>
        <v>3.2</v>
      </c>
      <c r="Q44" s="12">
        <f t="shared" si="4"/>
        <v>-0.8889975205</v>
      </c>
      <c r="R44" s="47">
        <f t="shared" si="5"/>
        <v>-90144.34857</v>
      </c>
      <c r="S44" s="12">
        <f t="shared" si="36"/>
        <v>-7.926877109</v>
      </c>
      <c r="T44" s="47">
        <f t="array" ref="T44">IF(B44=0,"...",(N44/IF(E44="ABIERTA",CCL!$E$2,VLOOKUP(F44,{CCL!M:N;CCL!$P:$Q},2,FALSE))-K44))</f>
        <v>-60.38929617</v>
      </c>
      <c r="U44" s="2"/>
      <c r="V44" s="10"/>
      <c r="W44" s="10"/>
      <c r="X44" s="59" t="str">
        <f t="shared" si="29"/>
        <v>...</v>
      </c>
      <c r="Y44" s="45" t="str">
        <f>IFERROR(__xludf.DUMMYFUNCTION("IF(W44=0,""..."",GOOGLEFINANCE(""BCBA:""&amp;W44))"),"...")</f>
        <v>...</v>
      </c>
      <c r="Z44" s="12"/>
      <c r="AA44" s="45"/>
      <c r="AB44" s="12" t="str">
        <f t="shared" si="26"/>
        <v/>
      </c>
      <c r="AC44" s="45" t="str">
        <f t="shared" si="37"/>
        <v>...</v>
      </c>
      <c r="AD44" s="45" t="str">
        <f t="shared" si="38"/>
        <v>...</v>
      </c>
      <c r="AE44" s="12" t="str">
        <f t="shared" si="11"/>
        <v>...</v>
      </c>
      <c r="AF44" s="45" t="str">
        <f t="shared" si="39"/>
        <v>...</v>
      </c>
      <c r="AG44" s="45" t="str">
        <f t="shared" si="27"/>
        <v>...</v>
      </c>
      <c r="AH44" s="12" t="str">
        <f t="shared" si="13"/>
        <v>...</v>
      </c>
      <c r="AI44" s="46" t="str">
        <f t="shared" si="40"/>
        <v>...</v>
      </c>
      <c r="AJ44" s="2"/>
      <c r="AK44" s="18" t="s">
        <v>144</v>
      </c>
      <c r="AL44" s="19">
        <f>SUMIFS(T6:T234,E6:E234,"CERRADA")</f>
        <v>179.3763543</v>
      </c>
      <c r="AM44" s="18"/>
      <c r="AN44" s="19"/>
      <c r="AO44" s="2"/>
    </row>
    <row r="45" ht="24.0" customHeight="1">
      <c r="A45" s="4" t="s">
        <v>137</v>
      </c>
      <c r="B45" s="4" t="s">
        <v>122</v>
      </c>
      <c r="C45" s="5" t="str">
        <f>IFERROR(__xludf.DUMMYFUNCTION("if(B45=0,""..."", sparkline(query(GOOGLEFINANCE(""BCBA:""&amp;B45,""price"",today()-$AM$47,today()),""select Col2"",0),{""charttype"",$AM$46}))"),"")</f>
        <v/>
      </c>
      <c r="D45" s="17">
        <v>45989.0</v>
      </c>
      <c r="E45" s="6" t="s">
        <v>24</v>
      </c>
      <c r="F45" s="7"/>
      <c r="G45" s="8">
        <f t="shared" si="1"/>
        <v>128</v>
      </c>
      <c r="H45" s="6">
        <v>24.0</v>
      </c>
      <c r="I45" s="44">
        <v>11820.0</v>
      </c>
      <c r="J45" s="45">
        <f t="shared" si="2"/>
        <v>283680</v>
      </c>
      <c r="K45" s="47">
        <f t="array" ref="K45">IF(B45=0,"...",J45/VLOOKUP(D45,{CCL!M:N;CCL!$P:$Q},2,FALSE))</f>
        <v>186.7864151</v>
      </c>
      <c r="L45" s="45">
        <f t="shared" si="41"/>
        <v>11100</v>
      </c>
      <c r="M45" s="45">
        <f>if(B45=0,"...",L45*(1-VLOOKUP(A45,Config!$B$3:$C$22,2,FALSE)))</f>
        <v>11022.3</v>
      </c>
      <c r="N45" s="45">
        <f t="shared" si="3"/>
        <v>264535.2</v>
      </c>
      <c r="O45" s="12">
        <f>IFERROR(__xludf.DUMMYFUNCTION("if(B45=0,""..."",GOOGLEFINANCE(B45,""changepct"")/100)"),-0.0192)</f>
        <v>-0.0192</v>
      </c>
      <c r="P45" s="10">
        <f>IFERROR(__xludf.DUMMYFUNCTION("if(B45=0,""..."",GOOGLEFINANCE(B45,""change"")*H45)"),-201.84)</f>
        <v>-201.84</v>
      </c>
      <c r="Q45" s="12">
        <f t="shared" si="4"/>
        <v>-0.06748730964</v>
      </c>
      <c r="R45" s="47">
        <f t="shared" si="5"/>
        <v>-19144.8</v>
      </c>
      <c r="S45" s="12">
        <f t="shared" si="36"/>
        <v>-0.04321689107</v>
      </c>
      <c r="T45" s="47">
        <f>IF(B45=0,"...",(N45/IF(E45="ABIERTA",CCL!$E$2,VLOOKUP(F45,CCL!$A$12:$B$773,2,FALSE))-K45))</f>
        <v>-7.737919336</v>
      </c>
      <c r="U45" s="2"/>
      <c r="V45" s="10"/>
      <c r="W45" s="10"/>
      <c r="X45" s="59" t="str">
        <f t="shared" si="29"/>
        <v>...</v>
      </c>
      <c r="Y45" s="45" t="str">
        <f>IFERROR(__xludf.DUMMYFUNCTION("IF(W45=0,""..."",GOOGLEFINANCE(""BCBA:""&amp;W45))"),"...")</f>
        <v>...</v>
      </c>
      <c r="Z45" s="12"/>
      <c r="AA45" s="45"/>
      <c r="AB45" s="12" t="str">
        <f t="shared" si="26"/>
        <v/>
      </c>
      <c r="AC45" s="45" t="str">
        <f t="shared" si="37"/>
        <v>...</v>
      </c>
      <c r="AD45" s="45" t="str">
        <f t="shared" si="38"/>
        <v>...</v>
      </c>
      <c r="AE45" s="12" t="str">
        <f t="shared" si="11"/>
        <v>...</v>
      </c>
      <c r="AF45" s="45" t="str">
        <f t="shared" si="39"/>
        <v>...</v>
      </c>
      <c r="AG45" s="45" t="str">
        <f t="shared" si="27"/>
        <v>...</v>
      </c>
      <c r="AH45" s="12" t="str">
        <f t="shared" si="13"/>
        <v>...</v>
      </c>
      <c r="AI45" s="46" t="str">
        <f t="shared" si="40"/>
        <v>...</v>
      </c>
      <c r="AJ45" s="2"/>
      <c r="AO45" s="2"/>
    </row>
    <row r="46" ht="24.0" customHeight="1">
      <c r="A46" s="4" t="s">
        <v>137</v>
      </c>
      <c r="B46" s="4" t="s">
        <v>112</v>
      </c>
      <c r="C46" s="5" t="str">
        <f>IFERROR(__xludf.DUMMYFUNCTION("if(B46=0,""..."", sparkline(query(GOOGLEFINANCE(""BCBA:""&amp;B46,""price"",today()-$AM$47,today()),""select Col2"",0),{""charttype"",$AM$46}))"),"")</f>
        <v/>
      </c>
      <c r="D46" s="17">
        <v>45989.0</v>
      </c>
      <c r="E46" s="6" t="s">
        <v>24</v>
      </c>
      <c r="F46" s="7"/>
      <c r="G46" s="8">
        <f t="shared" si="1"/>
        <v>128</v>
      </c>
      <c r="H46" s="6">
        <v>4.0</v>
      </c>
      <c r="I46" s="44">
        <v>51975.0</v>
      </c>
      <c r="J46" s="45">
        <f t="shared" si="2"/>
        <v>207900</v>
      </c>
      <c r="K46" s="47">
        <f t="array" ref="K46">IF(B46=0,"...",J46/VLOOKUP(D46,{CCL!M:N;CCL!$P:$Q},2,FALSE))</f>
        <v>136.8897902</v>
      </c>
      <c r="L46" s="45">
        <f t="shared" si="41"/>
        <v>48760</v>
      </c>
      <c r="M46" s="45">
        <f>if(B46=0,"...",L46*(1-VLOOKUP(A46,Config!$B$3:$C$22,2,FALSE)))</f>
        <v>48418.68</v>
      </c>
      <c r="N46" s="45">
        <f t="shared" si="3"/>
        <v>193674.72</v>
      </c>
      <c r="O46" s="12">
        <f>IFERROR(__xludf.DUMMYFUNCTION("if(B46=0,""..."",GOOGLEFINANCE(B46,""changepct"")/100)"),9.0E-4)</f>
        <v>0.0009</v>
      </c>
      <c r="P46" s="10">
        <f>IFERROR(__xludf.DUMMYFUNCTION("if(B46=0,""..."",GOOGLEFINANCE(B46,""change"")*H46)"),2.36)</f>
        <v>2.36</v>
      </c>
      <c r="Q46" s="12">
        <f t="shared" si="4"/>
        <v>-0.06842366522</v>
      </c>
      <c r="R46" s="47">
        <f t="shared" si="5"/>
        <v>-14225.28</v>
      </c>
      <c r="S46" s="12">
        <f t="shared" si="36"/>
        <v>-0.04426545995</v>
      </c>
      <c r="T46" s="47">
        <f>IF(B46=0,"...",(N46/IF(E46="ABIERTA",CCL!$E$2,VLOOKUP(F46,CCL!$A$12:$B$773,2,FALSE))-K46))</f>
        <v>-5.802633295</v>
      </c>
      <c r="U46" s="2"/>
      <c r="V46" s="10"/>
      <c r="W46" s="10"/>
      <c r="X46" s="59" t="str">
        <f t="shared" si="29"/>
        <v>...</v>
      </c>
      <c r="Y46" s="45" t="str">
        <f>IFERROR(__xludf.DUMMYFUNCTION("IF(W46=0,""..."",GOOGLEFINANCE(""BCBA:""&amp;W46))"),"...")</f>
        <v>...</v>
      </c>
      <c r="Z46" s="12"/>
      <c r="AA46" s="45"/>
      <c r="AB46" s="12" t="str">
        <f t="shared" si="26"/>
        <v/>
      </c>
      <c r="AC46" s="45" t="str">
        <f t="shared" si="37"/>
        <v>...</v>
      </c>
      <c r="AD46" s="45" t="str">
        <f t="shared" si="38"/>
        <v>...</v>
      </c>
      <c r="AE46" s="12" t="str">
        <f t="shared" si="11"/>
        <v>...</v>
      </c>
      <c r="AF46" s="45" t="str">
        <f t="shared" si="39"/>
        <v>...</v>
      </c>
      <c r="AG46" s="45" t="str">
        <f t="shared" si="27"/>
        <v>...</v>
      </c>
      <c r="AH46" s="12" t="str">
        <f t="shared" si="13"/>
        <v>...</v>
      </c>
      <c r="AI46" s="46" t="str">
        <f t="shared" si="40"/>
        <v>...</v>
      </c>
      <c r="AJ46" s="2"/>
      <c r="AK46" s="23" t="s">
        <v>56</v>
      </c>
      <c r="AL46" s="24" t="s">
        <v>57</v>
      </c>
      <c r="AM46" s="25" t="s">
        <v>58</v>
      </c>
      <c r="AN46" s="2"/>
      <c r="AO46" s="2"/>
    </row>
    <row r="47" ht="24.0" customHeight="1">
      <c r="A47" s="4" t="s">
        <v>137</v>
      </c>
      <c r="B47" s="4" t="s">
        <v>125</v>
      </c>
      <c r="C47" s="5" t="str">
        <f>IFERROR(__xludf.DUMMYFUNCTION("if(B47=0,""..."", sparkline(query(GOOGLEFINANCE(""BCBA:""&amp;B47,""price"",today()-$AM$47,today()),""select Col2"",0),{""charttype"",$AM$46}))"),"")</f>
        <v/>
      </c>
      <c r="D47" s="17">
        <v>45989.0</v>
      </c>
      <c r="E47" s="6" t="s">
        <v>24</v>
      </c>
      <c r="F47" s="7"/>
      <c r="G47" s="8">
        <f t="shared" si="1"/>
        <v>128</v>
      </c>
      <c r="H47" s="6">
        <v>35.0</v>
      </c>
      <c r="I47" s="44">
        <v>3410.0</v>
      </c>
      <c r="J47" s="45">
        <f t="shared" si="2"/>
        <v>119350</v>
      </c>
      <c r="K47" s="47">
        <f t="array" ref="K47">IF(B47=0,"...",J47/VLOOKUP(D47,{CCL!M:N;CCL!$P:$Q},2,FALSE))</f>
        <v>78.58487957</v>
      </c>
      <c r="L47" s="45">
        <f t="shared" si="41"/>
        <v>2957.5</v>
      </c>
      <c r="M47" s="45">
        <f>if(B47=0,"...",L47*(1-VLOOKUP(A47,Config!$B$3:$C$22,2,FALSE)))</f>
        <v>2936.7975</v>
      </c>
      <c r="N47" s="45">
        <f t="shared" si="3"/>
        <v>102787.9125</v>
      </c>
      <c r="O47" s="12">
        <f>IFERROR(__xludf.DUMMYFUNCTION("if(B47=0,""..."",GOOGLEFINANCE(B47,""changepct"")/100)"),0.0325)</f>
        <v>0.0325</v>
      </c>
      <c r="P47" s="10">
        <f>IFERROR(__xludf.DUMMYFUNCTION("if(B47=0,""..."",GOOGLEFINANCE(B47,""change"")*H47)"),108.85)</f>
        <v>108.85</v>
      </c>
      <c r="Q47" s="12">
        <f t="shared" si="4"/>
        <v>-0.1387690616</v>
      </c>
      <c r="R47" s="47">
        <f t="shared" si="5"/>
        <v>-16562.0875</v>
      </c>
      <c r="S47" s="12">
        <f t="shared" si="36"/>
        <v>-0.1295611274</v>
      </c>
      <c r="T47" s="47">
        <f>IF(B47=0,"...",(N47/IF(E47="ABIERTA",CCL!$E$2,VLOOKUP(F47,CCL!$A$12:$B$773,2,FALSE))-K47))</f>
        <v>-9.013718111</v>
      </c>
      <c r="U47" s="2"/>
      <c r="V47" s="10"/>
      <c r="W47" s="10"/>
      <c r="X47" s="59" t="str">
        <f t="shared" si="29"/>
        <v>...</v>
      </c>
      <c r="Y47" s="45" t="str">
        <f>IFERROR(__xludf.DUMMYFUNCTION("IF(W47=0,""..."",GOOGLEFINANCE(""BCBA:""&amp;W47))"),"...")</f>
        <v>...</v>
      </c>
      <c r="Z47" s="12"/>
      <c r="AA47" s="45"/>
      <c r="AB47" s="12" t="str">
        <f t="shared" si="26"/>
        <v/>
      </c>
      <c r="AC47" s="45" t="str">
        <f t="shared" si="37"/>
        <v>...</v>
      </c>
      <c r="AD47" s="45" t="str">
        <f t="shared" si="38"/>
        <v>...</v>
      </c>
      <c r="AE47" s="12" t="str">
        <f t="shared" si="11"/>
        <v>...</v>
      </c>
      <c r="AF47" s="45" t="str">
        <f t="shared" si="39"/>
        <v>...</v>
      </c>
      <c r="AG47" s="45" t="str">
        <f t="shared" si="27"/>
        <v>...</v>
      </c>
      <c r="AH47" s="12" t="str">
        <f t="shared" si="13"/>
        <v>...</v>
      </c>
      <c r="AI47" s="46" t="str">
        <f t="shared" si="40"/>
        <v>...</v>
      </c>
      <c r="AJ47" s="2"/>
      <c r="AK47" s="26"/>
      <c r="AL47" s="24" t="s">
        <v>59</v>
      </c>
      <c r="AM47" s="25">
        <v>28.0</v>
      </c>
      <c r="AN47" s="2"/>
      <c r="AO47" s="2"/>
    </row>
    <row r="48" ht="24.0" customHeight="1">
      <c r="A48" s="4" t="s">
        <v>137</v>
      </c>
      <c r="B48" s="4" t="s">
        <v>118</v>
      </c>
      <c r="C48" s="5" t="str">
        <f>IFERROR(__xludf.DUMMYFUNCTION("if(B48=0,""..."", sparkline(query(GOOGLEFINANCE(""BCBA:""&amp;B48,""price"",today()-$AM$47,today()),""select Col2"",0),{""charttype"",$AM$46}))"),"")</f>
        <v/>
      </c>
      <c r="D48" s="17">
        <v>46021.0</v>
      </c>
      <c r="E48" s="6" t="s">
        <v>24</v>
      </c>
      <c r="F48" s="7"/>
      <c r="G48" s="8">
        <f t="shared" si="1"/>
        <v>96</v>
      </c>
      <c r="H48" s="6">
        <v>122.0</v>
      </c>
      <c r="I48" s="44">
        <v>2449.0</v>
      </c>
      <c r="J48" s="45">
        <f t="shared" si="2"/>
        <v>298778</v>
      </c>
      <c r="K48" s="47">
        <f t="array" ref="K48">IF(B48=0,"...",J48/VLOOKUP(D48,{CCL!M:N;CCL!$P:$Q},2,FALSE))</f>
        <v>196.3913392</v>
      </c>
      <c r="L48" s="45">
        <f t="shared" si="41"/>
        <v>2181</v>
      </c>
      <c r="M48" s="45">
        <f>if(B48=0,"...",L48*(1-VLOOKUP(A48,Config!$B$3:$C$22,2,FALSE)))</f>
        <v>2165.733</v>
      </c>
      <c r="N48" s="45">
        <f t="shared" si="3"/>
        <v>264219.426</v>
      </c>
      <c r="O48" s="12">
        <f>IFERROR(__xludf.DUMMYFUNCTION("if(B48=0,""..."",GOOGLEFINANCE(B48,""changepct"")/100)"),-0.0038)</f>
        <v>-0.0038</v>
      </c>
      <c r="P48" s="10">
        <f>IFERROR(__xludf.DUMMYFUNCTION("if(B48=0,""..."",GOOGLEFINANCE(B48,""change"")*H48)"),-97.60000000000001)</f>
        <v>-97.6</v>
      </c>
      <c r="Q48" s="12">
        <f t="shared" si="4"/>
        <v>-0.1156663944</v>
      </c>
      <c r="R48" s="47">
        <f t="shared" si="5"/>
        <v>-34558.574</v>
      </c>
      <c r="S48" s="12">
        <f t="shared" si="36"/>
        <v>-0.09817203267</v>
      </c>
      <c r="T48" s="47">
        <f>IF(B48=0,"...",(N48/IF(E48="ABIERTA",CCL!$E$2,VLOOKUP(F48,CCL!$A$12:$B$773,2,FALSE))-K48))</f>
        <v>-17.55657256</v>
      </c>
      <c r="U48" s="2"/>
      <c r="V48" s="10"/>
      <c r="W48" s="10"/>
      <c r="X48" s="59" t="str">
        <f t="shared" si="29"/>
        <v>...</v>
      </c>
      <c r="Y48" s="45" t="str">
        <f>IFERROR(__xludf.DUMMYFUNCTION("IF(W48=0,""..."",GOOGLEFINANCE(""BCBA:""&amp;W48))"),"...")</f>
        <v>...</v>
      </c>
      <c r="Z48" s="12"/>
      <c r="AA48" s="45"/>
      <c r="AB48" s="12" t="str">
        <f t="shared" si="26"/>
        <v/>
      </c>
      <c r="AC48" s="45" t="str">
        <f t="shared" si="37"/>
        <v>...</v>
      </c>
      <c r="AD48" s="45" t="str">
        <f t="shared" si="38"/>
        <v>...</v>
      </c>
      <c r="AE48" s="12" t="str">
        <f t="shared" si="11"/>
        <v>...</v>
      </c>
      <c r="AF48" s="45" t="str">
        <f t="shared" si="39"/>
        <v>...</v>
      </c>
      <c r="AG48" s="45" t="str">
        <f t="shared" si="27"/>
        <v>...</v>
      </c>
      <c r="AH48" s="12" t="str">
        <f t="shared" si="13"/>
        <v>...</v>
      </c>
      <c r="AI48" s="46" t="str">
        <f t="shared" si="40"/>
        <v>...</v>
      </c>
      <c r="AJ48" s="2"/>
      <c r="AK48" s="2"/>
      <c r="AL48" s="2"/>
      <c r="AM48" s="2"/>
      <c r="AN48" s="2"/>
      <c r="AO48" s="2"/>
    </row>
    <row r="49" ht="24.0" customHeight="1">
      <c r="A49" s="4" t="s">
        <v>137</v>
      </c>
      <c r="B49" s="4" t="s">
        <v>110</v>
      </c>
      <c r="C49" s="5" t="str">
        <f>IFERROR(__xludf.DUMMYFUNCTION("if(B49=0,""..."", sparkline(query(GOOGLEFINANCE(""BCBA:""&amp;B49,""price"",today()-$AM$47,today()),""select Col2"",0),{""charttype"",$AM$46}))"),"")</f>
        <v/>
      </c>
      <c r="D49" s="17">
        <v>46021.0</v>
      </c>
      <c r="E49" s="6" t="s">
        <v>24</v>
      </c>
      <c r="F49" s="7"/>
      <c r="G49" s="8">
        <f t="shared" si="1"/>
        <v>96</v>
      </c>
      <c r="H49" s="6">
        <v>12.0</v>
      </c>
      <c r="I49" s="44">
        <v>24720.0</v>
      </c>
      <c r="J49" s="45">
        <f t="shared" si="2"/>
        <v>296640</v>
      </c>
      <c r="K49" s="47">
        <f t="array" ref="K49">IF(B49=0,"...",J49/VLOOKUP(D49,{CCL!M:N;CCL!$P:$Q},2,FALSE))</f>
        <v>194.9859992</v>
      </c>
      <c r="L49" s="45">
        <f t="shared" si="41"/>
        <v>18330</v>
      </c>
      <c r="M49" s="45">
        <f>if(B49=0,"...",L49*(1-VLOOKUP(A49,Config!$B$3:$C$22,2,FALSE)))</f>
        <v>18201.69</v>
      </c>
      <c r="N49" s="45">
        <f t="shared" si="3"/>
        <v>218420.28</v>
      </c>
      <c r="O49" s="12">
        <f>IFERROR(__xludf.DUMMYFUNCTION("if(B49=0,""..."",GOOGLEFINANCE(B49,""changepct"")/100)"),0.0111)</f>
        <v>0.0111</v>
      </c>
      <c r="P49" s="10">
        <f>IFERROR(__xludf.DUMMYFUNCTION("if(B49=0,""..."",GOOGLEFINANCE(B49,""change"")*H49)"),49.08)</f>
        <v>49.08</v>
      </c>
      <c r="Q49" s="12">
        <f t="shared" si="4"/>
        <v>-0.2636856796</v>
      </c>
      <c r="R49" s="47">
        <f t="shared" si="5"/>
        <v>-78219.72</v>
      </c>
      <c r="S49" s="12">
        <f t="shared" si="36"/>
        <v>-0.3189345994</v>
      </c>
      <c r="T49" s="47">
        <f>IF(B49=0,"...",(N49/IF(E49="ABIERTA",CCL!$E$2,VLOOKUP(F49,CCL!$A$12:$B$773,2,FALSE))-K49))</f>
        <v>-47.1500115</v>
      </c>
      <c r="U49" s="2"/>
      <c r="V49" s="10"/>
      <c r="W49" s="10"/>
      <c r="X49" s="59" t="str">
        <f t="shared" si="29"/>
        <v>...</v>
      </c>
      <c r="Y49" s="45" t="str">
        <f>IFERROR(__xludf.DUMMYFUNCTION("IF(W49=0,""..."",GOOGLEFINANCE(""BCBA:""&amp;W49))"),"...")</f>
        <v>...</v>
      </c>
      <c r="Z49" s="12"/>
      <c r="AA49" s="45"/>
      <c r="AB49" s="12" t="str">
        <f t="shared" si="26"/>
        <v/>
      </c>
      <c r="AC49" s="45" t="str">
        <f t="shared" si="37"/>
        <v>...</v>
      </c>
      <c r="AD49" s="45" t="str">
        <f t="shared" si="38"/>
        <v>...</v>
      </c>
      <c r="AE49" s="12" t="str">
        <f t="shared" si="11"/>
        <v>...</v>
      </c>
      <c r="AF49" s="45" t="str">
        <f t="shared" si="39"/>
        <v>...</v>
      </c>
      <c r="AG49" s="45" t="str">
        <f t="shared" si="27"/>
        <v>...</v>
      </c>
      <c r="AH49" s="12" t="str">
        <f t="shared" si="13"/>
        <v>...</v>
      </c>
      <c r="AI49" s="46" t="str">
        <f t="shared" si="40"/>
        <v>...</v>
      </c>
      <c r="AJ49" s="2"/>
      <c r="AK49" s="2"/>
      <c r="AL49" s="2"/>
      <c r="AM49" s="2"/>
      <c r="AN49" s="2"/>
      <c r="AO49" s="2"/>
    </row>
    <row r="50" ht="24.0" customHeight="1">
      <c r="A50" s="4" t="s">
        <v>137</v>
      </c>
      <c r="B50" s="4" t="s">
        <v>122</v>
      </c>
      <c r="C50" s="5" t="str">
        <f>IFERROR(__xludf.DUMMYFUNCTION("if(B50=0,""..."", sparkline(query(GOOGLEFINANCE(""BCBA:""&amp;B50,""price"",today()-$AM$47,today()),""select Col2"",0),{""charttype"",$AM$46}))"),"")</f>
        <v/>
      </c>
      <c r="D50" s="17">
        <v>46024.0</v>
      </c>
      <c r="E50" s="6" t="s">
        <v>24</v>
      </c>
      <c r="F50" s="7"/>
      <c r="G50" s="8">
        <f t="shared" si="1"/>
        <v>93</v>
      </c>
      <c r="H50" s="6">
        <v>16.0</v>
      </c>
      <c r="I50" s="44">
        <v>12160.0</v>
      </c>
      <c r="J50" s="45">
        <f t="shared" si="2"/>
        <v>194560</v>
      </c>
      <c r="K50" s="47">
        <f t="array" ref="K50">IF(B50=0,"...",J50/VLOOKUP(D50,{CCL!M:N;CCL!$P:$Q},2,FALSE))</f>
        <v>125.8587453</v>
      </c>
      <c r="L50" s="45">
        <f t="shared" si="41"/>
        <v>11100</v>
      </c>
      <c r="M50" s="45">
        <f>if(B50=0,"...",L50*(1-VLOOKUP(A50,Config!$B$3:$C$22,2,FALSE)))</f>
        <v>11022.3</v>
      </c>
      <c r="N50" s="45">
        <f t="shared" si="3"/>
        <v>176356.8</v>
      </c>
      <c r="O50" s="12">
        <f>IFERROR(__xludf.DUMMYFUNCTION("if(B50=0,""..."",GOOGLEFINANCE(B50,""changepct"")/100)"),-0.0192)</f>
        <v>-0.0192</v>
      </c>
      <c r="P50" s="10">
        <f>IFERROR(__xludf.DUMMYFUNCTION("if(B50=0,""..."",GOOGLEFINANCE(B50,""change"")*H50)"),-134.56)</f>
        <v>-134.56</v>
      </c>
      <c r="Q50" s="12">
        <f t="shared" si="4"/>
        <v>-0.09356085526</v>
      </c>
      <c r="R50" s="47">
        <f t="shared" si="5"/>
        <v>-18203.2</v>
      </c>
      <c r="S50" s="12">
        <f t="shared" si="36"/>
        <v>-0.0543965599</v>
      </c>
      <c r="T50" s="47">
        <f>IF(B50=0,"...",(N50/IF(E50="ABIERTA",CCL!$E$2,VLOOKUP(F50,CCL!$A$12:$B$773,2,FALSE))-K50))</f>
        <v>-6.493081481</v>
      </c>
      <c r="U50" s="2"/>
      <c r="V50" s="10"/>
      <c r="W50" s="10"/>
      <c r="X50" s="59" t="str">
        <f t="shared" si="29"/>
        <v>...</v>
      </c>
      <c r="Y50" s="45" t="str">
        <f>IFERROR(__xludf.DUMMYFUNCTION("IF(W50=0,""..."",GOOGLEFINANCE(""BCBA:""&amp;W50))"),"...")</f>
        <v>...</v>
      </c>
      <c r="Z50" s="12"/>
      <c r="AA50" s="45"/>
      <c r="AB50" s="12" t="str">
        <f t="shared" si="26"/>
        <v/>
      </c>
      <c r="AC50" s="45" t="str">
        <f t="shared" si="37"/>
        <v>...</v>
      </c>
      <c r="AD50" s="45" t="str">
        <f t="shared" si="38"/>
        <v>...</v>
      </c>
      <c r="AE50" s="12" t="str">
        <f t="shared" si="11"/>
        <v>...</v>
      </c>
      <c r="AF50" s="45" t="str">
        <f t="shared" si="39"/>
        <v>...</v>
      </c>
      <c r="AG50" s="45" t="str">
        <f t="shared" si="27"/>
        <v>...</v>
      </c>
      <c r="AH50" s="12" t="str">
        <f t="shared" si="13"/>
        <v>...</v>
      </c>
      <c r="AI50" s="46" t="str">
        <f t="shared" si="40"/>
        <v>...</v>
      </c>
      <c r="AJ50" s="2"/>
      <c r="AK50" s="2"/>
      <c r="AL50" s="2"/>
      <c r="AM50" s="2"/>
      <c r="AN50" s="2"/>
      <c r="AO50" s="2"/>
    </row>
    <row r="51" ht="24.0" customHeight="1">
      <c r="A51" s="4" t="s">
        <v>137</v>
      </c>
      <c r="B51" s="4" t="s">
        <v>145</v>
      </c>
      <c r="C51" s="5" t="str">
        <f>IFERROR(__xludf.DUMMYFUNCTION("if(B51=0,""..."", sparkline(query(GOOGLEFINANCE(""BCBA:""&amp;B51,""price"",today()-$AM$47,today()),""select Col2"",0),{""charttype"",$AM$46}))"),"")</f>
        <v/>
      </c>
      <c r="D51" s="17">
        <v>46024.0</v>
      </c>
      <c r="E51" s="6" t="s">
        <v>24</v>
      </c>
      <c r="F51" s="7"/>
      <c r="G51" s="8">
        <f t="shared" si="1"/>
        <v>93</v>
      </c>
      <c r="H51" s="6">
        <v>48.0</v>
      </c>
      <c r="I51" s="44">
        <v>2041.0</v>
      </c>
      <c r="J51" s="45">
        <f t="shared" si="2"/>
        <v>97968</v>
      </c>
      <c r="K51" s="47">
        <f t="array" ref="K51">IF(B51=0,"...",J51/VLOOKUP(D51,{CCL!M:N;CCL!$P:$Q},2,FALSE))</f>
        <v>63.37443235</v>
      </c>
      <c r="L51" s="45">
        <f t="shared" si="41"/>
        <v>0</v>
      </c>
      <c r="M51" s="45">
        <f>if(B51=0,"...",L51*(1-VLOOKUP(A51,Config!$B$3:$C$22,2,FALSE)))</f>
        <v>0</v>
      </c>
      <c r="N51" s="45">
        <f t="shared" si="3"/>
        <v>0</v>
      </c>
      <c r="O51" s="12">
        <f>IFERROR(__xludf.DUMMYFUNCTION("if(B51=0,""..."",GOOGLEFINANCE(B51,""changepct"")/100)"),0.0161)</f>
        <v>0.0161</v>
      </c>
      <c r="P51" s="10">
        <f>IFERROR(__xludf.DUMMYFUNCTION("if(B51=0,""..."",GOOGLEFINANCE(B51,""change"")*H51)"),4.800000000000001)</f>
        <v>4.8</v>
      </c>
      <c r="Q51" s="12">
        <f t="shared" si="4"/>
        <v>-1</v>
      </c>
      <c r="R51" s="47">
        <f t="shared" si="5"/>
        <v>-97968</v>
      </c>
      <c r="S51" s="12" t="str">
        <f t="shared" si="36"/>
        <v>#DIV/0!</v>
      </c>
      <c r="T51" s="47">
        <f>IF(B51=0,"...",(N51/IF(E51="ABIERTA",CCL!$E$2,VLOOKUP(F51,CCL!$A$12:$B$773,2,FALSE))-K51))</f>
        <v>-63.37443235</v>
      </c>
      <c r="U51" s="2"/>
      <c r="V51" s="10"/>
      <c r="W51" s="10"/>
      <c r="X51" s="59" t="str">
        <f t="shared" si="29"/>
        <v>...</v>
      </c>
      <c r="Y51" s="45" t="str">
        <f>IFERROR(__xludf.DUMMYFUNCTION("IF(W51=0,""..."",GOOGLEFINANCE(""BCBA:""&amp;W51))"),"...")</f>
        <v>...</v>
      </c>
      <c r="Z51" s="12"/>
      <c r="AA51" s="45"/>
      <c r="AB51" s="12" t="str">
        <f t="shared" si="26"/>
        <v/>
      </c>
      <c r="AC51" s="45" t="str">
        <f t="shared" si="37"/>
        <v>...</v>
      </c>
      <c r="AD51" s="45" t="str">
        <f t="shared" si="38"/>
        <v>...</v>
      </c>
      <c r="AE51" s="12" t="str">
        <f t="shared" si="11"/>
        <v>...</v>
      </c>
      <c r="AF51" s="45" t="str">
        <f t="shared" si="39"/>
        <v>...</v>
      </c>
      <c r="AG51" s="45" t="str">
        <f t="shared" si="27"/>
        <v>...</v>
      </c>
      <c r="AH51" s="12" t="str">
        <f t="shared" si="13"/>
        <v>...</v>
      </c>
      <c r="AI51" s="46" t="str">
        <f t="shared" si="40"/>
        <v>...</v>
      </c>
      <c r="AJ51" s="2"/>
      <c r="AK51" s="2"/>
      <c r="AL51" s="2"/>
      <c r="AM51" s="2"/>
      <c r="AN51" s="2"/>
      <c r="AO51" s="2"/>
    </row>
    <row r="52" ht="24.0" customHeight="1">
      <c r="A52" s="4" t="s">
        <v>137</v>
      </c>
      <c r="B52" s="4" t="s">
        <v>140</v>
      </c>
      <c r="C52" s="5" t="str">
        <f>IFERROR(__xludf.DUMMYFUNCTION("if(B52=0,""..."", sparkline(query(GOOGLEFINANCE(""BCBA:""&amp;B52,""price"",today()-$AM$47,today()),""select Col2"",0),{""charttype"",$AM$46}))"),"")</f>
        <v/>
      </c>
      <c r="D52" s="17">
        <v>46024.0</v>
      </c>
      <c r="E52" s="6" t="s">
        <v>24</v>
      </c>
      <c r="F52" s="7"/>
      <c r="G52" s="8">
        <f t="shared" si="1"/>
        <v>93</v>
      </c>
      <c r="H52" s="6">
        <v>2.0</v>
      </c>
      <c r="I52" s="44">
        <v>37060.0</v>
      </c>
      <c r="J52" s="45">
        <f t="shared" si="2"/>
        <v>74120</v>
      </c>
      <c r="K52" s="47">
        <f t="array" ref="K52">IF(B52=0,"...",J52/VLOOKUP(D52,{CCL!M:N;CCL!$P:$Q},2,FALSE))</f>
        <v>47.94742085</v>
      </c>
      <c r="L52" s="45">
        <f t="shared" si="41"/>
        <v>34680</v>
      </c>
      <c r="M52" s="45">
        <f>if(B52=0,"...",L52*(1-VLOOKUP(A52,Config!$B$3:$C$22,2,FALSE)))</f>
        <v>34437.24</v>
      </c>
      <c r="N52" s="45">
        <f t="shared" si="3"/>
        <v>68874.48</v>
      </c>
      <c r="O52" s="12">
        <f>IFERROR(__xludf.DUMMYFUNCTION("if(B52=0,""..."",GOOGLEFINANCE(B52,""changepct"")/100)"),-9.0E-4)</f>
        <v>-0.0009</v>
      </c>
      <c r="P52" s="10">
        <f>IFERROR(__xludf.DUMMYFUNCTION("if(B52=0,""..."",GOOGLEFINANCE(B52,""change"")*H52)"),-0.84)</f>
        <v>-0.84</v>
      </c>
      <c r="Q52" s="12">
        <f t="shared" si="4"/>
        <v>-0.0707706422</v>
      </c>
      <c r="R52" s="47">
        <f t="shared" si="5"/>
        <v>-5245.52</v>
      </c>
      <c r="S52" s="12">
        <f t="shared" si="36"/>
        <v>-0.02853650495</v>
      </c>
      <c r="T52" s="47">
        <f>IF(B52=0,"...",(N52/IF(E52="ABIERTA",CCL!$E$2,VLOOKUP(F52,CCL!$A$12:$B$773,2,FALSE))-K52))</f>
        <v>-1.330289986</v>
      </c>
      <c r="U52" s="2"/>
      <c r="V52" s="10"/>
      <c r="W52" s="10"/>
      <c r="X52" s="59" t="str">
        <f t="shared" si="29"/>
        <v>...</v>
      </c>
      <c r="Y52" s="45" t="str">
        <f>IFERROR(__xludf.DUMMYFUNCTION("IF(W52=0,""..."",GOOGLEFINANCE(""BCBA:""&amp;W52))"),"...")</f>
        <v>...</v>
      </c>
      <c r="Z52" s="12"/>
      <c r="AA52" s="45"/>
      <c r="AB52" s="12" t="str">
        <f t="shared" si="26"/>
        <v/>
      </c>
      <c r="AC52" s="45" t="str">
        <f t="shared" si="37"/>
        <v>...</v>
      </c>
      <c r="AD52" s="45" t="str">
        <f t="shared" si="38"/>
        <v>...</v>
      </c>
      <c r="AE52" s="12" t="str">
        <f t="shared" si="11"/>
        <v>...</v>
      </c>
      <c r="AF52" s="45" t="str">
        <f t="shared" si="39"/>
        <v>...</v>
      </c>
      <c r="AG52" s="45" t="str">
        <f t="shared" si="27"/>
        <v>...</v>
      </c>
      <c r="AH52" s="12" t="str">
        <f t="shared" si="13"/>
        <v>...</v>
      </c>
      <c r="AI52" s="46" t="str">
        <f t="shared" si="40"/>
        <v>...</v>
      </c>
      <c r="AJ52" s="2"/>
      <c r="AK52" s="2"/>
      <c r="AL52" s="2"/>
      <c r="AM52" s="2"/>
      <c r="AN52" s="2"/>
      <c r="AO52" s="2"/>
    </row>
    <row r="53" ht="24.0" customHeight="1">
      <c r="A53" s="4" t="s">
        <v>137</v>
      </c>
      <c r="B53" s="4" t="s">
        <v>146</v>
      </c>
      <c r="C53" s="5" t="str">
        <f>IFERROR(__xludf.DUMMYFUNCTION("if(B53=0,""..."", sparkline(query(GOOGLEFINANCE(""BCBA:""&amp;B53,""price"",today()-$AM$47,today()),""select Col2"",0),{""charttype"",$AM$46}))"),"")</f>
        <v/>
      </c>
      <c r="D53" s="17">
        <v>46029.0</v>
      </c>
      <c r="E53" s="6" t="s">
        <v>24</v>
      </c>
      <c r="F53" s="7"/>
      <c r="G53" s="8">
        <f t="shared" si="1"/>
        <v>88</v>
      </c>
      <c r="H53" s="6">
        <v>6.0</v>
      </c>
      <c r="I53" s="44">
        <v>48020.0</v>
      </c>
      <c r="J53" s="45">
        <f t="shared" si="2"/>
        <v>288120</v>
      </c>
      <c r="K53" s="47">
        <f t="array" ref="K53">IF(B53=0,"...",J53/VLOOKUP(D53,{CCL!M:N;CCL!$P:$Q},2,FALSE))</f>
        <v>187.9243659</v>
      </c>
      <c r="L53" s="45">
        <f t="shared" si="41"/>
        <v>172855.7402</v>
      </c>
      <c r="M53" s="45">
        <f>if(B53=0,"...",L53*(1-VLOOKUP(A53,Config!$B$3:$C$22,2,FALSE)))</f>
        <v>171645.75</v>
      </c>
      <c r="N53" s="45">
        <f t="shared" si="3"/>
        <v>1029874.5</v>
      </c>
      <c r="O53" s="12">
        <f>IFERROR(__xludf.DUMMYFUNCTION("if(B53=0,""..."",GOOGLEFINANCE(B53,""changepct"")/100)"),0.0011)</f>
        <v>0.0011</v>
      </c>
      <c r="P53" s="10">
        <f>IFERROR(__xludf.DUMMYFUNCTION("if(B53=0,""..."",GOOGLEFINANCE(B53,""change"")*H53)"),4.0200000000000005)</f>
        <v>4.02</v>
      </c>
      <c r="Q53" s="12">
        <f t="shared" si="4"/>
        <v>2.574463765</v>
      </c>
      <c r="R53" s="47">
        <f t="shared" si="5"/>
        <v>741754.5001</v>
      </c>
      <c r="S53" s="12">
        <f t="shared" si="36"/>
        <v>0.7304051568</v>
      </c>
      <c r="T53" s="47">
        <f>IF(B53=0,"...",(N53/IF(E53="ABIERTA",CCL!$E$2,VLOOKUP(F53,CCL!$A$12:$B$773,2,FALSE))-K53))</f>
        <v>509.1378021</v>
      </c>
      <c r="U53" s="2"/>
      <c r="V53" s="10"/>
      <c r="W53" s="10"/>
      <c r="X53" s="59" t="str">
        <f t="shared" si="29"/>
        <v>...</v>
      </c>
      <c r="Y53" s="45" t="str">
        <f>IFERROR(__xludf.DUMMYFUNCTION("IF(W53=0,""..."",GOOGLEFINANCE(""BCBA:""&amp;W53))"),"...")</f>
        <v>...</v>
      </c>
      <c r="Z53" s="12"/>
      <c r="AA53" s="45"/>
      <c r="AB53" s="12" t="str">
        <f t="shared" si="26"/>
        <v/>
      </c>
      <c r="AC53" s="45" t="str">
        <f t="shared" si="37"/>
        <v>...</v>
      </c>
      <c r="AD53" s="45" t="str">
        <f t="shared" si="38"/>
        <v>...</v>
      </c>
      <c r="AE53" s="12" t="str">
        <f t="shared" si="11"/>
        <v>...</v>
      </c>
      <c r="AF53" s="45" t="str">
        <f t="shared" si="39"/>
        <v>...</v>
      </c>
      <c r="AG53" s="45" t="str">
        <f t="shared" si="27"/>
        <v>...</v>
      </c>
      <c r="AH53" s="12" t="str">
        <f t="shared" si="13"/>
        <v>...</v>
      </c>
      <c r="AI53" s="46" t="str">
        <f t="shared" si="40"/>
        <v>...</v>
      </c>
      <c r="AJ53" s="2"/>
      <c r="AK53" s="2"/>
      <c r="AL53" s="2"/>
      <c r="AM53" s="2"/>
      <c r="AN53" s="2"/>
      <c r="AO53" s="2"/>
    </row>
    <row r="54" ht="24.0" customHeight="1">
      <c r="A54" s="4"/>
      <c r="B54" s="30"/>
      <c r="C54" s="5" t="str">
        <f>IFERROR(__xludf.DUMMYFUNCTION("if(B54=0,""..."", sparkline(query(GOOGLEFINANCE(""BCBA:""&amp;B54,""price"",today()-$AM$47,today()),""select Col2"",0),{""charttype"",$AM$46}))"),"...")</f>
        <v>...</v>
      </c>
      <c r="D54" s="17"/>
      <c r="E54" s="31"/>
      <c r="F54" s="7"/>
      <c r="G54" s="8" t="str">
        <f t="shared" si="1"/>
        <v>...</v>
      </c>
      <c r="H54" s="31"/>
      <c r="I54" s="52"/>
      <c r="J54" s="45" t="str">
        <f t="shared" si="2"/>
        <v>...</v>
      </c>
      <c r="K54" s="47" t="str">
        <f t="array" ref="K54">IF(B54=0,"...",J54/VLOOKUP(D54,{CCL!M:N;CCL!$P:$Q},2,FALSE))</f>
        <v>...</v>
      </c>
      <c r="L54" s="45" t="str">
        <f t="shared" si="41"/>
        <v>...</v>
      </c>
      <c r="M54" s="45" t="str">
        <f>if(B54=0,"...",L54*(1-VLOOKUP(A54,Config!$B$3:$C$22,2,FALSE)))</f>
        <v>...</v>
      </c>
      <c r="N54" s="45" t="str">
        <f t="shared" si="3"/>
        <v>...</v>
      </c>
      <c r="O54" s="12" t="str">
        <f>IFERROR(__xludf.DUMMYFUNCTION("if(B54=0,""..."",GOOGLEFINANCE(B54,""changepct"")/100)"),"...")</f>
        <v>...</v>
      </c>
      <c r="P54" s="10" t="str">
        <f>IFERROR(__xludf.DUMMYFUNCTION("if(B54=0,""..."",GOOGLEFINANCE(B54,""change"")*H54)"),"...")</f>
        <v>...</v>
      </c>
      <c r="Q54" s="12" t="str">
        <f t="shared" si="4"/>
        <v>...</v>
      </c>
      <c r="R54" s="47" t="str">
        <f t="shared" si="5"/>
        <v>...</v>
      </c>
      <c r="S54" s="12" t="str">
        <f t="shared" si="36"/>
        <v>...</v>
      </c>
      <c r="T54" s="47" t="str">
        <f>IF(B54=0,"...",(N54/IF(E54="ABIERTA",CCL!$E$2,VLOOKUP(F54,CCL!$A$12:$B$773,2,FALSE))-K54))</f>
        <v>...</v>
      </c>
      <c r="U54" s="2"/>
      <c r="V54" s="10"/>
      <c r="W54" s="10"/>
      <c r="X54" s="59" t="str">
        <f t="shared" si="29"/>
        <v>...</v>
      </c>
      <c r="Y54" s="45" t="str">
        <f>IFERROR(__xludf.DUMMYFUNCTION("IF(W54=0,""..."",GOOGLEFINANCE(""BCBA:""&amp;W54))"),"...")</f>
        <v>...</v>
      </c>
      <c r="Z54" s="12"/>
      <c r="AA54" s="45"/>
      <c r="AB54" s="12" t="str">
        <f t="shared" si="26"/>
        <v/>
      </c>
      <c r="AC54" s="45" t="str">
        <f t="shared" si="37"/>
        <v>...</v>
      </c>
      <c r="AD54" s="45" t="str">
        <f t="shared" si="38"/>
        <v>...</v>
      </c>
      <c r="AE54" s="12" t="str">
        <f t="shared" si="11"/>
        <v>...</v>
      </c>
      <c r="AF54" s="45" t="str">
        <f t="shared" si="39"/>
        <v>...</v>
      </c>
      <c r="AG54" s="45" t="str">
        <f t="shared" si="27"/>
        <v>...</v>
      </c>
      <c r="AH54" s="12" t="str">
        <f t="shared" si="13"/>
        <v>...</v>
      </c>
      <c r="AI54" s="46" t="str">
        <f t="shared" si="40"/>
        <v>...</v>
      </c>
      <c r="AJ54" s="2"/>
      <c r="AK54" s="2"/>
      <c r="AL54" s="2"/>
      <c r="AM54" s="2"/>
      <c r="AN54" s="2"/>
      <c r="AO54" s="2"/>
    </row>
    <row r="55" ht="24.0" customHeight="1">
      <c r="A55" s="4"/>
      <c r="B55" s="30"/>
      <c r="C55" s="5" t="str">
        <f>IFERROR(__xludf.DUMMYFUNCTION("if(B55=0,""..."", sparkline(query(GOOGLEFINANCE(""BCBA:""&amp;B55,""price"",today()-$AM$47,today()),""select Col2"",0),{""charttype"",$AM$46}))"),"...")</f>
        <v>...</v>
      </c>
      <c r="D55" s="17"/>
      <c r="E55" s="31"/>
      <c r="F55" s="7"/>
      <c r="G55" s="8" t="str">
        <f t="shared" si="1"/>
        <v>...</v>
      </c>
      <c r="H55" s="31"/>
      <c r="I55" s="52"/>
      <c r="J55" s="45" t="str">
        <f t="shared" si="2"/>
        <v>...</v>
      </c>
      <c r="K55" s="47" t="str">
        <f t="array" ref="K55">IF(B55=0,"...",J55/VLOOKUP(D55,{CCL!M:N;CCL!$P:$Q},2,FALSE))</f>
        <v>...</v>
      </c>
      <c r="L55" s="45" t="str">
        <f t="shared" si="41"/>
        <v>...</v>
      </c>
      <c r="M55" s="45" t="str">
        <f>if(B55=0,"...",L55*(1-VLOOKUP(A55,Config!$B$3:$C$22,2,FALSE)))</f>
        <v>...</v>
      </c>
      <c r="N55" s="45" t="str">
        <f t="shared" si="3"/>
        <v>...</v>
      </c>
      <c r="O55" s="12" t="str">
        <f>IFERROR(__xludf.DUMMYFUNCTION("if(B55=0,""..."",GOOGLEFINANCE(B55,""changepct"")/100)"),"...")</f>
        <v>...</v>
      </c>
      <c r="P55" s="10" t="str">
        <f>IFERROR(__xludf.DUMMYFUNCTION("if(B55=0,""..."",GOOGLEFINANCE(B55,""change"")*H55)"),"...")</f>
        <v>...</v>
      </c>
      <c r="Q55" s="12" t="str">
        <f t="shared" si="4"/>
        <v>...</v>
      </c>
      <c r="R55" s="47" t="str">
        <f t="shared" si="5"/>
        <v>...</v>
      </c>
      <c r="S55" s="12" t="str">
        <f t="shared" si="36"/>
        <v>...</v>
      </c>
      <c r="T55" s="47" t="str">
        <f>IF(B55=0,"...",(N55/IF(E55="ABIERTA",CCL!$E$2,VLOOKUP(F55,CCL!$A$12:$B$773,2,FALSE))-K55))</f>
        <v>...</v>
      </c>
      <c r="U55" s="2"/>
      <c r="V55" s="10"/>
      <c r="W55" s="10"/>
      <c r="X55" s="59" t="str">
        <f t="shared" si="29"/>
        <v>...</v>
      </c>
      <c r="Y55" s="45" t="str">
        <f>IFERROR(__xludf.DUMMYFUNCTION("IF(W55=0,""..."",GOOGLEFINANCE(""BCBA:""&amp;W55))"),"...")</f>
        <v>...</v>
      </c>
      <c r="Z55" s="12"/>
      <c r="AA55" s="45"/>
      <c r="AB55" s="12" t="str">
        <f t="shared" si="26"/>
        <v/>
      </c>
      <c r="AC55" s="45" t="str">
        <f t="shared" si="37"/>
        <v>...</v>
      </c>
      <c r="AD55" s="45" t="str">
        <f t="shared" si="38"/>
        <v>...</v>
      </c>
      <c r="AE55" s="12" t="str">
        <f t="shared" si="11"/>
        <v>...</v>
      </c>
      <c r="AF55" s="45" t="str">
        <f t="shared" si="39"/>
        <v>...</v>
      </c>
      <c r="AG55" s="45" t="str">
        <f t="shared" si="27"/>
        <v>...</v>
      </c>
      <c r="AH55" s="12" t="str">
        <f t="shared" si="13"/>
        <v>...</v>
      </c>
      <c r="AI55" s="46" t="str">
        <f t="shared" si="40"/>
        <v>...</v>
      </c>
      <c r="AJ55" s="2"/>
      <c r="AK55" s="2"/>
      <c r="AL55" s="2"/>
      <c r="AM55" s="2"/>
      <c r="AN55" s="2"/>
      <c r="AO55" s="2"/>
    </row>
    <row r="56" ht="24.0" customHeight="1">
      <c r="A56" s="4"/>
      <c r="B56" s="30"/>
      <c r="C56" s="5" t="str">
        <f>IFERROR(__xludf.DUMMYFUNCTION("if(B56=0,""..."", sparkline(query(GOOGLEFINANCE(""BCBA:""&amp;B56,""price"",today()-$AM$47,today()),""select Col2"",0),{""charttype"",$AM$46}))"),"...")</f>
        <v>...</v>
      </c>
      <c r="D56" s="17"/>
      <c r="E56" s="31"/>
      <c r="F56" s="7"/>
      <c r="G56" s="8" t="str">
        <f t="shared" si="1"/>
        <v>...</v>
      </c>
      <c r="H56" s="31"/>
      <c r="I56" s="52"/>
      <c r="J56" s="45" t="str">
        <f t="shared" si="2"/>
        <v>...</v>
      </c>
      <c r="K56" s="47" t="str">
        <f t="array" ref="K56">IF(B56=0,"...",J56/VLOOKUP(D56,{CCL!M:N;CCL!$P:$Q},2,FALSE))</f>
        <v>...</v>
      </c>
      <c r="L56" s="45" t="str">
        <f t="shared" si="41"/>
        <v>...</v>
      </c>
      <c r="M56" s="45" t="str">
        <f>if(B56=0,"...",L56*(1-VLOOKUP(A56,Config!$B$3:$C$22,2,FALSE)))</f>
        <v>...</v>
      </c>
      <c r="N56" s="45" t="str">
        <f t="shared" si="3"/>
        <v>...</v>
      </c>
      <c r="O56" s="12" t="str">
        <f>IFERROR(__xludf.DUMMYFUNCTION("if(B56=0,""..."",GOOGLEFINANCE(B56,""changepct"")/100)"),"...")</f>
        <v>...</v>
      </c>
      <c r="P56" s="10" t="str">
        <f>IFERROR(__xludf.DUMMYFUNCTION("if(B56=0,""..."",GOOGLEFINANCE(B56,""change"")*H56)"),"...")</f>
        <v>...</v>
      </c>
      <c r="Q56" s="12" t="str">
        <f t="shared" si="4"/>
        <v>...</v>
      </c>
      <c r="R56" s="47" t="str">
        <f t="shared" si="5"/>
        <v>...</v>
      </c>
      <c r="S56" s="12" t="str">
        <f t="shared" si="36"/>
        <v>...</v>
      </c>
      <c r="T56" s="47" t="str">
        <f>IF(B56=0,"...",(N56/IF(E56="ABIERTA",CCL!$E$2,VLOOKUP(F56,CCL!$A$12:$B$773,2,FALSE))-K56))</f>
        <v>...</v>
      </c>
      <c r="U56" s="2"/>
      <c r="V56" s="10"/>
      <c r="W56" s="10"/>
      <c r="X56" s="59" t="str">
        <f t="shared" si="29"/>
        <v>...</v>
      </c>
      <c r="Y56" s="45" t="str">
        <f>IFERROR(__xludf.DUMMYFUNCTION("IF(W56=0,""..."",GOOGLEFINANCE(""BCBA:""&amp;W56))"),"...")</f>
        <v>...</v>
      </c>
      <c r="Z56" s="12"/>
      <c r="AA56" s="45"/>
      <c r="AB56" s="12" t="str">
        <f t="shared" si="26"/>
        <v/>
      </c>
      <c r="AC56" s="45" t="str">
        <f t="shared" si="37"/>
        <v>...</v>
      </c>
      <c r="AD56" s="45" t="str">
        <f t="shared" si="38"/>
        <v>...</v>
      </c>
      <c r="AE56" s="12" t="str">
        <f t="shared" si="11"/>
        <v>...</v>
      </c>
      <c r="AF56" s="45" t="str">
        <f t="shared" si="39"/>
        <v>...</v>
      </c>
      <c r="AG56" s="45" t="str">
        <f t="shared" si="27"/>
        <v>...</v>
      </c>
      <c r="AH56" s="12" t="str">
        <f t="shared" si="13"/>
        <v>...</v>
      </c>
      <c r="AI56" s="46" t="str">
        <f t="shared" si="40"/>
        <v>...</v>
      </c>
      <c r="AJ56" s="2"/>
      <c r="AK56" s="2"/>
      <c r="AL56" s="2"/>
      <c r="AM56" s="2"/>
      <c r="AN56" s="2"/>
      <c r="AO56" s="2"/>
    </row>
    <row r="57" ht="24.0" customHeight="1">
      <c r="A57" s="4"/>
      <c r="B57" s="30"/>
      <c r="C57" s="5" t="str">
        <f>IFERROR(__xludf.DUMMYFUNCTION("if(B57=0,""..."", sparkline(query(GOOGLEFINANCE(""BCBA:""&amp;B57,""price"",today()-$AM$47,today()),""select Col2"",0),{""charttype"",$AM$46}))"),"...")</f>
        <v>...</v>
      </c>
      <c r="D57" s="17"/>
      <c r="E57" s="31"/>
      <c r="F57" s="7"/>
      <c r="G57" s="8" t="str">
        <f t="shared" si="1"/>
        <v>...</v>
      </c>
      <c r="H57" s="31"/>
      <c r="I57" s="52"/>
      <c r="J57" s="45" t="str">
        <f t="shared" si="2"/>
        <v>...</v>
      </c>
      <c r="K57" s="47" t="str">
        <f t="array" ref="K57">IF(B57=0,"...",J57/VLOOKUP(D57,{CCL!M:N;CCL!$P:$Q},2,FALSE))</f>
        <v>...</v>
      </c>
      <c r="L57" s="45" t="str">
        <f t="shared" si="41"/>
        <v>...</v>
      </c>
      <c r="M57" s="45" t="str">
        <f>if(B57=0,"...",L57*(1-VLOOKUP(A57,Config!$B$3:$C$22,2,FALSE)))</f>
        <v>...</v>
      </c>
      <c r="N57" s="45" t="str">
        <f t="shared" si="3"/>
        <v>...</v>
      </c>
      <c r="O57" s="12" t="str">
        <f>IFERROR(__xludf.DUMMYFUNCTION("if(B57=0,""..."",GOOGLEFINANCE(B57,""changepct"")/100)"),"...")</f>
        <v>...</v>
      </c>
      <c r="P57" s="10" t="str">
        <f>IFERROR(__xludf.DUMMYFUNCTION("if(B57=0,""..."",GOOGLEFINANCE(B57,""change"")*H57)"),"...")</f>
        <v>...</v>
      </c>
      <c r="Q57" s="12" t="str">
        <f t="shared" si="4"/>
        <v>...</v>
      </c>
      <c r="R57" s="47" t="str">
        <f t="shared" si="5"/>
        <v>...</v>
      </c>
      <c r="S57" s="12" t="str">
        <f t="shared" si="36"/>
        <v>...</v>
      </c>
      <c r="T57" s="47" t="str">
        <f>IF(B57=0,"...",(N57/IF(E57="ABIERTA",CCL!$E$2,VLOOKUP(F57,CCL!$A$12:$B$773,2,FALSE))-K57))</f>
        <v>...</v>
      </c>
      <c r="U57" s="2"/>
      <c r="V57" s="10"/>
      <c r="W57" s="10"/>
      <c r="X57" s="59" t="str">
        <f t="shared" si="29"/>
        <v>...</v>
      </c>
      <c r="Y57" s="45" t="str">
        <f>IFERROR(__xludf.DUMMYFUNCTION("IF(W57=0,""..."",GOOGLEFINANCE(""BCBA:""&amp;W57))"),"...")</f>
        <v>...</v>
      </c>
      <c r="Z57" s="12"/>
      <c r="AA57" s="45"/>
      <c r="AB57" s="12" t="str">
        <f t="shared" si="26"/>
        <v/>
      </c>
      <c r="AC57" s="45" t="str">
        <f t="shared" si="37"/>
        <v>...</v>
      </c>
      <c r="AD57" s="45" t="str">
        <f t="shared" si="38"/>
        <v>...</v>
      </c>
      <c r="AE57" s="12" t="str">
        <f t="shared" si="11"/>
        <v>...</v>
      </c>
      <c r="AF57" s="45" t="str">
        <f t="shared" si="39"/>
        <v>...</v>
      </c>
      <c r="AG57" s="45" t="str">
        <f t="shared" si="27"/>
        <v>...</v>
      </c>
      <c r="AH57" s="12" t="str">
        <f t="shared" si="13"/>
        <v>...</v>
      </c>
      <c r="AI57" s="46" t="str">
        <f t="shared" si="40"/>
        <v>...</v>
      </c>
      <c r="AJ57" s="2"/>
      <c r="AK57" s="2"/>
      <c r="AL57" s="2"/>
      <c r="AM57" s="2"/>
      <c r="AN57" s="2"/>
      <c r="AO57" s="2"/>
    </row>
    <row r="58" ht="24.0" customHeight="1">
      <c r="A58" s="4"/>
      <c r="B58" s="30"/>
      <c r="C58" s="5" t="str">
        <f>IFERROR(__xludf.DUMMYFUNCTION("if(B58=0,""..."", sparkline(query(GOOGLEFINANCE(""BCBA:""&amp;B58,""price"",today()-$AM$47,today()),""select Col2"",0),{""charttype"",$AM$46}))"),"...")</f>
        <v>...</v>
      </c>
      <c r="D58" s="17"/>
      <c r="E58" s="31"/>
      <c r="F58" s="7"/>
      <c r="G58" s="8" t="str">
        <f t="shared" si="1"/>
        <v>...</v>
      </c>
      <c r="H58" s="31"/>
      <c r="I58" s="52"/>
      <c r="J58" s="45" t="str">
        <f t="shared" si="2"/>
        <v>...</v>
      </c>
      <c r="K58" s="47" t="str">
        <f t="array" ref="K58">IF(B58=0,"...",J58/VLOOKUP(D58,{CCL!M:N;CCL!$P:$Q},2,FALSE))</f>
        <v>...</v>
      </c>
      <c r="L58" s="45" t="str">
        <f t="shared" si="41"/>
        <v>...</v>
      </c>
      <c r="M58" s="45" t="str">
        <f>if(B58=0,"...",L58*(1-VLOOKUP(A58,Config!$B$3:$C$22,2,FALSE)))</f>
        <v>...</v>
      </c>
      <c r="N58" s="45" t="str">
        <f t="shared" si="3"/>
        <v>...</v>
      </c>
      <c r="O58" s="12" t="str">
        <f>IFERROR(__xludf.DUMMYFUNCTION("if(B58=0,""..."",GOOGLEFINANCE(B58,""changepct"")/100)"),"...")</f>
        <v>...</v>
      </c>
      <c r="P58" s="10" t="str">
        <f>IFERROR(__xludf.DUMMYFUNCTION("if(B58=0,""..."",GOOGLEFINANCE(B58,""change"")*H58)"),"...")</f>
        <v>...</v>
      </c>
      <c r="Q58" s="12" t="str">
        <f t="shared" si="4"/>
        <v>...</v>
      </c>
      <c r="R58" s="47" t="str">
        <f t="shared" si="5"/>
        <v>...</v>
      </c>
      <c r="S58" s="12" t="str">
        <f t="shared" si="36"/>
        <v>...</v>
      </c>
      <c r="T58" s="47" t="str">
        <f>IF(B58=0,"...",(N58/IF(E58="ABIERTA",CCL!$E$2,VLOOKUP(F58,CCL!$A$12:$B$773,2,FALSE))-K58))</f>
        <v>...</v>
      </c>
      <c r="U58" s="2"/>
      <c r="V58" s="10"/>
      <c r="W58" s="10"/>
      <c r="X58" s="59" t="str">
        <f t="shared" si="29"/>
        <v>...</v>
      </c>
      <c r="Y58" s="45" t="str">
        <f>IFERROR(__xludf.DUMMYFUNCTION("IF(W58=0,""..."",GOOGLEFINANCE(""BCBA:""&amp;W58))"),"...")</f>
        <v>...</v>
      </c>
      <c r="Z58" s="12"/>
      <c r="AA58" s="45"/>
      <c r="AB58" s="12" t="str">
        <f t="shared" si="26"/>
        <v/>
      </c>
      <c r="AC58" s="45" t="str">
        <f t="shared" si="37"/>
        <v>...</v>
      </c>
      <c r="AD58" s="45" t="str">
        <f t="shared" si="38"/>
        <v>...</v>
      </c>
      <c r="AE58" s="12" t="str">
        <f t="shared" si="11"/>
        <v>...</v>
      </c>
      <c r="AF58" s="45" t="str">
        <f t="shared" si="39"/>
        <v>...</v>
      </c>
      <c r="AG58" s="45" t="str">
        <f t="shared" si="27"/>
        <v>...</v>
      </c>
      <c r="AH58" s="12" t="str">
        <f t="shared" si="13"/>
        <v>...</v>
      </c>
      <c r="AI58" s="46" t="str">
        <f t="shared" si="40"/>
        <v>...</v>
      </c>
      <c r="AJ58" s="2"/>
      <c r="AK58" s="2"/>
      <c r="AL58" s="2"/>
      <c r="AM58" s="2"/>
      <c r="AN58" s="2"/>
      <c r="AO58" s="2"/>
    </row>
    <row r="59" ht="24.0" customHeight="1">
      <c r="A59" s="4"/>
      <c r="B59" s="30"/>
      <c r="C59" s="5" t="str">
        <f>IFERROR(__xludf.DUMMYFUNCTION("if(B59=0,""..."", sparkline(query(GOOGLEFINANCE(""BCBA:""&amp;B59,""price"",today()-$AM$47,today()),""select Col2"",0),{""charttype"",$AM$46}))"),"...")</f>
        <v>...</v>
      </c>
      <c r="D59" s="17"/>
      <c r="E59" s="31"/>
      <c r="F59" s="7"/>
      <c r="G59" s="8" t="str">
        <f t="shared" si="1"/>
        <v>...</v>
      </c>
      <c r="H59" s="31"/>
      <c r="I59" s="52"/>
      <c r="J59" s="45" t="str">
        <f t="shared" si="2"/>
        <v>...</v>
      </c>
      <c r="K59" s="47" t="str">
        <f t="array" ref="K59">IF(B59=0,"...",J59/VLOOKUP(D59,{CCL!M:N;CCL!$P:$Q},2,FALSE))</f>
        <v>...</v>
      </c>
      <c r="L59" s="45" t="str">
        <f t="shared" si="41"/>
        <v>...</v>
      </c>
      <c r="M59" s="45" t="str">
        <f>if(B59=0,"...",L59*(1-VLOOKUP(A59,Config!$B$3:$C$22,2,FALSE)))</f>
        <v>...</v>
      </c>
      <c r="N59" s="45" t="str">
        <f t="shared" si="3"/>
        <v>...</v>
      </c>
      <c r="O59" s="12" t="str">
        <f>IFERROR(__xludf.DUMMYFUNCTION("if(B59=0,""..."",GOOGLEFINANCE(B59,""changepct"")/100)"),"...")</f>
        <v>...</v>
      </c>
      <c r="P59" s="10" t="str">
        <f>IFERROR(__xludf.DUMMYFUNCTION("if(B59=0,""..."",GOOGLEFINANCE(B59,""change"")*H59)"),"...")</f>
        <v>...</v>
      </c>
      <c r="Q59" s="12" t="str">
        <f t="shared" si="4"/>
        <v>...</v>
      </c>
      <c r="R59" s="47" t="str">
        <f t="shared" si="5"/>
        <v>...</v>
      </c>
      <c r="S59" s="12" t="str">
        <f t="shared" si="36"/>
        <v>...</v>
      </c>
      <c r="T59" s="47" t="str">
        <f>IF(B59=0,"...",(N59/IF(E59="ABIERTA",CCL!$E$2,VLOOKUP(F59,CCL!$A$12:$B$773,2,FALSE))-K59))</f>
        <v>...</v>
      </c>
      <c r="U59" s="2"/>
      <c r="V59" s="10"/>
      <c r="W59" s="10"/>
      <c r="X59" s="59" t="str">
        <f t="shared" si="29"/>
        <v>...</v>
      </c>
      <c r="Y59" s="45" t="str">
        <f>IFERROR(__xludf.DUMMYFUNCTION("IF(W59=0,""..."",GOOGLEFINANCE(""BCBA:""&amp;W59))"),"...")</f>
        <v>...</v>
      </c>
      <c r="Z59" s="12"/>
      <c r="AA59" s="45"/>
      <c r="AB59" s="12" t="str">
        <f t="shared" si="26"/>
        <v/>
      </c>
      <c r="AC59" s="45" t="str">
        <f t="shared" si="37"/>
        <v>...</v>
      </c>
      <c r="AD59" s="45" t="str">
        <f t="shared" si="38"/>
        <v>...</v>
      </c>
      <c r="AE59" s="12" t="str">
        <f t="shared" si="11"/>
        <v>...</v>
      </c>
      <c r="AF59" s="45" t="str">
        <f t="shared" si="39"/>
        <v>...</v>
      </c>
      <c r="AG59" s="45" t="str">
        <f t="shared" si="27"/>
        <v>...</v>
      </c>
      <c r="AH59" s="12" t="str">
        <f t="shared" si="13"/>
        <v>...</v>
      </c>
      <c r="AI59" s="46" t="str">
        <f t="shared" si="40"/>
        <v>...</v>
      </c>
      <c r="AJ59" s="2"/>
      <c r="AK59" s="2"/>
      <c r="AL59" s="2"/>
      <c r="AM59" s="2"/>
      <c r="AN59" s="2"/>
      <c r="AO59" s="2"/>
    </row>
    <row r="60" ht="24.0" customHeight="1">
      <c r="A60" s="4"/>
      <c r="B60" s="30"/>
      <c r="C60" s="5" t="str">
        <f>IFERROR(__xludf.DUMMYFUNCTION("if(B60=0,""..."", sparkline(query(GOOGLEFINANCE(""BCBA:""&amp;B60,""price"",today()-$AM$47,today()),""select Col2"",0),{""charttype"",$AM$46}))"),"...")</f>
        <v>...</v>
      </c>
      <c r="D60" s="17"/>
      <c r="E60" s="31"/>
      <c r="F60" s="7"/>
      <c r="G60" s="8" t="str">
        <f t="shared" si="1"/>
        <v>...</v>
      </c>
      <c r="H60" s="31"/>
      <c r="I60" s="52"/>
      <c r="J60" s="45" t="str">
        <f t="shared" si="2"/>
        <v>...</v>
      </c>
      <c r="K60" s="47" t="str">
        <f t="array" ref="K60">IF(B60=0,"...",J60/VLOOKUP(D60,{CCL!M:N;CCL!$P:$Q},2,FALSE))</f>
        <v>...</v>
      </c>
      <c r="L60" s="45" t="str">
        <f t="shared" si="41"/>
        <v>...</v>
      </c>
      <c r="M60" s="45" t="str">
        <f>if(B60=0,"...",L60*(1-VLOOKUP(A60,Config!$B$3:$C$22,2,FALSE)))</f>
        <v>...</v>
      </c>
      <c r="N60" s="45" t="str">
        <f t="shared" si="3"/>
        <v>...</v>
      </c>
      <c r="O60" s="12" t="str">
        <f>IFERROR(__xludf.DUMMYFUNCTION("if(B60=0,""..."",GOOGLEFINANCE(B60,""changepct"")/100)"),"...")</f>
        <v>...</v>
      </c>
      <c r="P60" s="10" t="str">
        <f>IFERROR(__xludf.DUMMYFUNCTION("if(B60=0,""..."",GOOGLEFINANCE(B60,""change"")*H60)"),"...")</f>
        <v>...</v>
      </c>
      <c r="Q60" s="12" t="str">
        <f t="shared" si="4"/>
        <v>...</v>
      </c>
      <c r="R60" s="47" t="str">
        <f t="shared" si="5"/>
        <v>...</v>
      </c>
      <c r="S60" s="12" t="str">
        <f t="shared" si="36"/>
        <v>...</v>
      </c>
      <c r="T60" s="47" t="str">
        <f>IF(B60=0,"...",(N60/IF(E60="ABIERTA",CCL!$E$2,VLOOKUP(F60,CCL!$A$12:$B$773,2,FALSE))-K60))</f>
        <v>...</v>
      </c>
      <c r="U60" s="2"/>
      <c r="V60" s="10"/>
      <c r="W60" s="10"/>
      <c r="X60" s="59" t="str">
        <f t="shared" si="29"/>
        <v>...</v>
      </c>
      <c r="Y60" s="45" t="str">
        <f>IFERROR(__xludf.DUMMYFUNCTION("IF(W60=0,""..."",GOOGLEFINANCE(""BCBA:""&amp;W60))"),"...")</f>
        <v>...</v>
      </c>
      <c r="Z60" s="12"/>
      <c r="AA60" s="45"/>
      <c r="AB60" s="12" t="str">
        <f t="shared" si="26"/>
        <v/>
      </c>
      <c r="AC60" s="45" t="str">
        <f t="shared" si="37"/>
        <v>...</v>
      </c>
      <c r="AD60" s="45" t="str">
        <f t="shared" si="38"/>
        <v>...</v>
      </c>
      <c r="AE60" s="12" t="str">
        <f t="shared" si="11"/>
        <v>...</v>
      </c>
      <c r="AF60" s="45" t="str">
        <f t="shared" si="39"/>
        <v>...</v>
      </c>
      <c r="AG60" s="45" t="str">
        <f t="shared" si="27"/>
        <v>...</v>
      </c>
      <c r="AH60" s="12" t="str">
        <f t="shared" si="13"/>
        <v>...</v>
      </c>
      <c r="AI60" s="46" t="str">
        <f t="shared" si="40"/>
        <v>...</v>
      </c>
      <c r="AJ60" s="2"/>
      <c r="AK60" s="2"/>
      <c r="AL60" s="2"/>
      <c r="AM60" s="2"/>
      <c r="AN60" s="2"/>
      <c r="AO60" s="2"/>
    </row>
    <row r="61" ht="24.0" customHeight="1">
      <c r="A61" s="4"/>
      <c r="B61" s="30"/>
      <c r="C61" s="5" t="str">
        <f>IFERROR(__xludf.DUMMYFUNCTION("if(B61=0,""..."", sparkline(query(GOOGLEFINANCE(""BCBA:""&amp;B61,""price"",today()-$AM$47,today()),""select Col2"",0),{""charttype"",$AM$46}))"),"...")</f>
        <v>...</v>
      </c>
      <c r="D61" s="17"/>
      <c r="E61" s="31"/>
      <c r="F61" s="7"/>
      <c r="G61" s="8" t="str">
        <f t="shared" si="1"/>
        <v>...</v>
      </c>
      <c r="H61" s="31"/>
      <c r="I61" s="52"/>
      <c r="J61" s="45" t="str">
        <f t="shared" si="2"/>
        <v>...</v>
      </c>
      <c r="K61" s="47" t="str">
        <f t="array" ref="K61">IF(B61=0,"...",J61/VLOOKUP(D61,{CCL!M:N;CCL!$P:$Q},2,FALSE))</f>
        <v>...</v>
      </c>
      <c r="L61" s="45" t="str">
        <f t="shared" si="41"/>
        <v>...</v>
      </c>
      <c r="M61" s="45" t="str">
        <f>if(B61=0,"...",L61*(1-VLOOKUP(A61,Config!$B$3:$C$22,2,FALSE)))</f>
        <v>...</v>
      </c>
      <c r="N61" s="45" t="str">
        <f t="shared" si="3"/>
        <v>...</v>
      </c>
      <c r="O61" s="12" t="str">
        <f>IFERROR(__xludf.DUMMYFUNCTION("if(B61=0,""..."",GOOGLEFINANCE(B61,""changepct"")/100)"),"...")</f>
        <v>...</v>
      </c>
      <c r="P61" s="10" t="str">
        <f>IFERROR(__xludf.DUMMYFUNCTION("if(B61=0,""..."",GOOGLEFINANCE(B61,""change"")*H61)"),"...")</f>
        <v>...</v>
      </c>
      <c r="Q61" s="12" t="str">
        <f t="shared" si="4"/>
        <v>...</v>
      </c>
      <c r="R61" s="47" t="str">
        <f t="shared" si="5"/>
        <v>...</v>
      </c>
      <c r="S61" s="12" t="str">
        <f t="shared" si="36"/>
        <v>...</v>
      </c>
      <c r="T61" s="47" t="str">
        <f>IF(B61=0,"...",(N61/IF(E61="ABIERTA",CCL!$E$2,VLOOKUP(F61,CCL!$A$12:$B$773,2,FALSE))-K61))</f>
        <v>...</v>
      </c>
      <c r="U61" s="2"/>
      <c r="V61" s="10"/>
      <c r="W61" s="10"/>
      <c r="X61" s="59" t="str">
        <f t="shared" si="29"/>
        <v>...</v>
      </c>
      <c r="Y61" s="45" t="str">
        <f>IFERROR(__xludf.DUMMYFUNCTION("IF(W61=0,""..."",GOOGLEFINANCE(""BCBA:""&amp;W61))"),"...")</f>
        <v>...</v>
      </c>
      <c r="Z61" s="12"/>
      <c r="AA61" s="45"/>
      <c r="AB61" s="12" t="str">
        <f t="shared" si="26"/>
        <v/>
      </c>
      <c r="AC61" s="45" t="str">
        <f t="shared" si="37"/>
        <v>...</v>
      </c>
      <c r="AD61" s="45" t="str">
        <f t="shared" si="38"/>
        <v>...</v>
      </c>
      <c r="AE61" s="12" t="str">
        <f t="shared" si="11"/>
        <v>...</v>
      </c>
      <c r="AF61" s="45" t="str">
        <f t="shared" si="39"/>
        <v>...</v>
      </c>
      <c r="AG61" s="45" t="str">
        <f t="shared" si="27"/>
        <v>...</v>
      </c>
      <c r="AH61" s="12" t="str">
        <f t="shared" si="13"/>
        <v>...</v>
      </c>
      <c r="AI61" s="46" t="str">
        <f t="shared" si="40"/>
        <v>...</v>
      </c>
      <c r="AJ61" s="2"/>
      <c r="AK61" s="2"/>
      <c r="AL61" s="2"/>
      <c r="AM61" s="2"/>
      <c r="AN61" s="2"/>
      <c r="AO61" s="2"/>
    </row>
    <row r="62" ht="24.0" customHeight="1">
      <c r="A62" s="4"/>
      <c r="B62" s="30"/>
      <c r="C62" s="5" t="str">
        <f>IFERROR(__xludf.DUMMYFUNCTION("if(B62=0,""..."", sparkline(query(GOOGLEFINANCE(""BCBA:""&amp;B62,""price"",today()-$AM$47,today()),""select Col2"",0),{""charttype"",$AM$46}))"),"...")</f>
        <v>...</v>
      </c>
      <c r="D62" s="17"/>
      <c r="E62" s="31"/>
      <c r="F62" s="7"/>
      <c r="G62" s="8" t="str">
        <f t="shared" si="1"/>
        <v>...</v>
      </c>
      <c r="H62" s="31"/>
      <c r="I62" s="52"/>
      <c r="J62" s="45" t="str">
        <f t="shared" si="2"/>
        <v>...</v>
      </c>
      <c r="K62" s="47" t="str">
        <f t="array" ref="K62">IF(B62=0,"...",J62/VLOOKUP(D62,{CCL!M:N;CCL!$P:$Q},2,FALSE))</f>
        <v>...</v>
      </c>
      <c r="L62" s="45" t="str">
        <f t="shared" si="41"/>
        <v>...</v>
      </c>
      <c r="M62" s="45" t="str">
        <f>if(B62=0,"...",L62*(1-VLOOKUP(A62,Config!$B$3:$C$22,2,FALSE)))</f>
        <v>...</v>
      </c>
      <c r="N62" s="45" t="str">
        <f t="shared" si="3"/>
        <v>...</v>
      </c>
      <c r="O62" s="12" t="str">
        <f>IFERROR(__xludf.DUMMYFUNCTION("if(B62=0,""..."",GOOGLEFINANCE(B62,""changepct"")/100)"),"...")</f>
        <v>...</v>
      </c>
      <c r="P62" s="10" t="str">
        <f>IFERROR(__xludf.DUMMYFUNCTION("if(B62=0,""..."",GOOGLEFINANCE(B62,""change"")*H62)"),"...")</f>
        <v>...</v>
      </c>
      <c r="Q62" s="12" t="str">
        <f t="shared" si="4"/>
        <v>...</v>
      </c>
      <c r="R62" s="47" t="str">
        <f t="shared" si="5"/>
        <v>...</v>
      </c>
      <c r="S62" s="12" t="str">
        <f t="shared" si="36"/>
        <v>...</v>
      </c>
      <c r="T62" s="47" t="str">
        <f>IF(B62=0,"...",(N62/IF(E62="ABIERTA",CCL!$E$2,VLOOKUP(F62,CCL!$A$12:$B$773,2,FALSE))-K62))</f>
        <v>...</v>
      </c>
      <c r="U62" s="2"/>
      <c r="V62" s="10"/>
      <c r="W62" s="10"/>
      <c r="X62" s="59" t="str">
        <f t="shared" si="29"/>
        <v>...</v>
      </c>
      <c r="Y62" s="45" t="str">
        <f>IFERROR(__xludf.DUMMYFUNCTION("IF(W62=0,""..."",GOOGLEFINANCE(""BCBA:""&amp;W62))"),"...")</f>
        <v>...</v>
      </c>
      <c r="Z62" s="12"/>
      <c r="AA62" s="45"/>
      <c r="AB62" s="12" t="str">
        <f t="shared" si="26"/>
        <v/>
      </c>
      <c r="AC62" s="45" t="str">
        <f t="shared" si="37"/>
        <v>...</v>
      </c>
      <c r="AD62" s="45" t="str">
        <f t="shared" si="38"/>
        <v>...</v>
      </c>
      <c r="AE62" s="12" t="str">
        <f t="shared" si="11"/>
        <v>...</v>
      </c>
      <c r="AF62" s="45" t="str">
        <f t="shared" si="39"/>
        <v>...</v>
      </c>
      <c r="AG62" s="45" t="str">
        <f t="shared" si="27"/>
        <v>...</v>
      </c>
      <c r="AH62" s="12" t="str">
        <f t="shared" si="13"/>
        <v>...</v>
      </c>
      <c r="AI62" s="46" t="str">
        <f t="shared" si="40"/>
        <v>...</v>
      </c>
      <c r="AJ62" s="2"/>
      <c r="AK62" s="2"/>
      <c r="AL62" s="2"/>
      <c r="AM62" s="2"/>
      <c r="AN62" s="2"/>
      <c r="AO62" s="2"/>
    </row>
    <row r="63" ht="24.0" customHeight="1">
      <c r="A63" s="4"/>
      <c r="B63" s="30"/>
      <c r="C63" s="5" t="str">
        <f>IFERROR(__xludf.DUMMYFUNCTION("if(B63=0,""..."", sparkline(query(GOOGLEFINANCE(""BCBA:""&amp;B63,""price"",today()-$AM$47,today()),""select Col2"",0),{""charttype"",$AM$46}))"),"...")</f>
        <v>...</v>
      </c>
      <c r="D63" s="17"/>
      <c r="E63" s="31"/>
      <c r="F63" s="7"/>
      <c r="G63" s="8" t="str">
        <f t="shared" si="1"/>
        <v>...</v>
      </c>
      <c r="H63" s="31"/>
      <c r="I63" s="52"/>
      <c r="J63" s="45" t="str">
        <f t="shared" si="2"/>
        <v>...</v>
      </c>
      <c r="K63" s="47" t="str">
        <f t="array" ref="K63">IF(B63=0,"...",J63/VLOOKUP(D63,{CCL!M:N;CCL!$P:$Q},2,FALSE))</f>
        <v>...</v>
      </c>
      <c r="L63" s="45" t="str">
        <f t="shared" si="41"/>
        <v>...</v>
      </c>
      <c r="M63" s="45" t="str">
        <f>if(B63=0,"...",L63*(1-VLOOKUP(A63,Config!$B$3:$C$22,2,FALSE)))</f>
        <v>...</v>
      </c>
      <c r="N63" s="45" t="str">
        <f t="shared" si="3"/>
        <v>...</v>
      </c>
      <c r="O63" s="12" t="str">
        <f>IFERROR(__xludf.DUMMYFUNCTION("if(B63=0,""..."",GOOGLEFINANCE(B63,""changepct"")/100)"),"...")</f>
        <v>...</v>
      </c>
      <c r="P63" s="10" t="str">
        <f>IFERROR(__xludf.DUMMYFUNCTION("if(B63=0,""..."",GOOGLEFINANCE(B63,""change"")*H63)"),"...")</f>
        <v>...</v>
      </c>
      <c r="Q63" s="12" t="str">
        <f t="shared" si="4"/>
        <v>...</v>
      </c>
      <c r="R63" s="47" t="str">
        <f t="shared" si="5"/>
        <v>...</v>
      </c>
      <c r="S63" s="12" t="str">
        <f t="shared" si="36"/>
        <v>...</v>
      </c>
      <c r="T63" s="47" t="str">
        <f>IF(B63=0,"...",(N63/IF(E63="ABIERTA",CCL!$E$2,VLOOKUP(F63,CCL!$A$12:$B$773,2,FALSE))-K63))</f>
        <v>...</v>
      </c>
      <c r="U63" s="2"/>
      <c r="V63" s="10"/>
      <c r="W63" s="10"/>
      <c r="X63" s="59" t="str">
        <f t="shared" si="29"/>
        <v>...</v>
      </c>
      <c r="Y63" s="45" t="str">
        <f>IFERROR(__xludf.DUMMYFUNCTION("IF(W63=0,""..."",GOOGLEFINANCE(""BCBA:""&amp;W63))"),"...")</f>
        <v>...</v>
      </c>
      <c r="Z63" s="12"/>
      <c r="AA63" s="45"/>
      <c r="AB63" s="12" t="str">
        <f t="shared" si="26"/>
        <v/>
      </c>
      <c r="AC63" s="45" t="str">
        <f t="shared" si="37"/>
        <v>...</v>
      </c>
      <c r="AD63" s="45" t="str">
        <f t="shared" si="38"/>
        <v>...</v>
      </c>
      <c r="AE63" s="12" t="str">
        <f t="shared" si="11"/>
        <v>...</v>
      </c>
      <c r="AF63" s="45" t="str">
        <f t="shared" si="39"/>
        <v>...</v>
      </c>
      <c r="AG63" s="45" t="str">
        <f t="shared" si="27"/>
        <v>...</v>
      </c>
      <c r="AH63" s="12" t="str">
        <f t="shared" si="13"/>
        <v>...</v>
      </c>
      <c r="AI63" s="46" t="str">
        <f t="shared" si="40"/>
        <v>...</v>
      </c>
      <c r="AJ63" s="2"/>
      <c r="AK63" s="2"/>
      <c r="AL63" s="2"/>
      <c r="AM63" s="2"/>
      <c r="AN63" s="2"/>
      <c r="AO63" s="2"/>
    </row>
    <row r="64" ht="24.0" customHeight="1">
      <c r="A64" s="4"/>
      <c r="B64" s="30"/>
      <c r="C64" s="5" t="str">
        <f>IFERROR(__xludf.DUMMYFUNCTION("if(B64=0,""..."", sparkline(query(GOOGLEFINANCE(""BCBA:""&amp;B64,""price"",today()-$AM$47,today()),""select Col2"",0),{""charttype"",$AM$46}))"),"...")</f>
        <v>...</v>
      </c>
      <c r="D64" s="17"/>
      <c r="E64" s="31"/>
      <c r="F64" s="7"/>
      <c r="G64" s="8" t="str">
        <f t="shared" si="1"/>
        <v>...</v>
      </c>
      <c r="H64" s="31"/>
      <c r="I64" s="52"/>
      <c r="J64" s="45" t="str">
        <f t="shared" si="2"/>
        <v>...</v>
      </c>
      <c r="K64" s="47" t="str">
        <f t="array" ref="K64">IF(B64=0,"...",J64/VLOOKUP(D64,{CCL!M:N;CCL!$P:$Q},2,FALSE))</f>
        <v>...</v>
      </c>
      <c r="L64" s="45" t="str">
        <f t="shared" si="41"/>
        <v>...</v>
      </c>
      <c r="M64" s="45" t="str">
        <f>if(B64=0,"...",L64*(1-VLOOKUP(A64,Config!$B$3:$C$22,2,FALSE)))</f>
        <v>...</v>
      </c>
      <c r="N64" s="45" t="str">
        <f t="shared" si="3"/>
        <v>...</v>
      </c>
      <c r="O64" s="12" t="str">
        <f>IFERROR(__xludf.DUMMYFUNCTION("if(B64=0,""..."",GOOGLEFINANCE(B64,""changepct"")/100)"),"...")</f>
        <v>...</v>
      </c>
      <c r="P64" s="10" t="str">
        <f>IFERROR(__xludf.DUMMYFUNCTION("if(B64=0,""..."",GOOGLEFINANCE(B64,""change"")*H64)"),"...")</f>
        <v>...</v>
      </c>
      <c r="Q64" s="12" t="str">
        <f t="shared" si="4"/>
        <v>...</v>
      </c>
      <c r="R64" s="47" t="str">
        <f t="shared" si="5"/>
        <v>...</v>
      </c>
      <c r="S64" s="12" t="str">
        <f t="shared" si="36"/>
        <v>...</v>
      </c>
      <c r="T64" s="47" t="str">
        <f>IF(B64=0,"...",(N64/IF(E64="ABIERTA",CCL!$E$2,VLOOKUP(F64,CCL!$A$12:$B$773,2,FALSE))-K64))</f>
        <v>...</v>
      </c>
      <c r="U64" s="2"/>
      <c r="V64" s="10"/>
      <c r="W64" s="10"/>
      <c r="X64" s="59" t="str">
        <f t="shared" si="29"/>
        <v>...</v>
      </c>
      <c r="Y64" s="45" t="str">
        <f>IFERROR(__xludf.DUMMYFUNCTION("IF(W64=0,""..."",GOOGLEFINANCE(""BCBA:""&amp;W64))"),"...")</f>
        <v>...</v>
      </c>
      <c r="Z64" s="12"/>
      <c r="AA64" s="45"/>
      <c r="AB64" s="12" t="str">
        <f t="shared" si="26"/>
        <v/>
      </c>
      <c r="AC64" s="45" t="str">
        <f t="shared" si="37"/>
        <v>...</v>
      </c>
      <c r="AD64" s="45" t="str">
        <f t="shared" si="38"/>
        <v>...</v>
      </c>
      <c r="AE64" s="12" t="str">
        <f t="shared" si="11"/>
        <v>...</v>
      </c>
      <c r="AF64" s="45" t="str">
        <f t="shared" si="39"/>
        <v>...</v>
      </c>
      <c r="AG64" s="45" t="str">
        <f t="shared" si="27"/>
        <v>...</v>
      </c>
      <c r="AH64" s="12" t="str">
        <f t="shared" si="13"/>
        <v>...</v>
      </c>
      <c r="AI64" s="46" t="str">
        <f t="shared" si="40"/>
        <v>...</v>
      </c>
      <c r="AJ64" s="2"/>
      <c r="AK64" s="2"/>
      <c r="AL64" s="2"/>
      <c r="AM64" s="2"/>
      <c r="AN64" s="2"/>
      <c r="AO64" s="2"/>
    </row>
    <row r="65" ht="24.0" customHeight="1">
      <c r="A65" s="4"/>
      <c r="B65" s="30"/>
      <c r="C65" s="5" t="str">
        <f>IFERROR(__xludf.DUMMYFUNCTION("if(B65=0,""..."", sparkline(query(GOOGLEFINANCE(""BCBA:""&amp;B65,""price"",today()-$AM$47,today()),""select Col2"",0),{""charttype"",$AM$46}))"),"...")</f>
        <v>...</v>
      </c>
      <c r="D65" s="17"/>
      <c r="E65" s="31"/>
      <c r="F65" s="7"/>
      <c r="G65" s="8" t="str">
        <f t="shared" si="1"/>
        <v>...</v>
      </c>
      <c r="H65" s="31"/>
      <c r="I65" s="52"/>
      <c r="J65" s="45" t="str">
        <f t="shared" si="2"/>
        <v>...</v>
      </c>
      <c r="K65" s="47" t="str">
        <f t="array" ref="K65">IF(B65=0,"...",J65/VLOOKUP(D65,{CCL!M:N;CCL!$P:$Q},2,FALSE))</f>
        <v>...</v>
      </c>
      <c r="L65" s="45" t="str">
        <f t="shared" si="41"/>
        <v>...</v>
      </c>
      <c r="M65" s="45" t="str">
        <f>if(B65=0,"...",L65*(1-VLOOKUP(A65,Config!$B$3:$C$22,2,FALSE)))</f>
        <v>...</v>
      </c>
      <c r="N65" s="45" t="str">
        <f t="shared" si="3"/>
        <v>...</v>
      </c>
      <c r="O65" s="12" t="str">
        <f>IFERROR(__xludf.DUMMYFUNCTION("if(B65=0,""..."",GOOGLEFINANCE(B65,""changepct"")/100)"),"...")</f>
        <v>...</v>
      </c>
      <c r="P65" s="10" t="str">
        <f>IFERROR(__xludf.DUMMYFUNCTION("if(B65=0,""..."",GOOGLEFINANCE(B65,""change"")*H65)"),"...")</f>
        <v>...</v>
      </c>
      <c r="Q65" s="12" t="str">
        <f t="shared" si="4"/>
        <v>...</v>
      </c>
      <c r="R65" s="47" t="str">
        <f t="shared" si="5"/>
        <v>...</v>
      </c>
      <c r="S65" s="12" t="str">
        <f t="shared" si="36"/>
        <v>...</v>
      </c>
      <c r="T65" s="47" t="str">
        <f>IF(B65=0,"...",(N65/IF(E65="ABIERTA",CCL!$E$2,VLOOKUP(F65,CCL!$A$12:$B$773,2,FALSE))-K65))</f>
        <v>...</v>
      </c>
      <c r="U65" s="2"/>
      <c r="V65" s="10"/>
      <c r="W65" s="10"/>
      <c r="X65" s="59" t="str">
        <f t="shared" si="29"/>
        <v>...</v>
      </c>
      <c r="Y65" s="45" t="str">
        <f>IFERROR(__xludf.DUMMYFUNCTION("IF(W65=0,""..."",GOOGLEFINANCE(""BCBA:""&amp;W65))"),"...")</f>
        <v>...</v>
      </c>
      <c r="Z65" s="12"/>
      <c r="AA65" s="45"/>
      <c r="AB65" s="12" t="str">
        <f t="shared" si="26"/>
        <v/>
      </c>
      <c r="AC65" s="45" t="str">
        <f t="shared" si="37"/>
        <v>...</v>
      </c>
      <c r="AD65" s="45" t="str">
        <f t="shared" si="38"/>
        <v>...</v>
      </c>
      <c r="AE65" s="12" t="str">
        <f t="shared" si="11"/>
        <v>...</v>
      </c>
      <c r="AF65" s="45" t="str">
        <f t="shared" si="39"/>
        <v>...</v>
      </c>
      <c r="AG65" s="45" t="str">
        <f t="shared" si="27"/>
        <v>...</v>
      </c>
      <c r="AH65" s="12" t="str">
        <f t="shared" si="13"/>
        <v>...</v>
      </c>
      <c r="AI65" s="46" t="str">
        <f t="shared" si="40"/>
        <v>...</v>
      </c>
      <c r="AJ65" s="2"/>
      <c r="AK65" s="2"/>
      <c r="AL65" s="2"/>
      <c r="AM65" s="2"/>
      <c r="AN65" s="2"/>
      <c r="AO65" s="2"/>
    </row>
    <row r="66" ht="24.0" customHeight="1">
      <c r="A66" s="4"/>
      <c r="B66" s="30"/>
      <c r="C66" s="5" t="str">
        <f>IFERROR(__xludf.DUMMYFUNCTION("if(B66=0,""..."", sparkline(query(GOOGLEFINANCE(""BCBA:""&amp;B66,""price"",today()-$AM$47,today()),""select Col2"",0),{""charttype"",$AM$46}))"),"...")</f>
        <v>...</v>
      </c>
      <c r="D66" s="17"/>
      <c r="E66" s="31"/>
      <c r="F66" s="7"/>
      <c r="G66" s="8" t="str">
        <f t="shared" si="1"/>
        <v>...</v>
      </c>
      <c r="H66" s="31"/>
      <c r="I66" s="52"/>
      <c r="J66" s="45" t="str">
        <f t="shared" si="2"/>
        <v>...</v>
      </c>
      <c r="K66" s="47" t="str">
        <f t="array" ref="K66">IF(B66=0,"...",J66/VLOOKUP(D66,{CCL!M:N;CCL!$P:$Q},2,FALSE))</f>
        <v>...</v>
      </c>
      <c r="L66" s="45" t="str">
        <f t="shared" si="41"/>
        <v>...</v>
      </c>
      <c r="M66" s="45" t="str">
        <f>if(B66=0,"...",L66*(1-VLOOKUP(A66,Config!$B$3:$C$22,2,FALSE)))</f>
        <v>...</v>
      </c>
      <c r="N66" s="45" t="str">
        <f t="shared" si="3"/>
        <v>...</v>
      </c>
      <c r="O66" s="12" t="str">
        <f>IFERROR(__xludf.DUMMYFUNCTION("if(B66=0,""..."",GOOGLEFINANCE(B66,""changepct"")/100)"),"...")</f>
        <v>...</v>
      </c>
      <c r="P66" s="10" t="str">
        <f>IFERROR(__xludf.DUMMYFUNCTION("if(B66=0,""..."",GOOGLEFINANCE(B66,""change"")*H66)"),"...")</f>
        <v>...</v>
      </c>
      <c r="Q66" s="12" t="str">
        <f t="shared" si="4"/>
        <v>...</v>
      </c>
      <c r="R66" s="47" t="str">
        <f t="shared" si="5"/>
        <v>...</v>
      </c>
      <c r="S66" s="12" t="str">
        <f t="shared" si="36"/>
        <v>...</v>
      </c>
      <c r="T66" s="47" t="str">
        <f>IF(B66=0,"...",(N66/IF(E66="ABIERTA",CCL!$E$2,VLOOKUP(F66,CCL!$A$12:$B$773,2,FALSE))-K66))</f>
        <v>...</v>
      </c>
      <c r="U66" s="2"/>
      <c r="V66" s="10"/>
      <c r="W66" s="10"/>
      <c r="X66" s="59" t="str">
        <f t="shared" si="29"/>
        <v>...</v>
      </c>
      <c r="Y66" s="45" t="str">
        <f>IFERROR(__xludf.DUMMYFUNCTION("IF(W66=0,""..."",GOOGLEFINANCE(""BCBA:""&amp;W66))"),"...")</f>
        <v>...</v>
      </c>
      <c r="Z66" s="12"/>
      <c r="AA66" s="45"/>
      <c r="AB66" s="12" t="str">
        <f t="shared" si="26"/>
        <v/>
      </c>
      <c r="AC66" s="45" t="str">
        <f t="shared" si="37"/>
        <v>...</v>
      </c>
      <c r="AD66" s="45" t="str">
        <f t="shared" si="38"/>
        <v>...</v>
      </c>
      <c r="AE66" s="12" t="str">
        <f t="shared" si="11"/>
        <v>...</v>
      </c>
      <c r="AF66" s="45" t="str">
        <f t="shared" si="39"/>
        <v>...</v>
      </c>
      <c r="AG66" s="45" t="str">
        <f t="shared" si="27"/>
        <v>...</v>
      </c>
      <c r="AH66" s="12" t="str">
        <f t="shared" si="13"/>
        <v>...</v>
      </c>
      <c r="AI66" s="46" t="str">
        <f t="shared" si="40"/>
        <v>...</v>
      </c>
      <c r="AJ66" s="2"/>
      <c r="AK66" s="2"/>
      <c r="AL66" s="2"/>
      <c r="AM66" s="2"/>
      <c r="AN66" s="2"/>
      <c r="AO66" s="2"/>
    </row>
    <row r="67" ht="24.0" customHeight="1">
      <c r="A67" s="4"/>
      <c r="B67" s="30"/>
      <c r="C67" s="5" t="str">
        <f>IFERROR(__xludf.DUMMYFUNCTION("if(B67=0,""..."", sparkline(query(GOOGLEFINANCE(""BCBA:""&amp;B67,""price"",today()-$AM$47,today()),""select Col2"",0),{""charttype"",$AM$46}))"),"...")</f>
        <v>...</v>
      </c>
      <c r="D67" s="17"/>
      <c r="E67" s="31"/>
      <c r="F67" s="7"/>
      <c r="G67" s="8" t="str">
        <f t="shared" si="1"/>
        <v>...</v>
      </c>
      <c r="H67" s="31"/>
      <c r="I67" s="52"/>
      <c r="J67" s="45" t="str">
        <f t="shared" si="2"/>
        <v>...</v>
      </c>
      <c r="K67" s="47" t="str">
        <f t="array" ref="K67">IF(B67=0,"...",J67/VLOOKUP(D67,{CCL!M:N;CCL!$P:$Q},2,FALSE))</f>
        <v>...</v>
      </c>
      <c r="L67" s="45" t="str">
        <f t="shared" si="41"/>
        <v>...</v>
      </c>
      <c r="M67" s="45" t="str">
        <f>if(B67=0,"...",L67*(1-VLOOKUP(A67,Config!$B$3:$C$22,2,FALSE)))</f>
        <v>...</v>
      </c>
      <c r="N67" s="45" t="str">
        <f t="shared" si="3"/>
        <v>...</v>
      </c>
      <c r="O67" s="12" t="str">
        <f>IFERROR(__xludf.DUMMYFUNCTION("if(B67=0,""..."",GOOGLEFINANCE(B67,""changepct"")/100)"),"...")</f>
        <v>...</v>
      </c>
      <c r="P67" s="10" t="str">
        <f>IFERROR(__xludf.DUMMYFUNCTION("if(B67=0,""..."",GOOGLEFINANCE(B67,""change"")*H67)"),"...")</f>
        <v>...</v>
      </c>
      <c r="Q67" s="12" t="str">
        <f t="shared" si="4"/>
        <v>...</v>
      </c>
      <c r="R67" s="47" t="str">
        <f t="shared" si="5"/>
        <v>...</v>
      </c>
      <c r="S67" s="12" t="str">
        <f t="shared" si="36"/>
        <v>...</v>
      </c>
      <c r="T67" s="47" t="str">
        <f>IF(B67=0,"...",(N67/IF(E67="ABIERTA",CCL!$E$2,VLOOKUP(F67,CCL!$A$12:$B$773,2,FALSE))-K67))</f>
        <v>...</v>
      </c>
      <c r="U67" s="2"/>
      <c r="V67" s="10"/>
      <c r="W67" s="10"/>
      <c r="X67" s="59" t="str">
        <f t="shared" si="29"/>
        <v>...</v>
      </c>
      <c r="Y67" s="45" t="str">
        <f>IFERROR(__xludf.DUMMYFUNCTION("IF(W67=0,""..."",GOOGLEFINANCE(""BCBA:""&amp;W67))"),"...")</f>
        <v>...</v>
      </c>
      <c r="Z67" s="12"/>
      <c r="AA67" s="45"/>
      <c r="AB67" s="12" t="str">
        <f t="shared" si="26"/>
        <v/>
      </c>
      <c r="AC67" s="45" t="str">
        <f t="shared" si="37"/>
        <v>...</v>
      </c>
      <c r="AD67" s="45" t="str">
        <f t="shared" si="38"/>
        <v>...</v>
      </c>
      <c r="AE67" s="12" t="str">
        <f t="shared" si="11"/>
        <v>...</v>
      </c>
      <c r="AF67" s="45" t="str">
        <f t="shared" si="39"/>
        <v>...</v>
      </c>
      <c r="AG67" s="45" t="str">
        <f t="shared" si="27"/>
        <v>...</v>
      </c>
      <c r="AH67" s="12" t="str">
        <f t="shared" si="13"/>
        <v>...</v>
      </c>
      <c r="AI67" s="46" t="str">
        <f t="shared" si="40"/>
        <v>...</v>
      </c>
      <c r="AJ67" s="2"/>
      <c r="AK67" s="2"/>
      <c r="AL67" s="2"/>
      <c r="AM67" s="2"/>
      <c r="AN67" s="2"/>
      <c r="AO67" s="2"/>
    </row>
    <row r="68" ht="24.0" customHeight="1">
      <c r="A68" s="4"/>
      <c r="B68" s="30"/>
      <c r="C68" s="5" t="str">
        <f>IFERROR(__xludf.DUMMYFUNCTION("if(B68=0,""..."", sparkline(query(GOOGLEFINANCE(""BCBA:""&amp;B68,""price"",today()-$AM$47,today()),""select Col2"",0),{""charttype"",$AM$46}))"),"...")</f>
        <v>...</v>
      </c>
      <c r="D68" s="17"/>
      <c r="E68" s="31"/>
      <c r="F68" s="7"/>
      <c r="G68" s="8" t="str">
        <f t="shared" si="1"/>
        <v>...</v>
      </c>
      <c r="H68" s="31"/>
      <c r="I68" s="52"/>
      <c r="J68" s="45" t="str">
        <f t="shared" si="2"/>
        <v>...</v>
      </c>
      <c r="K68" s="47" t="str">
        <f t="array" ref="K68">IF(B68=0,"...",J68/VLOOKUP(D68,{CCL!M:N;CCL!$P:$Q},2,FALSE))</f>
        <v>...</v>
      </c>
      <c r="L68" s="45" t="str">
        <f t="shared" si="41"/>
        <v>...</v>
      </c>
      <c r="M68" s="45" t="str">
        <f>if(B68=0,"...",L68*(1-VLOOKUP(A68,Config!$B$3:$C$22,2,FALSE)))</f>
        <v>...</v>
      </c>
      <c r="N68" s="45" t="str">
        <f t="shared" si="3"/>
        <v>...</v>
      </c>
      <c r="O68" s="12" t="str">
        <f>IFERROR(__xludf.DUMMYFUNCTION("if(B68=0,""..."",GOOGLEFINANCE(B68,""changepct"")/100)"),"...")</f>
        <v>...</v>
      </c>
      <c r="P68" s="10" t="str">
        <f>IFERROR(__xludf.DUMMYFUNCTION("if(B68=0,""..."",GOOGLEFINANCE(B68,""change"")*H68)"),"...")</f>
        <v>...</v>
      </c>
      <c r="Q68" s="12" t="str">
        <f t="shared" si="4"/>
        <v>...</v>
      </c>
      <c r="R68" s="47" t="str">
        <f t="shared" si="5"/>
        <v>...</v>
      </c>
      <c r="S68" s="12" t="str">
        <f t="shared" si="36"/>
        <v>...</v>
      </c>
      <c r="T68" s="47" t="str">
        <f>IF(B68=0,"...",(N68/IF(E68="ABIERTA",CCL!$E$2,VLOOKUP(F68,CCL!$A$12:$B$773,2,FALSE))-K68))</f>
        <v>...</v>
      </c>
      <c r="U68" s="2"/>
      <c r="V68" s="10"/>
      <c r="W68" s="10"/>
      <c r="X68" s="59" t="str">
        <f t="shared" si="29"/>
        <v>...</v>
      </c>
      <c r="Y68" s="45" t="str">
        <f>IFERROR(__xludf.DUMMYFUNCTION("IF(W68=0,""..."",GOOGLEFINANCE(""BCBA:""&amp;W68))"),"...")</f>
        <v>...</v>
      </c>
      <c r="Z68" s="12"/>
      <c r="AA68" s="45"/>
      <c r="AB68" s="12" t="str">
        <f t="shared" si="26"/>
        <v/>
      </c>
      <c r="AC68" s="45" t="str">
        <f t="shared" si="37"/>
        <v>...</v>
      </c>
      <c r="AD68" s="45" t="str">
        <f t="shared" si="38"/>
        <v>...</v>
      </c>
      <c r="AE68" s="12" t="str">
        <f t="shared" si="11"/>
        <v>...</v>
      </c>
      <c r="AF68" s="45" t="str">
        <f t="shared" si="39"/>
        <v>...</v>
      </c>
      <c r="AG68" s="45" t="str">
        <f t="shared" si="27"/>
        <v>...</v>
      </c>
      <c r="AH68" s="12" t="str">
        <f t="shared" si="13"/>
        <v>...</v>
      </c>
      <c r="AI68" s="46" t="str">
        <f t="shared" si="40"/>
        <v>...</v>
      </c>
      <c r="AJ68" s="2"/>
      <c r="AK68" s="2"/>
      <c r="AL68" s="2"/>
      <c r="AM68" s="2"/>
      <c r="AN68" s="2"/>
      <c r="AO68" s="2"/>
    </row>
    <row r="69" ht="24.0" customHeight="1">
      <c r="A69" s="4"/>
      <c r="B69" s="30"/>
      <c r="C69" s="5" t="str">
        <f>IFERROR(__xludf.DUMMYFUNCTION("if(B69=0,""..."", sparkline(query(GOOGLEFINANCE(""BCBA:""&amp;B69,""price"",today()-$AM$47,today()),""select Col2"",0),{""charttype"",$AM$46}))"),"...")</f>
        <v>...</v>
      </c>
      <c r="D69" s="17"/>
      <c r="E69" s="31"/>
      <c r="F69" s="7"/>
      <c r="G69" s="8" t="str">
        <f t="shared" si="1"/>
        <v>...</v>
      </c>
      <c r="H69" s="31"/>
      <c r="I69" s="52"/>
      <c r="J69" s="45" t="str">
        <f t="shared" si="2"/>
        <v>...</v>
      </c>
      <c r="K69" s="47" t="str">
        <f t="array" ref="K69">IF(B69=0,"...",J69/VLOOKUP(D69,{CCL!M:N;CCL!$P:$Q},2,FALSE))</f>
        <v>...</v>
      </c>
      <c r="L69" s="45" t="str">
        <f t="shared" si="41"/>
        <v>...</v>
      </c>
      <c r="M69" s="45" t="str">
        <f>if(B69=0,"...",L69*(1-VLOOKUP(A69,Config!$B$3:$C$22,2,FALSE)))</f>
        <v>...</v>
      </c>
      <c r="N69" s="45" t="str">
        <f t="shared" si="3"/>
        <v>...</v>
      </c>
      <c r="O69" s="12" t="str">
        <f>IFERROR(__xludf.DUMMYFUNCTION("if(B69=0,""..."",GOOGLEFINANCE(B69,""changepct"")/100)"),"...")</f>
        <v>...</v>
      </c>
      <c r="P69" s="10" t="str">
        <f>IFERROR(__xludf.DUMMYFUNCTION("if(B69=0,""..."",GOOGLEFINANCE(B69,""change"")*H69)"),"...")</f>
        <v>...</v>
      </c>
      <c r="Q69" s="12" t="str">
        <f t="shared" si="4"/>
        <v>...</v>
      </c>
      <c r="R69" s="47" t="str">
        <f t="shared" si="5"/>
        <v>...</v>
      </c>
      <c r="S69" s="12" t="str">
        <f t="shared" si="36"/>
        <v>...</v>
      </c>
      <c r="T69" s="47" t="str">
        <f>IF(B69=0,"...",(N69/IF(E69="ABIERTA",CCL!$E$2,VLOOKUP(F69,CCL!$A$12:$B$773,2,FALSE))-K69))</f>
        <v>...</v>
      </c>
      <c r="U69" s="2"/>
      <c r="V69" s="10"/>
      <c r="W69" s="10"/>
      <c r="X69" s="59" t="str">
        <f t="shared" si="29"/>
        <v>...</v>
      </c>
      <c r="Y69" s="45" t="str">
        <f>IFERROR(__xludf.DUMMYFUNCTION("IF(W69=0,""..."",GOOGLEFINANCE(""BCBA:""&amp;W69))"),"...")</f>
        <v>...</v>
      </c>
      <c r="Z69" s="12"/>
      <c r="AA69" s="45"/>
      <c r="AB69" s="12" t="str">
        <f t="shared" si="26"/>
        <v/>
      </c>
      <c r="AC69" s="45" t="str">
        <f t="shared" si="37"/>
        <v>...</v>
      </c>
      <c r="AD69" s="45" t="str">
        <f t="shared" si="38"/>
        <v>...</v>
      </c>
      <c r="AE69" s="12" t="str">
        <f t="shared" si="11"/>
        <v>...</v>
      </c>
      <c r="AF69" s="45" t="str">
        <f t="shared" si="39"/>
        <v>...</v>
      </c>
      <c r="AG69" s="45" t="str">
        <f t="shared" si="27"/>
        <v>...</v>
      </c>
      <c r="AH69" s="12" t="str">
        <f t="shared" si="13"/>
        <v>...</v>
      </c>
      <c r="AI69" s="46" t="str">
        <f t="shared" si="40"/>
        <v>...</v>
      </c>
      <c r="AJ69" s="2"/>
      <c r="AK69" s="2"/>
      <c r="AL69" s="2"/>
      <c r="AM69" s="2"/>
      <c r="AN69" s="2"/>
      <c r="AO69" s="2"/>
    </row>
    <row r="70" ht="24.0" customHeight="1">
      <c r="A70" s="4"/>
      <c r="B70" s="30"/>
      <c r="C70" s="5" t="str">
        <f>IFERROR(__xludf.DUMMYFUNCTION("if(B70=0,""..."", sparkline(query(GOOGLEFINANCE(""BCBA:""&amp;B70,""price"",today()-$AM$47,today()),""select Col2"",0),{""charttype"",$AM$46}))"),"...")</f>
        <v>...</v>
      </c>
      <c r="D70" s="17"/>
      <c r="E70" s="31"/>
      <c r="F70" s="7"/>
      <c r="G70" s="8" t="str">
        <f t="shared" si="1"/>
        <v>...</v>
      </c>
      <c r="H70" s="31"/>
      <c r="I70" s="52"/>
      <c r="J70" s="45" t="str">
        <f t="shared" si="2"/>
        <v>...</v>
      </c>
      <c r="K70" s="47" t="str">
        <f t="array" ref="K70">IF(B70=0,"...",J70/VLOOKUP(D70,{CCL!M:N;CCL!$P:$Q},2,FALSE))</f>
        <v>...</v>
      </c>
      <c r="L70" s="45" t="str">
        <f t="shared" si="41"/>
        <v>...</v>
      </c>
      <c r="M70" s="45" t="str">
        <f>if(B70=0,"...",L70*(1-VLOOKUP(A70,Config!$B$3:$C$22,2,FALSE)))</f>
        <v>...</v>
      </c>
      <c r="N70" s="45" t="str">
        <f t="shared" si="3"/>
        <v>...</v>
      </c>
      <c r="O70" s="12" t="str">
        <f>IFERROR(__xludf.DUMMYFUNCTION("if(B70=0,""..."",GOOGLEFINANCE(B70,""changepct"")/100)"),"...")</f>
        <v>...</v>
      </c>
      <c r="P70" s="10" t="str">
        <f>IFERROR(__xludf.DUMMYFUNCTION("if(B70=0,""..."",GOOGLEFINANCE(B70,""change"")*H70)"),"...")</f>
        <v>...</v>
      </c>
      <c r="Q70" s="12" t="str">
        <f t="shared" si="4"/>
        <v>...</v>
      </c>
      <c r="R70" s="47" t="str">
        <f t="shared" si="5"/>
        <v>...</v>
      </c>
      <c r="S70" s="12" t="str">
        <f t="shared" si="36"/>
        <v>...</v>
      </c>
      <c r="T70" s="47" t="str">
        <f>IF(B70=0,"...",(N70/IF(E70="ABIERTA",CCL!$E$2,VLOOKUP(F70,CCL!$A$12:$B$773,2,FALSE))-K70))</f>
        <v>...</v>
      </c>
      <c r="U70" s="2"/>
      <c r="V70" s="10"/>
      <c r="W70" s="10"/>
      <c r="X70" s="59" t="str">
        <f t="shared" si="29"/>
        <v>...</v>
      </c>
      <c r="Y70" s="45" t="str">
        <f>IFERROR(__xludf.DUMMYFUNCTION("IF(W70=0,""..."",GOOGLEFINANCE(""BCBA:""&amp;W70))"),"...")</f>
        <v>...</v>
      </c>
      <c r="Z70" s="12"/>
      <c r="AA70" s="45"/>
      <c r="AB70" s="12" t="str">
        <f t="shared" si="26"/>
        <v/>
      </c>
      <c r="AC70" s="45" t="str">
        <f t="shared" si="37"/>
        <v>...</v>
      </c>
      <c r="AD70" s="45" t="str">
        <f t="shared" si="38"/>
        <v>...</v>
      </c>
      <c r="AE70" s="12" t="str">
        <f t="shared" si="11"/>
        <v>...</v>
      </c>
      <c r="AF70" s="45" t="str">
        <f t="shared" si="39"/>
        <v>...</v>
      </c>
      <c r="AG70" s="45" t="str">
        <f t="shared" si="27"/>
        <v>...</v>
      </c>
      <c r="AH70" s="12" t="str">
        <f t="shared" si="13"/>
        <v>...</v>
      </c>
      <c r="AI70" s="46" t="str">
        <f t="shared" si="40"/>
        <v>...</v>
      </c>
      <c r="AJ70" s="2"/>
      <c r="AK70" s="2"/>
      <c r="AL70" s="2"/>
      <c r="AM70" s="2"/>
      <c r="AN70" s="2"/>
      <c r="AO70" s="2"/>
    </row>
    <row r="71" ht="24.0" customHeight="1">
      <c r="A71" s="4"/>
      <c r="B71" s="30"/>
      <c r="C71" s="5" t="str">
        <f>IFERROR(__xludf.DUMMYFUNCTION("if(B71=0,""..."", sparkline(query(GOOGLEFINANCE(""BCBA:""&amp;B71,""price"",today()-$AM$47,today()),""select Col2"",0),{""charttype"",$AM$46}))"),"...")</f>
        <v>...</v>
      </c>
      <c r="D71" s="17"/>
      <c r="E71" s="31"/>
      <c r="F71" s="7"/>
      <c r="G71" s="8" t="str">
        <f t="shared" si="1"/>
        <v>...</v>
      </c>
      <c r="H71" s="31"/>
      <c r="I71" s="52"/>
      <c r="J71" s="45" t="str">
        <f t="shared" si="2"/>
        <v>...</v>
      </c>
      <c r="K71" s="47" t="str">
        <f t="array" ref="K71">IF(B71=0,"...",J71/VLOOKUP(D71,{CCL!M:N;CCL!$P:$Q},2,FALSE))</f>
        <v>...</v>
      </c>
      <c r="L71" s="45" t="str">
        <f t="shared" si="41"/>
        <v>...</v>
      </c>
      <c r="M71" s="45" t="str">
        <f>if(B71=0,"...",L71*(1-VLOOKUP(A71,Config!$B$3:$C$22,2,FALSE)))</f>
        <v>...</v>
      </c>
      <c r="N71" s="45" t="str">
        <f t="shared" si="3"/>
        <v>...</v>
      </c>
      <c r="O71" s="12" t="str">
        <f>IFERROR(__xludf.DUMMYFUNCTION("if(B71=0,""..."",GOOGLEFINANCE(B71,""changepct"")/100)"),"...")</f>
        <v>...</v>
      </c>
      <c r="P71" s="10" t="str">
        <f>IFERROR(__xludf.DUMMYFUNCTION("if(B71=0,""..."",GOOGLEFINANCE(B71,""change"")*H71)"),"...")</f>
        <v>...</v>
      </c>
      <c r="Q71" s="12" t="str">
        <f t="shared" si="4"/>
        <v>...</v>
      </c>
      <c r="R71" s="47" t="str">
        <f t="shared" si="5"/>
        <v>...</v>
      </c>
      <c r="S71" s="12" t="str">
        <f t="shared" si="36"/>
        <v>...</v>
      </c>
      <c r="T71" s="47" t="str">
        <f>IF(B71=0,"...",(N71/IF(E71="ABIERTA",CCL!$E$2,VLOOKUP(F71,CCL!$A$12:$B$773,2,FALSE))-K71))</f>
        <v>...</v>
      </c>
      <c r="U71" s="2"/>
      <c r="V71" s="10"/>
      <c r="W71" s="10"/>
      <c r="X71" s="59" t="str">
        <f t="shared" si="29"/>
        <v>...</v>
      </c>
      <c r="Y71" s="45" t="str">
        <f>IFERROR(__xludf.DUMMYFUNCTION("IF(W71=0,""..."",GOOGLEFINANCE(""BCBA:""&amp;W71))"),"...")</f>
        <v>...</v>
      </c>
      <c r="Z71" s="12"/>
      <c r="AA71" s="45"/>
      <c r="AB71" s="12" t="str">
        <f t="shared" si="26"/>
        <v/>
      </c>
      <c r="AC71" s="45" t="str">
        <f t="shared" si="37"/>
        <v>...</v>
      </c>
      <c r="AD71" s="45" t="str">
        <f t="shared" si="38"/>
        <v>...</v>
      </c>
      <c r="AE71" s="12" t="str">
        <f t="shared" si="11"/>
        <v>...</v>
      </c>
      <c r="AF71" s="45" t="str">
        <f t="shared" si="39"/>
        <v>...</v>
      </c>
      <c r="AG71" s="45" t="str">
        <f t="shared" si="27"/>
        <v>...</v>
      </c>
      <c r="AH71" s="12" t="str">
        <f t="shared" si="13"/>
        <v>...</v>
      </c>
      <c r="AI71" s="46" t="str">
        <f t="shared" si="40"/>
        <v>...</v>
      </c>
      <c r="AJ71" s="2"/>
      <c r="AK71" s="2"/>
      <c r="AL71" s="2"/>
      <c r="AM71" s="2"/>
      <c r="AN71" s="2"/>
      <c r="AO71" s="2"/>
    </row>
    <row r="72" ht="24.0" customHeight="1">
      <c r="A72" s="4"/>
      <c r="B72" s="30"/>
      <c r="C72" s="5" t="str">
        <f>IFERROR(__xludf.DUMMYFUNCTION("if(B72=0,""..."", sparkline(query(GOOGLEFINANCE(""BCBA:""&amp;B72,""price"",today()-$AM$47,today()),""select Col2"",0),{""charttype"",$AM$46}))"),"...")</f>
        <v>...</v>
      </c>
      <c r="D72" s="17"/>
      <c r="E72" s="31"/>
      <c r="F72" s="7"/>
      <c r="G72" s="8" t="str">
        <f t="shared" si="1"/>
        <v>...</v>
      </c>
      <c r="H72" s="31"/>
      <c r="I72" s="52"/>
      <c r="J72" s="45" t="str">
        <f t="shared" si="2"/>
        <v>...</v>
      </c>
      <c r="K72" s="47" t="str">
        <f t="array" ref="K72">IF(B72=0,"...",J72/VLOOKUP(D72,{CCL!M:N;CCL!$P:$Q},2,FALSE))</f>
        <v>...</v>
      </c>
      <c r="L72" s="45" t="str">
        <f t="shared" si="41"/>
        <v>...</v>
      </c>
      <c r="M72" s="45" t="str">
        <f>if(B72=0,"...",L72*(1-VLOOKUP(A72,Config!$B$3:$C$22,2,FALSE)))</f>
        <v>...</v>
      </c>
      <c r="N72" s="45" t="str">
        <f t="shared" si="3"/>
        <v>...</v>
      </c>
      <c r="O72" s="12" t="str">
        <f>IFERROR(__xludf.DUMMYFUNCTION("if(B72=0,""..."",GOOGLEFINANCE(B72,""changepct"")/100)"),"...")</f>
        <v>...</v>
      </c>
      <c r="P72" s="10" t="str">
        <f>IFERROR(__xludf.DUMMYFUNCTION("if(B72=0,""..."",GOOGLEFINANCE(B72,""change"")*H72)"),"...")</f>
        <v>...</v>
      </c>
      <c r="Q72" s="12" t="str">
        <f t="shared" si="4"/>
        <v>...</v>
      </c>
      <c r="R72" s="47" t="str">
        <f t="shared" si="5"/>
        <v>...</v>
      </c>
      <c r="S72" s="12" t="str">
        <f t="shared" si="36"/>
        <v>...</v>
      </c>
      <c r="T72" s="47" t="str">
        <f>IF(B72=0,"...",(N72/IF(E72="ABIERTA",CCL!$E$2,VLOOKUP(F72,CCL!$A$12:$B$773,2,FALSE))-K72))</f>
        <v>...</v>
      </c>
      <c r="U72" s="2"/>
      <c r="V72" s="10"/>
      <c r="W72" s="10"/>
      <c r="X72" s="59" t="str">
        <f t="shared" si="29"/>
        <v>...</v>
      </c>
      <c r="Y72" s="45" t="str">
        <f>IFERROR(__xludf.DUMMYFUNCTION("IF(W72=0,""..."",GOOGLEFINANCE(""BCBA:""&amp;W72))"),"...")</f>
        <v>...</v>
      </c>
      <c r="Z72" s="12"/>
      <c r="AA72" s="45"/>
      <c r="AB72" s="12" t="str">
        <f t="shared" si="26"/>
        <v/>
      </c>
      <c r="AC72" s="45" t="str">
        <f t="shared" si="37"/>
        <v>...</v>
      </c>
      <c r="AD72" s="45" t="str">
        <f t="shared" si="38"/>
        <v>...</v>
      </c>
      <c r="AE72" s="12" t="str">
        <f t="shared" si="11"/>
        <v>...</v>
      </c>
      <c r="AF72" s="45" t="str">
        <f t="shared" si="39"/>
        <v>...</v>
      </c>
      <c r="AG72" s="45" t="str">
        <f t="shared" si="27"/>
        <v>...</v>
      </c>
      <c r="AH72" s="12" t="str">
        <f t="shared" si="13"/>
        <v>...</v>
      </c>
      <c r="AI72" s="46" t="str">
        <f t="shared" si="40"/>
        <v>...</v>
      </c>
      <c r="AJ72" s="2"/>
      <c r="AK72" s="2"/>
      <c r="AL72" s="2"/>
      <c r="AM72" s="2"/>
      <c r="AN72" s="2"/>
      <c r="AO72" s="2"/>
    </row>
    <row r="73" ht="24.0" customHeight="1">
      <c r="A73" s="4"/>
      <c r="B73" s="30"/>
      <c r="C73" s="5" t="str">
        <f>IFERROR(__xludf.DUMMYFUNCTION("if(B73=0,""..."", sparkline(query(GOOGLEFINANCE(""BCBA:""&amp;B73,""price"",today()-$AM$47,today()),""select Col2"",0),{""charttype"",$AM$46}))"),"...")</f>
        <v>...</v>
      </c>
      <c r="D73" s="17"/>
      <c r="E73" s="31"/>
      <c r="F73" s="7"/>
      <c r="G73" s="8" t="str">
        <f t="shared" si="1"/>
        <v>...</v>
      </c>
      <c r="H73" s="31"/>
      <c r="I73" s="52"/>
      <c r="J73" s="45" t="str">
        <f t="shared" si="2"/>
        <v>...</v>
      </c>
      <c r="K73" s="47" t="str">
        <f t="array" ref="K73">IF(B73=0,"...",J73/VLOOKUP(D73,{CCL!M:N;CCL!$P:$Q},2,FALSE))</f>
        <v>...</v>
      </c>
      <c r="L73" s="45" t="str">
        <f t="shared" si="41"/>
        <v>...</v>
      </c>
      <c r="M73" s="45" t="str">
        <f>if(B73=0,"...",L73*(1-VLOOKUP(A73,Config!$B$3:$C$22,2,FALSE)))</f>
        <v>...</v>
      </c>
      <c r="N73" s="45" t="str">
        <f t="shared" si="3"/>
        <v>...</v>
      </c>
      <c r="O73" s="12" t="str">
        <f>IFERROR(__xludf.DUMMYFUNCTION("if(B73=0,""..."",GOOGLEFINANCE(B73,""changepct"")/100)"),"...")</f>
        <v>...</v>
      </c>
      <c r="P73" s="10" t="str">
        <f>IFERROR(__xludf.DUMMYFUNCTION("if(B73=0,""..."",GOOGLEFINANCE(B73,""change"")*H73)"),"...")</f>
        <v>...</v>
      </c>
      <c r="Q73" s="12" t="str">
        <f t="shared" si="4"/>
        <v>...</v>
      </c>
      <c r="R73" s="47" t="str">
        <f t="shared" si="5"/>
        <v>...</v>
      </c>
      <c r="S73" s="12" t="str">
        <f t="shared" si="36"/>
        <v>...</v>
      </c>
      <c r="T73" s="47" t="str">
        <f>IF(B73=0,"...",(N73/IF(E73="ABIERTA",CCL!$E$2,VLOOKUP(F73,CCL!$A$12:$B$773,2,FALSE))-K73))</f>
        <v>...</v>
      </c>
      <c r="U73" s="2"/>
      <c r="V73" s="10"/>
      <c r="W73" s="10"/>
      <c r="X73" s="59" t="str">
        <f t="shared" si="29"/>
        <v>...</v>
      </c>
      <c r="Y73" s="45" t="str">
        <f>IFERROR(__xludf.DUMMYFUNCTION("IF(W73=0,""..."",GOOGLEFINANCE(""BCBA:""&amp;W73))"),"...")</f>
        <v>...</v>
      </c>
      <c r="Z73" s="12"/>
      <c r="AA73" s="45"/>
      <c r="AB73" s="12" t="str">
        <f t="shared" si="26"/>
        <v/>
      </c>
      <c r="AC73" s="45" t="str">
        <f t="shared" si="37"/>
        <v>...</v>
      </c>
      <c r="AD73" s="45" t="str">
        <f t="shared" si="38"/>
        <v>...</v>
      </c>
      <c r="AE73" s="12" t="str">
        <f t="shared" si="11"/>
        <v>...</v>
      </c>
      <c r="AF73" s="45" t="str">
        <f t="shared" si="39"/>
        <v>...</v>
      </c>
      <c r="AG73" s="45" t="str">
        <f t="shared" si="27"/>
        <v>...</v>
      </c>
      <c r="AH73" s="12" t="str">
        <f t="shared" si="13"/>
        <v>...</v>
      </c>
      <c r="AI73" s="46" t="str">
        <f t="shared" si="40"/>
        <v>...</v>
      </c>
      <c r="AJ73" s="2"/>
      <c r="AK73" s="2"/>
      <c r="AL73" s="2"/>
      <c r="AM73" s="2"/>
      <c r="AN73" s="2"/>
      <c r="AO73" s="2"/>
    </row>
    <row r="74" ht="24.0" customHeight="1">
      <c r="A74" s="4"/>
      <c r="B74" s="30"/>
      <c r="C74" s="5" t="str">
        <f>IFERROR(__xludf.DUMMYFUNCTION("if(B74=0,""..."", sparkline(query(GOOGLEFINANCE(""BCBA:""&amp;B74,""price"",today()-$AM$47,today()),""select Col2"",0),{""charttype"",$AM$46}))"),"...")</f>
        <v>...</v>
      </c>
      <c r="D74" s="17"/>
      <c r="E74" s="31"/>
      <c r="F74" s="7"/>
      <c r="G74" s="8" t="str">
        <f t="shared" si="1"/>
        <v>...</v>
      </c>
      <c r="H74" s="31"/>
      <c r="I74" s="52"/>
      <c r="J74" s="45" t="str">
        <f t="shared" si="2"/>
        <v>...</v>
      </c>
      <c r="K74" s="47" t="str">
        <f t="array" ref="K74">IF(B74=0,"...",J74/VLOOKUP(D74,{CCL!M:N;CCL!$P:$Q},2,FALSE))</f>
        <v>...</v>
      </c>
      <c r="L74" s="45" t="str">
        <f t="shared" si="41"/>
        <v>...</v>
      </c>
      <c r="M74" s="45" t="str">
        <f>if(B74=0,"...",L74*(1-VLOOKUP(A74,Config!$B$3:$C$22,2,FALSE)))</f>
        <v>...</v>
      </c>
      <c r="N74" s="45" t="str">
        <f t="shared" si="3"/>
        <v>...</v>
      </c>
      <c r="O74" s="12" t="str">
        <f>IFERROR(__xludf.DUMMYFUNCTION("if(B74=0,""..."",GOOGLEFINANCE(B74,""changepct"")/100)"),"...")</f>
        <v>...</v>
      </c>
      <c r="P74" s="10" t="str">
        <f>IFERROR(__xludf.DUMMYFUNCTION("if(B74=0,""..."",GOOGLEFINANCE(B74,""change"")*H74)"),"...")</f>
        <v>...</v>
      </c>
      <c r="Q74" s="12" t="str">
        <f t="shared" si="4"/>
        <v>...</v>
      </c>
      <c r="R74" s="47" t="str">
        <f t="shared" si="5"/>
        <v>...</v>
      </c>
      <c r="S74" s="12" t="str">
        <f t="shared" si="36"/>
        <v>...</v>
      </c>
      <c r="T74" s="47" t="str">
        <f>IF(B74=0,"...",(N74/IF(E74="ABIERTA",CCL!$E$2,VLOOKUP(F74,CCL!$A$12:$B$773,2,FALSE))-K74))</f>
        <v>...</v>
      </c>
      <c r="U74" s="2"/>
      <c r="V74" s="10"/>
      <c r="W74" s="10"/>
      <c r="X74" s="59" t="str">
        <f t="shared" si="29"/>
        <v>...</v>
      </c>
      <c r="Y74" s="45" t="str">
        <f>IFERROR(__xludf.DUMMYFUNCTION("IF(W74=0,""..."",GOOGLEFINANCE(""BCBA:""&amp;W74))"),"...")</f>
        <v>...</v>
      </c>
      <c r="Z74" s="12"/>
      <c r="AA74" s="45"/>
      <c r="AB74" s="12" t="str">
        <f t="shared" si="26"/>
        <v/>
      </c>
      <c r="AC74" s="45" t="str">
        <f t="shared" si="37"/>
        <v>...</v>
      </c>
      <c r="AD74" s="45" t="str">
        <f t="shared" si="38"/>
        <v>...</v>
      </c>
      <c r="AE74" s="12" t="str">
        <f t="shared" si="11"/>
        <v>...</v>
      </c>
      <c r="AF74" s="45" t="str">
        <f t="shared" si="39"/>
        <v>...</v>
      </c>
      <c r="AG74" s="45" t="str">
        <f t="shared" si="27"/>
        <v>...</v>
      </c>
      <c r="AH74" s="12" t="str">
        <f t="shared" si="13"/>
        <v>...</v>
      </c>
      <c r="AI74" s="46" t="str">
        <f t="shared" si="40"/>
        <v>...</v>
      </c>
      <c r="AJ74" s="2"/>
      <c r="AK74" s="2"/>
      <c r="AL74" s="2"/>
      <c r="AM74" s="2"/>
      <c r="AN74" s="2"/>
      <c r="AO74" s="2"/>
    </row>
    <row r="75" ht="24.0" customHeight="1">
      <c r="A75" s="4"/>
      <c r="B75" s="30"/>
      <c r="C75" s="5" t="str">
        <f>IFERROR(__xludf.DUMMYFUNCTION("if(B75=0,""..."", sparkline(query(GOOGLEFINANCE(""BCBA:""&amp;B75,""price"",today()-$AM$47,today()),""select Col2"",0),{""charttype"",$AM$46}))"),"...")</f>
        <v>...</v>
      </c>
      <c r="D75" s="17"/>
      <c r="E75" s="31"/>
      <c r="F75" s="7"/>
      <c r="G75" s="8" t="str">
        <f t="shared" si="1"/>
        <v>...</v>
      </c>
      <c r="H75" s="31"/>
      <c r="I75" s="52"/>
      <c r="J75" s="45" t="str">
        <f t="shared" si="2"/>
        <v>...</v>
      </c>
      <c r="K75" s="47" t="str">
        <f t="array" ref="K75">IF(B75=0,"...",J75/VLOOKUP(D75,{CCL!M:N;CCL!$P:$Q},2,FALSE))</f>
        <v>...</v>
      </c>
      <c r="L75" s="45" t="str">
        <f t="shared" si="41"/>
        <v>...</v>
      </c>
      <c r="M75" s="45" t="str">
        <f>if(B75=0,"...",L75*(1-VLOOKUP(A75,Config!$B$3:$C$22,2,FALSE)))</f>
        <v>...</v>
      </c>
      <c r="N75" s="45" t="str">
        <f t="shared" si="3"/>
        <v>...</v>
      </c>
      <c r="O75" s="12" t="str">
        <f>IFERROR(__xludf.DUMMYFUNCTION("if(B75=0,""..."",GOOGLEFINANCE(B75,""changepct"")/100)"),"...")</f>
        <v>...</v>
      </c>
      <c r="P75" s="10" t="str">
        <f>IFERROR(__xludf.DUMMYFUNCTION("if(B75=0,""..."",GOOGLEFINANCE(B75,""change"")*H75)"),"...")</f>
        <v>...</v>
      </c>
      <c r="Q75" s="12" t="str">
        <f t="shared" si="4"/>
        <v>...</v>
      </c>
      <c r="R75" s="47" t="str">
        <f t="shared" si="5"/>
        <v>...</v>
      </c>
      <c r="S75" s="12" t="str">
        <f t="shared" si="36"/>
        <v>...</v>
      </c>
      <c r="T75" s="47" t="str">
        <f>IF(B75=0,"...",(N75/IF(E75="ABIERTA",CCL!$E$2,VLOOKUP(F75,CCL!$A$12:$B$773,2,FALSE))-K75))</f>
        <v>...</v>
      </c>
      <c r="U75" s="2"/>
      <c r="V75" s="10"/>
      <c r="W75" s="10"/>
      <c r="X75" s="59" t="str">
        <f t="shared" si="29"/>
        <v>...</v>
      </c>
      <c r="Y75" s="45" t="str">
        <f>IFERROR(__xludf.DUMMYFUNCTION("IF(W75=0,""..."",GOOGLEFINANCE(""BCBA:""&amp;W75))"),"...")</f>
        <v>...</v>
      </c>
      <c r="Z75" s="12"/>
      <c r="AA75" s="45"/>
      <c r="AB75" s="12" t="str">
        <f t="shared" si="26"/>
        <v/>
      </c>
      <c r="AC75" s="45" t="str">
        <f t="shared" si="37"/>
        <v>...</v>
      </c>
      <c r="AD75" s="45" t="str">
        <f t="shared" si="38"/>
        <v>...</v>
      </c>
      <c r="AE75" s="12" t="str">
        <f t="shared" si="11"/>
        <v>...</v>
      </c>
      <c r="AF75" s="45" t="str">
        <f t="shared" si="39"/>
        <v>...</v>
      </c>
      <c r="AG75" s="45" t="str">
        <f t="shared" si="27"/>
        <v>...</v>
      </c>
      <c r="AH75" s="12" t="str">
        <f t="shared" si="13"/>
        <v>...</v>
      </c>
      <c r="AI75" s="46" t="str">
        <f t="shared" si="40"/>
        <v>...</v>
      </c>
      <c r="AJ75" s="2"/>
      <c r="AK75" s="2"/>
      <c r="AL75" s="2"/>
      <c r="AM75" s="2"/>
      <c r="AN75" s="2"/>
      <c r="AO75" s="2"/>
    </row>
    <row r="76" ht="24.0" customHeight="1">
      <c r="A76" s="4"/>
      <c r="B76" s="30"/>
      <c r="C76" s="5" t="str">
        <f>IFERROR(__xludf.DUMMYFUNCTION("if(B76=0,""..."", sparkline(query(GOOGLEFINANCE(""BCBA:""&amp;B76,""price"",today()-$AM$47,today()),""select Col2"",0),{""charttype"",$AM$46}))"),"...")</f>
        <v>...</v>
      </c>
      <c r="D76" s="17"/>
      <c r="E76" s="31"/>
      <c r="F76" s="7"/>
      <c r="G76" s="8" t="str">
        <f t="shared" si="1"/>
        <v>...</v>
      </c>
      <c r="H76" s="31"/>
      <c r="I76" s="52"/>
      <c r="J76" s="45" t="str">
        <f t="shared" si="2"/>
        <v>...</v>
      </c>
      <c r="K76" s="47" t="str">
        <f t="array" ref="K76">IF(B76=0,"...",J76/VLOOKUP(D76,{CCL!M:N;CCL!$P:$Q},2,FALSE))</f>
        <v>...</v>
      </c>
      <c r="L76" s="45" t="str">
        <f t="shared" si="41"/>
        <v>...</v>
      </c>
      <c r="M76" s="45" t="str">
        <f>if(B76=0,"...",L76*(1-VLOOKUP(A76,Config!$B$3:$C$22,2,FALSE)))</f>
        <v>...</v>
      </c>
      <c r="N76" s="45" t="str">
        <f t="shared" si="3"/>
        <v>...</v>
      </c>
      <c r="O76" s="12" t="str">
        <f>IFERROR(__xludf.DUMMYFUNCTION("if(B76=0,""..."",GOOGLEFINANCE(B76,""changepct"")/100)"),"...")</f>
        <v>...</v>
      </c>
      <c r="P76" s="10" t="str">
        <f>IFERROR(__xludf.DUMMYFUNCTION("if(B76=0,""..."",GOOGLEFINANCE(B76,""change"")*H76)"),"...")</f>
        <v>...</v>
      </c>
      <c r="Q76" s="12" t="str">
        <f t="shared" si="4"/>
        <v>...</v>
      </c>
      <c r="R76" s="47" t="str">
        <f t="shared" si="5"/>
        <v>...</v>
      </c>
      <c r="S76" s="12" t="str">
        <f t="shared" si="36"/>
        <v>...</v>
      </c>
      <c r="T76" s="47" t="str">
        <f>IF(B76=0,"...",(N76/IF(E76="ABIERTA",CCL!$E$2,VLOOKUP(F76,CCL!$A$12:$B$773,2,FALSE))-K76))</f>
        <v>...</v>
      </c>
      <c r="U76" s="2"/>
      <c r="V76" s="10"/>
      <c r="W76" s="10"/>
      <c r="X76" s="59" t="str">
        <f t="shared" si="29"/>
        <v>...</v>
      </c>
      <c r="Y76" s="45" t="str">
        <f>IFERROR(__xludf.DUMMYFUNCTION("IF(W76=0,""..."",GOOGLEFINANCE(""BCBA:""&amp;W76))"),"...")</f>
        <v>...</v>
      </c>
      <c r="Z76" s="12"/>
      <c r="AA76" s="45"/>
      <c r="AB76" s="12" t="str">
        <f t="shared" si="26"/>
        <v/>
      </c>
      <c r="AC76" s="45" t="str">
        <f t="shared" si="37"/>
        <v>...</v>
      </c>
      <c r="AD76" s="45" t="str">
        <f t="shared" si="38"/>
        <v>...</v>
      </c>
      <c r="AE76" s="12" t="str">
        <f t="shared" si="11"/>
        <v>...</v>
      </c>
      <c r="AF76" s="45" t="str">
        <f t="shared" si="39"/>
        <v>...</v>
      </c>
      <c r="AG76" s="45" t="str">
        <f t="shared" si="27"/>
        <v>...</v>
      </c>
      <c r="AH76" s="12" t="str">
        <f t="shared" si="13"/>
        <v>...</v>
      </c>
      <c r="AI76" s="46" t="str">
        <f t="shared" si="40"/>
        <v>...</v>
      </c>
      <c r="AJ76" s="2"/>
      <c r="AK76" s="2"/>
      <c r="AL76" s="2"/>
      <c r="AM76" s="2"/>
      <c r="AN76" s="2"/>
      <c r="AO76" s="2"/>
    </row>
    <row r="77" ht="24.0" customHeight="1">
      <c r="A77" s="4"/>
      <c r="B77" s="30"/>
      <c r="C77" s="5" t="str">
        <f>IFERROR(__xludf.DUMMYFUNCTION("if(B77=0,""..."", sparkline(query(GOOGLEFINANCE(""BCBA:""&amp;B77,""price"",today()-$AM$47,today()),""select Col2"",0),{""charttype"",$AM$46}))"),"...")</f>
        <v>...</v>
      </c>
      <c r="D77" s="17"/>
      <c r="E77" s="31"/>
      <c r="F77" s="7"/>
      <c r="G77" s="8" t="str">
        <f t="shared" si="1"/>
        <v>...</v>
      </c>
      <c r="H77" s="31"/>
      <c r="I77" s="52"/>
      <c r="J77" s="45" t="str">
        <f t="shared" si="2"/>
        <v>...</v>
      </c>
      <c r="K77" s="47" t="str">
        <f t="array" ref="K77">IF(B77=0,"...",J77/VLOOKUP(D77,{CCL!M:N;CCL!$P:$Q},2,FALSE))</f>
        <v>...</v>
      </c>
      <c r="L77" s="45" t="str">
        <f t="shared" si="41"/>
        <v>...</v>
      </c>
      <c r="M77" s="45" t="str">
        <f>if(B77=0,"...",L77*(1-VLOOKUP(A77,Config!$B$3:$C$22,2,FALSE)))</f>
        <v>...</v>
      </c>
      <c r="N77" s="45" t="str">
        <f t="shared" si="3"/>
        <v>...</v>
      </c>
      <c r="O77" s="12" t="str">
        <f>IFERROR(__xludf.DUMMYFUNCTION("if(B77=0,""..."",GOOGLEFINANCE(B77,""changepct"")/100)"),"...")</f>
        <v>...</v>
      </c>
      <c r="P77" s="10" t="str">
        <f>IFERROR(__xludf.DUMMYFUNCTION("if(B77=0,""..."",GOOGLEFINANCE(B77,""change"")*H77)"),"...")</f>
        <v>...</v>
      </c>
      <c r="Q77" s="12" t="str">
        <f t="shared" si="4"/>
        <v>...</v>
      </c>
      <c r="R77" s="47" t="str">
        <f t="shared" si="5"/>
        <v>...</v>
      </c>
      <c r="S77" s="12" t="str">
        <f t="shared" si="36"/>
        <v>...</v>
      </c>
      <c r="T77" s="47" t="str">
        <f>IF(B77=0,"...",(N77/IF(E77="ABIERTA",CCL!$E$2,VLOOKUP(F77,CCL!$A$12:$B$773,2,FALSE))-K77))</f>
        <v>...</v>
      </c>
      <c r="U77" s="2"/>
      <c r="V77" s="10"/>
      <c r="W77" s="10"/>
      <c r="X77" s="59" t="str">
        <f t="shared" si="29"/>
        <v>...</v>
      </c>
      <c r="Y77" s="45" t="str">
        <f>IFERROR(__xludf.DUMMYFUNCTION("IF(W77=0,""..."",GOOGLEFINANCE(""BCBA:""&amp;W77))"),"...")</f>
        <v>...</v>
      </c>
      <c r="Z77" s="12"/>
      <c r="AA77" s="45"/>
      <c r="AB77" s="12" t="str">
        <f t="shared" si="26"/>
        <v/>
      </c>
      <c r="AC77" s="45" t="str">
        <f t="shared" si="37"/>
        <v>...</v>
      </c>
      <c r="AD77" s="45" t="str">
        <f t="shared" si="38"/>
        <v>...</v>
      </c>
      <c r="AE77" s="12" t="str">
        <f t="shared" si="11"/>
        <v>...</v>
      </c>
      <c r="AF77" s="45" t="str">
        <f t="shared" si="39"/>
        <v>...</v>
      </c>
      <c r="AG77" s="45" t="str">
        <f t="shared" si="27"/>
        <v>...</v>
      </c>
      <c r="AH77" s="12" t="str">
        <f t="shared" si="13"/>
        <v>...</v>
      </c>
      <c r="AI77" s="46" t="str">
        <f t="shared" si="40"/>
        <v>...</v>
      </c>
      <c r="AJ77" s="2"/>
      <c r="AK77" s="2"/>
      <c r="AL77" s="2"/>
      <c r="AM77" s="2"/>
      <c r="AN77" s="2"/>
      <c r="AO77" s="2"/>
    </row>
    <row r="78" ht="24.0" customHeight="1">
      <c r="A78" s="4"/>
      <c r="B78" s="30"/>
      <c r="C78" s="5" t="str">
        <f>IFERROR(__xludf.DUMMYFUNCTION("if(B78=0,""..."", sparkline(query(GOOGLEFINANCE(""BCBA:""&amp;B78,""price"",today()-$AM$47,today()),""select Col2"",0),{""charttype"",$AM$46}))"),"...")</f>
        <v>...</v>
      </c>
      <c r="D78" s="17"/>
      <c r="E78" s="31"/>
      <c r="F78" s="7"/>
      <c r="G78" s="8" t="str">
        <f t="shared" si="1"/>
        <v>...</v>
      </c>
      <c r="H78" s="31"/>
      <c r="I78" s="52"/>
      <c r="J78" s="45" t="str">
        <f t="shared" si="2"/>
        <v>...</v>
      </c>
      <c r="K78" s="47" t="str">
        <f t="array" ref="K78">IF(B78=0,"...",J78/VLOOKUP(D78,{CCL!M:N;CCL!$P:$Q},2,FALSE))</f>
        <v>...</v>
      </c>
      <c r="L78" s="45" t="str">
        <f t="shared" si="41"/>
        <v>...</v>
      </c>
      <c r="M78" s="45" t="str">
        <f>if(B78=0,"...",L78*(1-VLOOKUP(A78,Config!$B$3:$C$22,2,FALSE)))</f>
        <v>...</v>
      </c>
      <c r="N78" s="45" t="str">
        <f t="shared" si="3"/>
        <v>...</v>
      </c>
      <c r="O78" s="12" t="str">
        <f>IFERROR(__xludf.DUMMYFUNCTION("if(B78=0,""..."",GOOGLEFINANCE(B78,""changepct"")/100)"),"...")</f>
        <v>...</v>
      </c>
      <c r="P78" s="10" t="str">
        <f>IFERROR(__xludf.DUMMYFUNCTION("if(B78=0,""..."",GOOGLEFINANCE(B78,""change"")*H78)"),"...")</f>
        <v>...</v>
      </c>
      <c r="Q78" s="12" t="str">
        <f t="shared" si="4"/>
        <v>...</v>
      </c>
      <c r="R78" s="47" t="str">
        <f t="shared" si="5"/>
        <v>...</v>
      </c>
      <c r="S78" s="12" t="str">
        <f t="shared" si="36"/>
        <v>...</v>
      </c>
      <c r="T78" s="47" t="str">
        <f>IF(B78=0,"...",(N78/IF(E78="ABIERTA",CCL!$E$2,VLOOKUP(F78,CCL!$A$12:$B$773,2,FALSE))-K78))</f>
        <v>...</v>
      </c>
      <c r="U78" s="2"/>
      <c r="V78" s="10"/>
      <c r="W78" s="10"/>
      <c r="X78" s="59" t="str">
        <f t="shared" si="29"/>
        <v>...</v>
      </c>
      <c r="Y78" s="45" t="str">
        <f>IFERROR(__xludf.DUMMYFUNCTION("IF(W78=0,""..."",GOOGLEFINANCE(""BCBA:""&amp;W78))"),"...")</f>
        <v>...</v>
      </c>
      <c r="Z78" s="12"/>
      <c r="AA78" s="45"/>
      <c r="AB78" s="12" t="str">
        <f t="shared" si="26"/>
        <v/>
      </c>
      <c r="AC78" s="45" t="str">
        <f t="shared" si="37"/>
        <v>...</v>
      </c>
      <c r="AD78" s="45" t="str">
        <f t="shared" si="38"/>
        <v>...</v>
      </c>
      <c r="AE78" s="12" t="str">
        <f t="shared" si="11"/>
        <v>...</v>
      </c>
      <c r="AF78" s="45" t="str">
        <f t="shared" si="39"/>
        <v>...</v>
      </c>
      <c r="AG78" s="45" t="str">
        <f t="shared" si="27"/>
        <v>...</v>
      </c>
      <c r="AH78" s="12" t="str">
        <f t="shared" si="13"/>
        <v>...</v>
      </c>
      <c r="AI78" s="46" t="str">
        <f t="shared" si="40"/>
        <v>...</v>
      </c>
      <c r="AJ78" s="2"/>
      <c r="AK78" s="2"/>
      <c r="AL78" s="2"/>
      <c r="AM78" s="2"/>
      <c r="AN78" s="2"/>
      <c r="AO78" s="2"/>
    </row>
    <row r="79" ht="24.0" customHeight="1">
      <c r="A79" s="4"/>
      <c r="B79" s="30"/>
      <c r="C79" s="5" t="str">
        <f>IFERROR(__xludf.DUMMYFUNCTION("if(B79=0,""..."", sparkline(query(GOOGLEFINANCE(""BCBA:""&amp;B79,""price"",today()-$AM$47,today()),""select Col2"",0),{""charttype"",$AM$46}))"),"...")</f>
        <v>...</v>
      </c>
      <c r="D79" s="17"/>
      <c r="E79" s="31"/>
      <c r="F79" s="7"/>
      <c r="G79" s="8" t="str">
        <f t="shared" si="1"/>
        <v>...</v>
      </c>
      <c r="H79" s="31"/>
      <c r="I79" s="52"/>
      <c r="J79" s="45" t="str">
        <f t="shared" si="2"/>
        <v>...</v>
      </c>
      <c r="K79" s="47" t="str">
        <f t="array" ref="K79">IF(B79=0,"...",J79/VLOOKUP(D79,{CCL!M:N;CCL!$P:$Q},2,FALSE))</f>
        <v>...</v>
      </c>
      <c r="L79" s="45" t="str">
        <f t="shared" si="41"/>
        <v>...</v>
      </c>
      <c r="M79" s="45" t="str">
        <f>if(B79=0,"...",L79*(1-VLOOKUP(A79,Config!$B$3:$C$22,2,FALSE)))</f>
        <v>...</v>
      </c>
      <c r="N79" s="45" t="str">
        <f t="shared" si="3"/>
        <v>...</v>
      </c>
      <c r="O79" s="12" t="str">
        <f>IFERROR(__xludf.DUMMYFUNCTION("if(B79=0,""..."",GOOGLEFINANCE(B79,""changepct"")/100)"),"...")</f>
        <v>...</v>
      </c>
      <c r="P79" s="10" t="str">
        <f>IFERROR(__xludf.DUMMYFUNCTION("if(B79=0,""..."",GOOGLEFINANCE(B79,""change"")*H79)"),"...")</f>
        <v>...</v>
      </c>
      <c r="Q79" s="12" t="str">
        <f t="shared" si="4"/>
        <v>...</v>
      </c>
      <c r="R79" s="47" t="str">
        <f t="shared" si="5"/>
        <v>...</v>
      </c>
      <c r="S79" s="12" t="str">
        <f t="shared" si="36"/>
        <v>...</v>
      </c>
      <c r="T79" s="47" t="str">
        <f>IF(B79=0,"...",(N79/IF(E79="ABIERTA",CCL!$E$2,VLOOKUP(F79,CCL!$A$12:$B$773,2,FALSE))-K79))</f>
        <v>...</v>
      </c>
      <c r="U79" s="2"/>
      <c r="V79" s="10"/>
      <c r="W79" s="10"/>
      <c r="X79" s="59" t="str">
        <f t="shared" si="29"/>
        <v>...</v>
      </c>
      <c r="Y79" s="45" t="str">
        <f>IFERROR(__xludf.DUMMYFUNCTION("IF(W79=0,""..."",GOOGLEFINANCE(""BCBA:""&amp;W79))"),"...")</f>
        <v>...</v>
      </c>
      <c r="Z79" s="12"/>
      <c r="AA79" s="45"/>
      <c r="AB79" s="12" t="str">
        <f t="shared" si="26"/>
        <v/>
      </c>
      <c r="AC79" s="45" t="str">
        <f t="shared" si="37"/>
        <v>...</v>
      </c>
      <c r="AD79" s="45" t="str">
        <f t="shared" si="38"/>
        <v>...</v>
      </c>
      <c r="AE79" s="12" t="str">
        <f t="shared" si="11"/>
        <v>...</v>
      </c>
      <c r="AF79" s="45" t="str">
        <f t="shared" si="39"/>
        <v>...</v>
      </c>
      <c r="AG79" s="45" t="str">
        <f t="shared" si="27"/>
        <v>...</v>
      </c>
      <c r="AH79" s="12" t="str">
        <f t="shared" si="13"/>
        <v>...</v>
      </c>
      <c r="AI79" s="46" t="str">
        <f t="shared" si="40"/>
        <v>...</v>
      </c>
      <c r="AJ79" s="2"/>
      <c r="AK79" s="2"/>
      <c r="AL79" s="2"/>
      <c r="AM79" s="2"/>
      <c r="AN79" s="2"/>
      <c r="AO79" s="2"/>
    </row>
    <row r="80" ht="24.0" customHeight="1">
      <c r="A80" s="4"/>
      <c r="B80" s="30"/>
      <c r="C80" s="5" t="str">
        <f>IFERROR(__xludf.DUMMYFUNCTION("if(B80=0,""..."", sparkline(query(GOOGLEFINANCE(""BCBA:""&amp;B80,""price"",today()-$AM$47,today()),""select Col2"",0),{""charttype"",$AM$46}))"),"...")</f>
        <v>...</v>
      </c>
      <c r="D80" s="17"/>
      <c r="E80" s="31"/>
      <c r="F80" s="7"/>
      <c r="G80" s="8" t="str">
        <f t="shared" si="1"/>
        <v>...</v>
      </c>
      <c r="H80" s="31"/>
      <c r="I80" s="52"/>
      <c r="J80" s="45" t="str">
        <f t="shared" si="2"/>
        <v>...</v>
      </c>
      <c r="K80" s="47" t="str">
        <f t="array" ref="K80">IF(B80=0,"...",J80/VLOOKUP(D80,{CCL!M:N;CCL!$P:$Q},2,FALSE))</f>
        <v>...</v>
      </c>
      <c r="L80" s="45" t="str">
        <f t="shared" si="41"/>
        <v>...</v>
      </c>
      <c r="M80" s="45" t="str">
        <f>if(B80=0,"...",L80*(1-VLOOKUP(A80,Config!$B$3:$C$22,2,FALSE)))</f>
        <v>...</v>
      </c>
      <c r="N80" s="45" t="str">
        <f t="shared" si="3"/>
        <v>...</v>
      </c>
      <c r="O80" s="12" t="str">
        <f>IFERROR(__xludf.DUMMYFUNCTION("if(B80=0,""..."",GOOGLEFINANCE(B80,""changepct"")/100)"),"...")</f>
        <v>...</v>
      </c>
      <c r="P80" s="10" t="str">
        <f>IFERROR(__xludf.DUMMYFUNCTION("if(B80=0,""..."",GOOGLEFINANCE(B80,""change"")*H80)"),"...")</f>
        <v>...</v>
      </c>
      <c r="Q80" s="12" t="str">
        <f t="shared" si="4"/>
        <v>...</v>
      </c>
      <c r="R80" s="47" t="str">
        <f t="shared" si="5"/>
        <v>...</v>
      </c>
      <c r="S80" s="12" t="str">
        <f t="shared" si="36"/>
        <v>...</v>
      </c>
      <c r="T80" s="47" t="str">
        <f>IF(B80=0,"...",(N80/IF(E80="ABIERTA",CCL!$E$2,VLOOKUP(F80,CCL!$A$12:$B$773,2,FALSE))-K80))</f>
        <v>...</v>
      </c>
      <c r="U80" s="2"/>
      <c r="V80" s="10"/>
      <c r="W80" s="10"/>
      <c r="X80" s="59" t="str">
        <f t="shared" si="29"/>
        <v>...</v>
      </c>
      <c r="Y80" s="45" t="str">
        <f>IFERROR(__xludf.DUMMYFUNCTION("IF(W80=0,""..."",GOOGLEFINANCE(""BCBA:""&amp;W80))"),"...")</f>
        <v>...</v>
      </c>
      <c r="Z80" s="12"/>
      <c r="AA80" s="45"/>
      <c r="AB80" s="12" t="str">
        <f t="shared" si="26"/>
        <v/>
      </c>
      <c r="AC80" s="45" t="str">
        <f t="shared" si="37"/>
        <v>...</v>
      </c>
      <c r="AD80" s="45" t="str">
        <f t="shared" si="38"/>
        <v>...</v>
      </c>
      <c r="AE80" s="12" t="str">
        <f t="shared" si="11"/>
        <v>...</v>
      </c>
      <c r="AF80" s="45" t="str">
        <f t="shared" si="39"/>
        <v>...</v>
      </c>
      <c r="AG80" s="45" t="str">
        <f t="shared" si="27"/>
        <v>...</v>
      </c>
      <c r="AH80" s="12" t="str">
        <f t="shared" si="13"/>
        <v>...</v>
      </c>
      <c r="AI80" s="46" t="str">
        <f t="shared" si="40"/>
        <v>...</v>
      </c>
      <c r="AJ80" s="2"/>
      <c r="AK80" s="2"/>
      <c r="AL80" s="2"/>
      <c r="AM80" s="2"/>
      <c r="AN80" s="2"/>
      <c r="AO80" s="2"/>
    </row>
    <row r="81" ht="24.0" customHeight="1">
      <c r="A81" s="4"/>
      <c r="B81" s="30"/>
      <c r="C81" s="5" t="str">
        <f>IFERROR(__xludf.DUMMYFUNCTION("if(B81=0,""..."", sparkline(query(GOOGLEFINANCE(""BCBA:""&amp;B81,""price"",today()-$AM$47,today()),""select Col2"",0),{""charttype"",$AM$46}))"),"...")</f>
        <v>...</v>
      </c>
      <c r="D81" s="17"/>
      <c r="E81" s="31"/>
      <c r="F81" s="7"/>
      <c r="G81" s="8" t="str">
        <f t="shared" si="1"/>
        <v>...</v>
      </c>
      <c r="H81" s="31"/>
      <c r="I81" s="52"/>
      <c r="J81" s="45" t="str">
        <f t="shared" si="2"/>
        <v>...</v>
      </c>
      <c r="K81" s="47" t="str">
        <f t="array" ref="K81">IF(B81=0,"...",J81/VLOOKUP(D81,{CCL!M:N;CCL!$P:$Q},2,FALSE))</f>
        <v>...</v>
      </c>
      <c r="L81" s="45" t="str">
        <f t="shared" si="41"/>
        <v>...</v>
      </c>
      <c r="M81" s="45" t="str">
        <f>if(B81=0,"...",L81*(1-VLOOKUP(A81,Config!$B$3:$C$22,2,FALSE)))</f>
        <v>...</v>
      </c>
      <c r="N81" s="45" t="str">
        <f t="shared" si="3"/>
        <v>...</v>
      </c>
      <c r="O81" s="12" t="str">
        <f>IFERROR(__xludf.DUMMYFUNCTION("if(B81=0,""..."",GOOGLEFINANCE(B81,""changepct"")/100)"),"...")</f>
        <v>...</v>
      </c>
      <c r="P81" s="10" t="str">
        <f>IFERROR(__xludf.DUMMYFUNCTION("if(B81=0,""..."",GOOGLEFINANCE(B81,""change"")*H81)"),"...")</f>
        <v>...</v>
      </c>
      <c r="Q81" s="12" t="str">
        <f t="shared" si="4"/>
        <v>...</v>
      </c>
      <c r="R81" s="47" t="str">
        <f t="shared" si="5"/>
        <v>...</v>
      </c>
      <c r="S81" s="12" t="str">
        <f t="shared" si="36"/>
        <v>...</v>
      </c>
      <c r="T81" s="47" t="str">
        <f>IF(B81=0,"...",(N81/IF(E81="ABIERTA",CCL!$E$2,VLOOKUP(F81,CCL!$A$12:$B$773,2,FALSE))-K81))</f>
        <v>...</v>
      </c>
      <c r="U81" s="2"/>
      <c r="V81" s="10"/>
      <c r="W81" s="10"/>
      <c r="X81" s="59" t="str">
        <f t="shared" si="29"/>
        <v>...</v>
      </c>
      <c r="Y81" s="45" t="str">
        <f>IFERROR(__xludf.DUMMYFUNCTION("IF(W81=0,""..."",GOOGLEFINANCE(""BCBA:""&amp;W81))"),"...")</f>
        <v>...</v>
      </c>
      <c r="Z81" s="12"/>
      <c r="AA81" s="45"/>
      <c r="AB81" s="12" t="str">
        <f t="shared" si="26"/>
        <v/>
      </c>
      <c r="AC81" s="45" t="str">
        <f t="shared" si="37"/>
        <v>...</v>
      </c>
      <c r="AD81" s="45" t="str">
        <f t="shared" si="38"/>
        <v>...</v>
      </c>
      <c r="AE81" s="12" t="str">
        <f t="shared" si="11"/>
        <v>...</v>
      </c>
      <c r="AF81" s="45" t="str">
        <f t="shared" si="39"/>
        <v>...</v>
      </c>
      <c r="AG81" s="45" t="str">
        <f t="shared" si="27"/>
        <v>...</v>
      </c>
      <c r="AH81" s="12" t="str">
        <f t="shared" si="13"/>
        <v>...</v>
      </c>
      <c r="AI81" s="46" t="str">
        <f t="shared" si="40"/>
        <v>...</v>
      </c>
      <c r="AJ81" s="2"/>
      <c r="AK81" s="2"/>
      <c r="AL81" s="2"/>
      <c r="AM81" s="2"/>
      <c r="AN81" s="2"/>
      <c r="AO81" s="2"/>
    </row>
    <row r="82" ht="24.0" customHeight="1">
      <c r="A82" s="4"/>
      <c r="B82" s="30"/>
      <c r="C82" s="5" t="str">
        <f>IFERROR(__xludf.DUMMYFUNCTION("if(B82=0,""..."", sparkline(query(GOOGLEFINANCE(""BCBA:""&amp;B82,""price"",today()-$AM$47,today()),""select Col2"",0),{""charttype"",$AM$46}))"),"...")</f>
        <v>...</v>
      </c>
      <c r="D82" s="17"/>
      <c r="E82" s="31"/>
      <c r="F82" s="7"/>
      <c r="G82" s="8" t="str">
        <f t="shared" si="1"/>
        <v>...</v>
      </c>
      <c r="H82" s="31"/>
      <c r="I82" s="52"/>
      <c r="J82" s="45" t="str">
        <f t="shared" si="2"/>
        <v>...</v>
      </c>
      <c r="K82" s="47" t="str">
        <f t="array" ref="K82">IF(B82=0,"...",J82/VLOOKUP(D82,{CCL!M:N;CCL!$P:$Q},2,FALSE))</f>
        <v>...</v>
      </c>
      <c r="L82" s="45" t="str">
        <f t="shared" si="41"/>
        <v>...</v>
      </c>
      <c r="M82" s="45" t="str">
        <f>if(B82=0,"...",L82*(1-VLOOKUP(A82,Config!$B$3:$C$22,2,FALSE)))</f>
        <v>...</v>
      </c>
      <c r="N82" s="45" t="str">
        <f t="shared" si="3"/>
        <v>...</v>
      </c>
      <c r="O82" s="12" t="str">
        <f>IFERROR(__xludf.DUMMYFUNCTION("if(B82=0,""..."",GOOGLEFINANCE(B82,""changepct"")/100)"),"...")</f>
        <v>...</v>
      </c>
      <c r="P82" s="10" t="str">
        <f>IFERROR(__xludf.DUMMYFUNCTION("if(B82=0,""..."",GOOGLEFINANCE(B82,""change"")*H82)"),"...")</f>
        <v>...</v>
      </c>
      <c r="Q82" s="12" t="str">
        <f t="shared" si="4"/>
        <v>...</v>
      </c>
      <c r="R82" s="47" t="str">
        <f t="shared" si="5"/>
        <v>...</v>
      </c>
      <c r="S82" s="12" t="str">
        <f t="shared" si="36"/>
        <v>...</v>
      </c>
      <c r="T82" s="47" t="str">
        <f>IF(B82=0,"...",(N82/IF(E82="ABIERTA",CCL!$E$2,VLOOKUP(F82,CCL!$A$12:$B$773,2,FALSE))-K82))</f>
        <v>...</v>
      </c>
      <c r="U82" s="2"/>
      <c r="V82" s="10"/>
      <c r="W82" s="10"/>
      <c r="X82" s="59" t="str">
        <f t="shared" si="29"/>
        <v>...</v>
      </c>
      <c r="Y82" s="45" t="str">
        <f>IFERROR(__xludf.DUMMYFUNCTION("IF(W82=0,""..."",GOOGLEFINANCE(""BCBA:""&amp;W82))"),"...")</f>
        <v>...</v>
      </c>
      <c r="Z82" s="12"/>
      <c r="AA82" s="45"/>
      <c r="AB82" s="12" t="str">
        <f t="shared" si="26"/>
        <v/>
      </c>
      <c r="AC82" s="45" t="str">
        <f t="shared" si="37"/>
        <v>...</v>
      </c>
      <c r="AD82" s="45" t="str">
        <f t="shared" si="38"/>
        <v>...</v>
      </c>
      <c r="AE82" s="12" t="str">
        <f t="shared" si="11"/>
        <v>...</v>
      </c>
      <c r="AF82" s="45" t="str">
        <f t="shared" si="39"/>
        <v>...</v>
      </c>
      <c r="AG82" s="45" t="str">
        <f t="shared" si="27"/>
        <v>...</v>
      </c>
      <c r="AH82" s="12" t="str">
        <f t="shared" si="13"/>
        <v>...</v>
      </c>
      <c r="AI82" s="46" t="str">
        <f t="shared" si="40"/>
        <v>...</v>
      </c>
      <c r="AJ82" s="2"/>
      <c r="AK82" s="2"/>
      <c r="AL82" s="2"/>
      <c r="AM82" s="2"/>
      <c r="AN82" s="2"/>
      <c r="AO82" s="2"/>
    </row>
    <row r="83" ht="24.0" customHeight="1">
      <c r="A83" s="4"/>
      <c r="B83" s="30"/>
      <c r="C83" s="5" t="str">
        <f>IFERROR(__xludf.DUMMYFUNCTION("if(B83=0,""..."", sparkline(query(GOOGLEFINANCE(""BCBA:""&amp;B83,""price"",today()-$AM$47,today()),""select Col2"",0),{""charttype"",$AM$46}))"),"...")</f>
        <v>...</v>
      </c>
      <c r="D83" s="17"/>
      <c r="E83" s="31"/>
      <c r="F83" s="7"/>
      <c r="G83" s="8" t="str">
        <f t="shared" si="1"/>
        <v>...</v>
      </c>
      <c r="H83" s="31"/>
      <c r="I83" s="52"/>
      <c r="J83" s="45" t="str">
        <f t="shared" si="2"/>
        <v>...</v>
      </c>
      <c r="K83" s="47" t="str">
        <f t="array" ref="K83">IF(B83=0,"...",J83/VLOOKUP(D83,{CCL!M:N;CCL!$P:$Q},2,FALSE))</f>
        <v>...</v>
      </c>
      <c r="L83" s="45" t="str">
        <f t="shared" si="41"/>
        <v>...</v>
      </c>
      <c r="M83" s="45" t="str">
        <f>if(B83=0,"...",L83*(1-VLOOKUP(A83,Config!$B$3:$C$22,2,FALSE)))</f>
        <v>...</v>
      </c>
      <c r="N83" s="45" t="str">
        <f t="shared" si="3"/>
        <v>...</v>
      </c>
      <c r="O83" s="12" t="str">
        <f>IFERROR(__xludf.DUMMYFUNCTION("if(B83=0,""..."",GOOGLEFINANCE(B83,""changepct"")/100)"),"...")</f>
        <v>...</v>
      </c>
      <c r="P83" s="10" t="str">
        <f>IFERROR(__xludf.DUMMYFUNCTION("if(B83=0,""..."",GOOGLEFINANCE(B83,""change"")*H83)"),"...")</f>
        <v>...</v>
      </c>
      <c r="Q83" s="12" t="str">
        <f t="shared" si="4"/>
        <v>...</v>
      </c>
      <c r="R83" s="47" t="str">
        <f t="shared" si="5"/>
        <v>...</v>
      </c>
      <c r="S83" s="12" t="str">
        <f t="shared" si="36"/>
        <v>...</v>
      </c>
      <c r="T83" s="47" t="str">
        <f>IF(B83=0,"...",(N83/IF(E83="ABIERTA",CCL!$E$2,VLOOKUP(F83,CCL!$A$12:$B$773,2,FALSE))-K83))</f>
        <v>...</v>
      </c>
      <c r="U83" s="2"/>
      <c r="V83" s="10"/>
      <c r="W83" s="10"/>
      <c r="X83" s="59" t="str">
        <f t="shared" si="29"/>
        <v>...</v>
      </c>
      <c r="Y83" s="45" t="str">
        <f>IFERROR(__xludf.DUMMYFUNCTION("IF(W83=0,""..."",GOOGLEFINANCE(""BCBA:""&amp;W83))"),"...")</f>
        <v>...</v>
      </c>
      <c r="Z83" s="12"/>
      <c r="AA83" s="45"/>
      <c r="AB83" s="12" t="str">
        <f t="shared" si="26"/>
        <v/>
      </c>
      <c r="AC83" s="45" t="str">
        <f t="shared" si="37"/>
        <v>...</v>
      </c>
      <c r="AD83" s="45" t="str">
        <f t="shared" si="38"/>
        <v>...</v>
      </c>
      <c r="AE83" s="12" t="str">
        <f t="shared" si="11"/>
        <v>...</v>
      </c>
      <c r="AF83" s="45" t="str">
        <f t="shared" si="39"/>
        <v>...</v>
      </c>
      <c r="AG83" s="45" t="str">
        <f t="shared" si="27"/>
        <v>...</v>
      </c>
      <c r="AH83" s="12" t="str">
        <f t="shared" si="13"/>
        <v>...</v>
      </c>
      <c r="AI83" s="46" t="str">
        <f t="shared" si="40"/>
        <v>...</v>
      </c>
      <c r="AJ83" s="2"/>
      <c r="AK83" s="2"/>
      <c r="AL83" s="2"/>
      <c r="AM83" s="2"/>
      <c r="AN83" s="2"/>
      <c r="AO83" s="2"/>
    </row>
    <row r="84" ht="24.0" customHeight="1">
      <c r="A84" s="4"/>
      <c r="B84" s="30"/>
      <c r="C84" s="5" t="str">
        <f>IFERROR(__xludf.DUMMYFUNCTION("if(B84=0,""..."", sparkline(query(GOOGLEFINANCE(""BCBA:""&amp;B84,""price"",today()-$AM$47,today()),""select Col2"",0),{""charttype"",$AM$46}))"),"...")</f>
        <v>...</v>
      </c>
      <c r="D84" s="17"/>
      <c r="E84" s="31"/>
      <c r="F84" s="7"/>
      <c r="G84" s="8" t="str">
        <f t="shared" si="1"/>
        <v>...</v>
      </c>
      <c r="H84" s="31"/>
      <c r="I84" s="52"/>
      <c r="J84" s="45" t="str">
        <f t="shared" si="2"/>
        <v>...</v>
      </c>
      <c r="K84" s="47" t="str">
        <f t="array" ref="K84">IF(B84=0,"...",J84/VLOOKUP(D84,{CCL!M:N;CCL!$P:$Q},2,FALSE))</f>
        <v>...</v>
      </c>
      <c r="L84" s="45" t="str">
        <f t="shared" si="41"/>
        <v>...</v>
      </c>
      <c r="M84" s="45" t="str">
        <f>if(B84=0,"...",L84*(1-VLOOKUP(A84,Config!$B$3:$C$22,2,FALSE)))</f>
        <v>...</v>
      </c>
      <c r="N84" s="45" t="str">
        <f t="shared" si="3"/>
        <v>...</v>
      </c>
      <c r="O84" s="12" t="str">
        <f>IFERROR(__xludf.DUMMYFUNCTION("if(B84=0,""..."",GOOGLEFINANCE(B84,""changepct"")/100)"),"...")</f>
        <v>...</v>
      </c>
      <c r="P84" s="10" t="str">
        <f>IFERROR(__xludf.DUMMYFUNCTION("if(B84=0,""..."",GOOGLEFINANCE(B84,""change"")*H84)"),"...")</f>
        <v>...</v>
      </c>
      <c r="Q84" s="12" t="str">
        <f t="shared" si="4"/>
        <v>...</v>
      </c>
      <c r="R84" s="47" t="str">
        <f t="shared" si="5"/>
        <v>...</v>
      </c>
      <c r="S84" s="12" t="str">
        <f t="shared" si="36"/>
        <v>...</v>
      </c>
      <c r="T84" s="47" t="str">
        <f>IF(B84=0,"...",(N84/IF(E84="ABIERTA",CCL!$E$2,VLOOKUP(F84,CCL!$A$12:$B$773,2,FALSE))-K84))</f>
        <v>...</v>
      </c>
      <c r="U84" s="2"/>
      <c r="V84" s="10"/>
      <c r="W84" s="10"/>
      <c r="X84" s="59" t="str">
        <f t="shared" si="29"/>
        <v>...</v>
      </c>
      <c r="Y84" s="45" t="str">
        <f>IFERROR(__xludf.DUMMYFUNCTION("IF(W84=0,""..."",GOOGLEFINANCE(""BCBA:""&amp;W84))"),"...")</f>
        <v>...</v>
      </c>
      <c r="Z84" s="12"/>
      <c r="AA84" s="45"/>
      <c r="AB84" s="12" t="str">
        <f t="shared" si="26"/>
        <v/>
      </c>
      <c r="AC84" s="45" t="str">
        <f t="shared" si="37"/>
        <v>...</v>
      </c>
      <c r="AD84" s="45" t="str">
        <f t="shared" si="38"/>
        <v>...</v>
      </c>
      <c r="AE84" s="12" t="str">
        <f t="shared" si="11"/>
        <v>...</v>
      </c>
      <c r="AF84" s="45" t="str">
        <f t="shared" si="39"/>
        <v>...</v>
      </c>
      <c r="AG84" s="45" t="str">
        <f t="shared" si="27"/>
        <v>...</v>
      </c>
      <c r="AH84" s="12" t="str">
        <f t="shared" si="13"/>
        <v>...</v>
      </c>
      <c r="AI84" s="46" t="str">
        <f t="shared" si="40"/>
        <v>...</v>
      </c>
      <c r="AJ84" s="2"/>
      <c r="AK84" s="2"/>
      <c r="AL84" s="2"/>
      <c r="AM84" s="2"/>
      <c r="AN84" s="2"/>
      <c r="AO84" s="2"/>
    </row>
    <row r="85" ht="24.0" customHeight="1">
      <c r="A85" s="4"/>
      <c r="B85" s="30"/>
      <c r="C85" s="5" t="str">
        <f>IFERROR(__xludf.DUMMYFUNCTION("if(B85=0,""..."", sparkline(query(GOOGLEFINANCE(""BCBA:""&amp;B85,""price"",today()-$AM$47,today()),""select Col2"",0),{""charttype"",$AM$46}))"),"...")</f>
        <v>...</v>
      </c>
      <c r="D85" s="17"/>
      <c r="E85" s="31"/>
      <c r="F85" s="7"/>
      <c r="G85" s="8" t="str">
        <f t="shared" si="1"/>
        <v>...</v>
      </c>
      <c r="H85" s="31"/>
      <c r="I85" s="52"/>
      <c r="J85" s="45" t="str">
        <f t="shared" si="2"/>
        <v>...</v>
      </c>
      <c r="K85" s="47" t="str">
        <f t="array" ref="K85">IF(B85=0,"...",J85/VLOOKUP(D85,{CCL!M:N;CCL!$P:$Q},2,FALSE))</f>
        <v>...</v>
      </c>
      <c r="L85" s="45" t="str">
        <f t="shared" si="41"/>
        <v>...</v>
      </c>
      <c r="M85" s="45" t="str">
        <f>if(B85=0,"...",L85*(1-VLOOKUP(A85,Config!$B$3:$C$22,2,FALSE)))</f>
        <v>...</v>
      </c>
      <c r="N85" s="45" t="str">
        <f t="shared" si="3"/>
        <v>...</v>
      </c>
      <c r="O85" s="12" t="str">
        <f>IFERROR(__xludf.DUMMYFUNCTION("if(B85=0,""..."",GOOGLEFINANCE(B85,""changepct"")/100)"),"...")</f>
        <v>...</v>
      </c>
      <c r="P85" s="10" t="str">
        <f>IFERROR(__xludf.DUMMYFUNCTION("if(B85=0,""..."",GOOGLEFINANCE(B85,""change"")*H85)"),"...")</f>
        <v>...</v>
      </c>
      <c r="Q85" s="12" t="str">
        <f t="shared" si="4"/>
        <v>...</v>
      </c>
      <c r="R85" s="47" t="str">
        <f t="shared" si="5"/>
        <v>...</v>
      </c>
      <c r="S85" s="12" t="str">
        <f t="shared" si="36"/>
        <v>...</v>
      </c>
      <c r="T85" s="47" t="str">
        <f>IF(B85=0,"...",(N85/IF(E85="ABIERTA",CCL!$E$2,VLOOKUP(F85,CCL!$A$12:$B$773,2,FALSE))-K85))</f>
        <v>...</v>
      </c>
      <c r="U85" s="2"/>
      <c r="V85" s="10"/>
      <c r="W85" s="10"/>
      <c r="X85" s="59" t="str">
        <f t="shared" si="29"/>
        <v>...</v>
      </c>
      <c r="Y85" s="45" t="str">
        <f>IFERROR(__xludf.DUMMYFUNCTION("IF(W85=0,""..."",GOOGLEFINANCE(""BCBA:""&amp;W85))"),"...")</f>
        <v>...</v>
      </c>
      <c r="Z85" s="12"/>
      <c r="AA85" s="45"/>
      <c r="AB85" s="12" t="str">
        <f t="shared" si="26"/>
        <v/>
      </c>
      <c r="AC85" s="45" t="str">
        <f t="shared" si="37"/>
        <v>...</v>
      </c>
      <c r="AD85" s="45" t="str">
        <f t="shared" si="38"/>
        <v>...</v>
      </c>
      <c r="AE85" s="12" t="str">
        <f t="shared" si="11"/>
        <v>...</v>
      </c>
      <c r="AF85" s="45" t="str">
        <f t="shared" si="39"/>
        <v>...</v>
      </c>
      <c r="AG85" s="45" t="str">
        <f t="shared" si="27"/>
        <v>...</v>
      </c>
      <c r="AH85" s="12" t="str">
        <f t="shared" si="13"/>
        <v>...</v>
      </c>
      <c r="AI85" s="46" t="str">
        <f t="shared" si="40"/>
        <v>...</v>
      </c>
      <c r="AJ85" s="2"/>
      <c r="AK85" s="2"/>
      <c r="AL85" s="2"/>
      <c r="AM85" s="2"/>
      <c r="AN85" s="2"/>
      <c r="AO85" s="2"/>
    </row>
    <row r="86" ht="24.0" customHeight="1">
      <c r="A86" s="4"/>
      <c r="B86" s="30"/>
      <c r="C86" s="5" t="str">
        <f>IFERROR(__xludf.DUMMYFUNCTION("if(B86=0,""..."", sparkline(query(GOOGLEFINANCE(""BCBA:""&amp;B86,""price"",today()-$AM$47,today()),""select Col2"",0),{""charttype"",$AM$46}))"),"...")</f>
        <v>...</v>
      </c>
      <c r="D86" s="17"/>
      <c r="E86" s="31"/>
      <c r="F86" s="7"/>
      <c r="G86" s="8" t="str">
        <f t="shared" si="1"/>
        <v>...</v>
      </c>
      <c r="H86" s="31"/>
      <c r="I86" s="52"/>
      <c r="J86" s="45" t="str">
        <f t="shared" si="2"/>
        <v>...</v>
      </c>
      <c r="K86" s="47" t="str">
        <f t="array" ref="K86">IF(B86=0,"...",J86/VLOOKUP(D86,{CCL!M:N;CCL!$P:$Q},2,FALSE))</f>
        <v>...</v>
      </c>
      <c r="L86" s="45" t="str">
        <f t="shared" si="41"/>
        <v>...</v>
      </c>
      <c r="M86" s="45" t="str">
        <f>if(B86=0,"...",L86*(1-VLOOKUP(A86,Config!$B$3:$C$22,2,FALSE)))</f>
        <v>...</v>
      </c>
      <c r="N86" s="45" t="str">
        <f t="shared" si="3"/>
        <v>...</v>
      </c>
      <c r="O86" s="12" t="str">
        <f>IFERROR(__xludf.DUMMYFUNCTION("if(B86=0,""..."",GOOGLEFINANCE(B86,""changepct"")/100)"),"...")</f>
        <v>...</v>
      </c>
      <c r="P86" s="10" t="str">
        <f>IFERROR(__xludf.DUMMYFUNCTION("if(B86=0,""..."",GOOGLEFINANCE(B86,""change"")*H86)"),"...")</f>
        <v>...</v>
      </c>
      <c r="Q86" s="12" t="str">
        <f t="shared" si="4"/>
        <v>...</v>
      </c>
      <c r="R86" s="47" t="str">
        <f t="shared" si="5"/>
        <v>...</v>
      </c>
      <c r="S86" s="12" t="str">
        <f t="shared" si="36"/>
        <v>...</v>
      </c>
      <c r="T86" s="47" t="str">
        <f>IF(B86=0,"...",(N86/IF(E86="ABIERTA",CCL!$E$2,VLOOKUP(F86,CCL!$A$12:$B$773,2,FALSE))-K86))</f>
        <v>...</v>
      </c>
      <c r="U86" s="2"/>
      <c r="V86" s="10"/>
      <c r="W86" s="10"/>
      <c r="X86" s="59" t="str">
        <f t="shared" si="29"/>
        <v>...</v>
      </c>
      <c r="Y86" s="45" t="str">
        <f>IFERROR(__xludf.DUMMYFUNCTION("IF(W86=0,""..."",GOOGLEFINANCE(""BCBA:""&amp;W86))"),"...")</f>
        <v>...</v>
      </c>
      <c r="Z86" s="12"/>
      <c r="AA86" s="45"/>
      <c r="AB86" s="12" t="str">
        <f t="shared" si="26"/>
        <v/>
      </c>
      <c r="AC86" s="45" t="str">
        <f t="shared" si="37"/>
        <v>...</v>
      </c>
      <c r="AD86" s="45" t="str">
        <f t="shared" si="38"/>
        <v>...</v>
      </c>
      <c r="AE86" s="12" t="str">
        <f t="shared" si="11"/>
        <v>...</v>
      </c>
      <c r="AF86" s="45" t="str">
        <f t="shared" si="39"/>
        <v>...</v>
      </c>
      <c r="AG86" s="45" t="str">
        <f t="shared" si="27"/>
        <v>...</v>
      </c>
      <c r="AH86" s="12" t="str">
        <f t="shared" si="13"/>
        <v>...</v>
      </c>
      <c r="AI86" s="46" t="str">
        <f t="shared" si="40"/>
        <v>...</v>
      </c>
      <c r="AJ86" s="2"/>
      <c r="AK86" s="2"/>
      <c r="AL86" s="2"/>
      <c r="AM86" s="2"/>
      <c r="AN86" s="2"/>
      <c r="AO86" s="2"/>
    </row>
    <row r="87" ht="24.0" customHeight="1">
      <c r="A87" s="4"/>
      <c r="B87" s="30"/>
      <c r="C87" s="5" t="str">
        <f>IFERROR(__xludf.DUMMYFUNCTION("if(B87=0,""..."", sparkline(query(GOOGLEFINANCE(""BCBA:""&amp;B87,""price"",today()-$AM$47,today()),""select Col2"",0),{""charttype"",$AM$46}))"),"...")</f>
        <v>...</v>
      </c>
      <c r="D87" s="17"/>
      <c r="E87" s="31"/>
      <c r="F87" s="7"/>
      <c r="G87" s="8" t="str">
        <f t="shared" si="1"/>
        <v>...</v>
      </c>
      <c r="H87" s="31"/>
      <c r="I87" s="52"/>
      <c r="J87" s="45" t="str">
        <f t="shared" si="2"/>
        <v>...</v>
      </c>
      <c r="K87" s="47" t="str">
        <f t="array" ref="K87">IF(B87=0,"...",J87/VLOOKUP(D87,{CCL!M:N;CCL!$P:$Q},2,FALSE))</f>
        <v>...</v>
      </c>
      <c r="L87" s="45" t="str">
        <f t="shared" si="41"/>
        <v>...</v>
      </c>
      <c r="M87" s="45" t="str">
        <f>if(B87=0,"...",L87*(1-VLOOKUP(A87,Config!$B$3:$C$22,2,FALSE)))</f>
        <v>...</v>
      </c>
      <c r="N87" s="45" t="str">
        <f t="shared" si="3"/>
        <v>...</v>
      </c>
      <c r="O87" s="12" t="str">
        <f>IFERROR(__xludf.DUMMYFUNCTION("if(B87=0,""..."",GOOGLEFINANCE(B87,""changepct"")/100)"),"...")</f>
        <v>...</v>
      </c>
      <c r="P87" s="10" t="str">
        <f>IFERROR(__xludf.DUMMYFUNCTION("if(B87=0,""..."",GOOGLEFINANCE(B87,""change"")*H87)"),"...")</f>
        <v>...</v>
      </c>
      <c r="Q87" s="12" t="str">
        <f t="shared" si="4"/>
        <v>...</v>
      </c>
      <c r="R87" s="47" t="str">
        <f t="shared" si="5"/>
        <v>...</v>
      </c>
      <c r="S87" s="12" t="str">
        <f t="shared" si="36"/>
        <v>...</v>
      </c>
      <c r="T87" s="47" t="str">
        <f>IF(B87=0,"...",(N87/IF(E87="ABIERTA",CCL!$E$2,VLOOKUP(F87,CCL!$A$12:$B$773,2,FALSE))-K87))</f>
        <v>...</v>
      </c>
      <c r="U87" s="2"/>
      <c r="V87" s="10"/>
      <c r="W87" s="10"/>
      <c r="X87" s="59" t="str">
        <f t="shared" si="29"/>
        <v>...</v>
      </c>
      <c r="Y87" s="45" t="str">
        <f>IFERROR(__xludf.DUMMYFUNCTION("IF(W87=0,""..."",GOOGLEFINANCE(""BCBA:""&amp;W87))"),"...")</f>
        <v>...</v>
      </c>
      <c r="Z87" s="12"/>
      <c r="AA87" s="45"/>
      <c r="AB87" s="12" t="str">
        <f t="shared" si="26"/>
        <v/>
      </c>
      <c r="AC87" s="45" t="str">
        <f t="shared" si="37"/>
        <v>...</v>
      </c>
      <c r="AD87" s="45" t="str">
        <f t="shared" si="38"/>
        <v>...</v>
      </c>
      <c r="AE87" s="12" t="str">
        <f t="shared" si="11"/>
        <v>...</v>
      </c>
      <c r="AF87" s="45" t="str">
        <f t="shared" si="39"/>
        <v>...</v>
      </c>
      <c r="AG87" s="45" t="str">
        <f t="shared" si="27"/>
        <v>...</v>
      </c>
      <c r="AH87" s="12" t="str">
        <f t="shared" si="13"/>
        <v>...</v>
      </c>
      <c r="AI87" s="46" t="str">
        <f t="shared" si="40"/>
        <v>...</v>
      </c>
      <c r="AJ87" s="2"/>
      <c r="AK87" s="2"/>
      <c r="AL87" s="2"/>
      <c r="AM87" s="2"/>
      <c r="AN87" s="2"/>
      <c r="AO87" s="2"/>
    </row>
    <row r="88" ht="24.0" customHeight="1">
      <c r="A88" s="4"/>
      <c r="B88" s="30"/>
      <c r="C88" s="5" t="str">
        <f>IFERROR(__xludf.DUMMYFUNCTION("if(B88=0,""..."", sparkline(query(GOOGLEFINANCE(""BCBA:""&amp;B88,""price"",today()-$AM$47,today()),""select Col2"",0),{""charttype"",$AM$46}))"),"...")</f>
        <v>...</v>
      </c>
      <c r="D88" s="17"/>
      <c r="E88" s="31"/>
      <c r="F88" s="7"/>
      <c r="G88" s="8" t="str">
        <f t="shared" si="1"/>
        <v>...</v>
      </c>
      <c r="H88" s="31"/>
      <c r="I88" s="52"/>
      <c r="J88" s="45" t="str">
        <f t="shared" si="2"/>
        <v>...</v>
      </c>
      <c r="K88" s="47" t="str">
        <f t="array" ref="K88">IF(B88=0,"...",J88/VLOOKUP(D88,{CCL!M:N;CCL!$P:$Q},2,FALSE))</f>
        <v>...</v>
      </c>
      <c r="L88" s="45" t="str">
        <f t="shared" si="41"/>
        <v>...</v>
      </c>
      <c r="M88" s="45" t="str">
        <f>if(B88=0,"...",L88*(1-VLOOKUP(A88,Config!$B$3:$C$22,2,FALSE)))</f>
        <v>...</v>
      </c>
      <c r="N88" s="45" t="str">
        <f t="shared" si="3"/>
        <v>...</v>
      </c>
      <c r="O88" s="12" t="str">
        <f>IFERROR(__xludf.DUMMYFUNCTION("if(B88=0,""..."",GOOGLEFINANCE(B88,""changepct"")/100)"),"...")</f>
        <v>...</v>
      </c>
      <c r="P88" s="10" t="str">
        <f>IFERROR(__xludf.DUMMYFUNCTION("if(B88=0,""..."",GOOGLEFINANCE(B88,""change"")*H88)"),"...")</f>
        <v>...</v>
      </c>
      <c r="Q88" s="12" t="str">
        <f t="shared" si="4"/>
        <v>...</v>
      </c>
      <c r="R88" s="47" t="str">
        <f t="shared" si="5"/>
        <v>...</v>
      </c>
      <c r="S88" s="12" t="str">
        <f t="shared" si="36"/>
        <v>...</v>
      </c>
      <c r="T88" s="47" t="str">
        <f>IF(B88=0,"...",(N88/IF(E88="ABIERTA",CCL!$E$2,VLOOKUP(F88,CCL!$A$12:$B$773,2,FALSE))-K88))</f>
        <v>...</v>
      </c>
      <c r="U88" s="2"/>
      <c r="V88" s="10"/>
      <c r="W88" s="10"/>
      <c r="X88" s="59" t="str">
        <f t="shared" si="29"/>
        <v>...</v>
      </c>
      <c r="Y88" s="45" t="str">
        <f>IFERROR(__xludf.DUMMYFUNCTION("IF(W88=0,""..."",GOOGLEFINANCE(""BCBA:""&amp;W88))"),"...")</f>
        <v>...</v>
      </c>
      <c r="Z88" s="12"/>
      <c r="AA88" s="45"/>
      <c r="AB88" s="12" t="str">
        <f t="shared" si="26"/>
        <v/>
      </c>
      <c r="AC88" s="45" t="str">
        <f t="shared" si="37"/>
        <v>...</v>
      </c>
      <c r="AD88" s="45" t="str">
        <f t="shared" si="38"/>
        <v>...</v>
      </c>
      <c r="AE88" s="12" t="str">
        <f t="shared" si="11"/>
        <v>...</v>
      </c>
      <c r="AF88" s="45" t="str">
        <f t="shared" si="39"/>
        <v>...</v>
      </c>
      <c r="AG88" s="45" t="str">
        <f t="shared" si="27"/>
        <v>...</v>
      </c>
      <c r="AH88" s="12" t="str">
        <f t="shared" si="13"/>
        <v>...</v>
      </c>
      <c r="AI88" s="46" t="str">
        <f t="shared" si="40"/>
        <v>...</v>
      </c>
      <c r="AJ88" s="2"/>
      <c r="AK88" s="2"/>
      <c r="AL88" s="2"/>
      <c r="AM88" s="2"/>
      <c r="AN88" s="2"/>
      <c r="AO88" s="2"/>
    </row>
    <row r="89" ht="24.0" customHeight="1">
      <c r="A89" s="4"/>
      <c r="B89" s="30"/>
      <c r="C89" s="5" t="str">
        <f>IFERROR(__xludf.DUMMYFUNCTION("if(B89=0,""..."", sparkline(query(GOOGLEFINANCE(""BCBA:""&amp;B89,""price"",today()-$AM$47,today()),""select Col2"",0),{""charttype"",$AM$46}))"),"...")</f>
        <v>...</v>
      </c>
      <c r="D89" s="17"/>
      <c r="E89" s="31"/>
      <c r="F89" s="7"/>
      <c r="G89" s="8" t="str">
        <f t="shared" si="1"/>
        <v>...</v>
      </c>
      <c r="H89" s="31"/>
      <c r="I89" s="52"/>
      <c r="J89" s="45" t="str">
        <f t="shared" si="2"/>
        <v>...</v>
      </c>
      <c r="K89" s="47" t="str">
        <f t="array" ref="K89">IF(B89=0,"...",J89/VLOOKUP(D89,{CCL!M:N;CCL!$P:$Q},2,FALSE))</f>
        <v>...</v>
      </c>
      <c r="L89" s="45" t="str">
        <f t="shared" si="41"/>
        <v>...</v>
      </c>
      <c r="M89" s="45" t="str">
        <f>if(B89=0,"...",L89*(1-VLOOKUP(A89,Config!$B$3:$C$22,2,FALSE)))</f>
        <v>...</v>
      </c>
      <c r="N89" s="45" t="str">
        <f t="shared" si="3"/>
        <v>...</v>
      </c>
      <c r="O89" s="12" t="str">
        <f>IFERROR(__xludf.DUMMYFUNCTION("if(B89=0,""..."",GOOGLEFINANCE(B89,""changepct"")/100)"),"...")</f>
        <v>...</v>
      </c>
      <c r="P89" s="10" t="str">
        <f>IFERROR(__xludf.DUMMYFUNCTION("if(B89=0,""..."",GOOGLEFINANCE(B89,""change"")*H89)"),"...")</f>
        <v>...</v>
      </c>
      <c r="Q89" s="12" t="str">
        <f t="shared" si="4"/>
        <v>...</v>
      </c>
      <c r="R89" s="47" t="str">
        <f t="shared" si="5"/>
        <v>...</v>
      </c>
      <c r="S89" s="12" t="str">
        <f t="shared" si="36"/>
        <v>...</v>
      </c>
      <c r="T89" s="47" t="str">
        <f>IF(B89=0,"...",(N89/IF(E89="ABIERTA",CCL!$E$2,VLOOKUP(F89,CCL!$A$12:$B$773,2,FALSE))-K89))</f>
        <v>...</v>
      </c>
      <c r="U89" s="2"/>
      <c r="V89" s="10"/>
      <c r="W89" s="10"/>
      <c r="X89" s="59" t="str">
        <f t="shared" si="29"/>
        <v>...</v>
      </c>
      <c r="Y89" s="45" t="str">
        <f>IFERROR(__xludf.DUMMYFUNCTION("IF(W89=0,""..."",GOOGLEFINANCE(""BCBA:""&amp;W89))"),"...")</f>
        <v>...</v>
      </c>
      <c r="Z89" s="12"/>
      <c r="AA89" s="45"/>
      <c r="AB89" s="12" t="str">
        <f t="shared" si="26"/>
        <v/>
      </c>
      <c r="AC89" s="45" t="str">
        <f t="shared" si="37"/>
        <v>...</v>
      </c>
      <c r="AD89" s="45" t="str">
        <f t="shared" si="38"/>
        <v>...</v>
      </c>
      <c r="AE89" s="12" t="str">
        <f t="shared" si="11"/>
        <v>...</v>
      </c>
      <c r="AF89" s="45" t="str">
        <f t="shared" si="39"/>
        <v>...</v>
      </c>
      <c r="AG89" s="45" t="str">
        <f t="shared" si="27"/>
        <v>...</v>
      </c>
      <c r="AH89" s="12" t="str">
        <f t="shared" si="13"/>
        <v>...</v>
      </c>
      <c r="AI89" s="46" t="str">
        <f t="shared" si="40"/>
        <v>...</v>
      </c>
      <c r="AJ89" s="2"/>
      <c r="AK89" s="2"/>
      <c r="AL89" s="2"/>
      <c r="AM89" s="2"/>
      <c r="AN89" s="2"/>
      <c r="AO89" s="2"/>
    </row>
    <row r="90" ht="24.0" customHeight="1">
      <c r="A90" s="4"/>
      <c r="B90" s="30"/>
      <c r="C90" s="5" t="str">
        <f>IFERROR(__xludf.DUMMYFUNCTION("if(B90=0,""..."", sparkline(query(GOOGLEFINANCE(""BCBA:""&amp;B90,""price"",today()-$AM$47,today()),""select Col2"",0),{""charttype"",$AM$46}))"),"...")</f>
        <v>...</v>
      </c>
      <c r="D90" s="17"/>
      <c r="E90" s="31"/>
      <c r="F90" s="7"/>
      <c r="G90" s="8" t="str">
        <f t="shared" si="1"/>
        <v>...</v>
      </c>
      <c r="H90" s="31"/>
      <c r="I90" s="52"/>
      <c r="J90" s="45" t="str">
        <f t="shared" si="2"/>
        <v>...</v>
      </c>
      <c r="K90" s="47" t="str">
        <f t="array" ref="K90">IF(B90=0,"...",J90/VLOOKUP(D90,{CCL!M:N;CCL!$P:$Q},2,FALSE))</f>
        <v>...</v>
      </c>
      <c r="L90" s="45" t="str">
        <f t="shared" si="41"/>
        <v>...</v>
      </c>
      <c r="M90" s="45" t="str">
        <f>if(B90=0,"...",L90*(1-VLOOKUP(A90,Config!$B$3:$C$22,2,FALSE)))</f>
        <v>...</v>
      </c>
      <c r="N90" s="45" t="str">
        <f t="shared" si="3"/>
        <v>...</v>
      </c>
      <c r="O90" s="12" t="str">
        <f>IFERROR(__xludf.DUMMYFUNCTION("if(B90=0,""..."",GOOGLEFINANCE(B90,""changepct"")/100)"),"...")</f>
        <v>...</v>
      </c>
      <c r="P90" s="10" t="str">
        <f>IFERROR(__xludf.DUMMYFUNCTION("if(B90=0,""..."",GOOGLEFINANCE(B90,""change"")*H90)"),"...")</f>
        <v>...</v>
      </c>
      <c r="Q90" s="12" t="str">
        <f t="shared" si="4"/>
        <v>...</v>
      </c>
      <c r="R90" s="47" t="str">
        <f t="shared" si="5"/>
        <v>...</v>
      </c>
      <c r="S90" s="12" t="str">
        <f t="shared" si="36"/>
        <v>...</v>
      </c>
      <c r="T90" s="47" t="str">
        <f>IF(B90=0,"...",(N90/IF(E90="ABIERTA",CCL!$E$2,VLOOKUP(F90,CCL!$A$12:$B$773,2,FALSE))-K90))</f>
        <v>...</v>
      </c>
      <c r="U90" s="2"/>
      <c r="V90" s="10"/>
      <c r="W90" s="10"/>
      <c r="X90" s="59" t="str">
        <f t="shared" si="29"/>
        <v>...</v>
      </c>
      <c r="Y90" s="45" t="str">
        <f>IFERROR(__xludf.DUMMYFUNCTION("IF(W90=0,""..."",GOOGLEFINANCE(""BCBA:""&amp;W90))"),"...")</f>
        <v>...</v>
      </c>
      <c r="Z90" s="12"/>
      <c r="AA90" s="45"/>
      <c r="AB90" s="12" t="str">
        <f t="shared" si="26"/>
        <v/>
      </c>
      <c r="AC90" s="45" t="str">
        <f t="shared" si="37"/>
        <v>...</v>
      </c>
      <c r="AD90" s="45" t="str">
        <f t="shared" si="38"/>
        <v>...</v>
      </c>
      <c r="AE90" s="12" t="str">
        <f t="shared" si="11"/>
        <v>...</v>
      </c>
      <c r="AF90" s="45" t="str">
        <f t="shared" si="39"/>
        <v>...</v>
      </c>
      <c r="AG90" s="45" t="str">
        <f t="shared" si="27"/>
        <v>...</v>
      </c>
      <c r="AH90" s="12" t="str">
        <f t="shared" si="13"/>
        <v>...</v>
      </c>
      <c r="AI90" s="46" t="str">
        <f t="shared" si="40"/>
        <v>...</v>
      </c>
      <c r="AJ90" s="2"/>
      <c r="AK90" s="2"/>
      <c r="AL90" s="2"/>
      <c r="AM90" s="2"/>
      <c r="AN90" s="2"/>
      <c r="AO90" s="2"/>
    </row>
    <row r="91" ht="24.0" customHeight="1">
      <c r="A91" s="4"/>
      <c r="B91" s="30"/>
      <c r="C91" s="5" t="str">
        <f>IFERROR(__xludf.DUMMYFUNCTION("if(B91=0,""..."", sparkline(query(GOOGLEFINANCE(""BCBA:""&amp;B91,""price"",today()-$AM$47,today()),""select Col2"",0),{""charttype"",$AM$46}))"),"...")</f>
        <v>...</v>
      </c>
      <c r="D91" s="17"/>
      <c r="E91" s="31"/>
      <c r="F91" s="7"/>
      <c r="G91" s="8" t="str">
        <f t="shared" si="1"/>
        <v>...</v>
      </c>
      <c r="H91" s="31"/>
      <c r="I91" s="52"/>
      <c r="J91" s="45" t="str">
        <f t="shared" si="2"/>
        <v>...</v>
      </c>
      <c r="K91" s="47" t="str">
        <f t="array" ref="K91">IF(B91=0,"...",J91/VLOOKUP(D91,{CCL!M:N;CCL!$P:$Q},2,FALSE))</f>
        <v>...</v>
      </c>
      <c r="L91" s="45" t="str">
        <f t="shared" si="41"/>
        <v>...</v>
      </c>
      <c r="M91" s="45" t="str">
        <f>if(B91=0,"...",L91*(1-VLOOKUP(A91,Config!$B$3:$C$22,2,FALSE)))</f>
        <v>...</v>
      </c>
      <c r="N91" s="45" t="str">
        <f t="shared" si="3"/>
        <v>...</v>
      </c>
      <c r="O91" s="12" t="str">
        <f>IFERROR(__xludf.DUMMYFUNCTION("if(B91=0,""..."",GOOGLEFINANCE(B91,""changepct"")/100)"),"...")</f>
        <v>...</v>
      </c>
      <c r="P91" s="10" t="str">
        <f>IFERROR(__xludf.DUMMYFUNCTION("if(B91=0,""..."",GOOGLEFINANCE(B91,""change"")*H91)"),"...")</f>
        <v>...</v>
      </c>
      <c r="Q91" s="12" t="str">
        <f t="shared" si="4"/>
        <v>...</v>
      </c>
      <c r="R91" s="47" t="str">
        <f t="shared" si="5"/>
        <v>...</v>
      </c>
      <c r="S91" s="12" t="str">
        <f t="shared" si="36"/>
        <v>...</v>
      </c>
      <c r="T91" s="47" t="str">
        <f>IF(B91=0,"...",(N91/IF(E91="ABIERTA",CCL!$E$2,VLOOKUP(F91,CCL!$A$12:$B$773,2,FALSE))-K91))</f>
        <v>...</v>
      </c>
      <c r="U91" s="2"/>
      <c r="V91" s="10"/>
      <c r="W91" s="10"/>
      <c r="X91" s="59" t="str">
        <f t="shared" si="29"/>
        <v>...</v>
      </c>
      <c r="Y91" s="45" t="str">
        <f>IFERROR(__xludf.DUMMYFUNCTION("IF(W91=0,""..."",GOOGLEFINANCE(""BCBA:""&amp;W91))"),"...")</f>
        <v>...</v>
      </c>
      <c r="Z91" s="12"/>
      <c r="AA91" s="45"/>
      <c r="AB91" s="12" t="str">
        <f t="shared" si="26"/>
        <v/>
      </c>
      <c r="AC91" s="45" t="str">
        <f t="shared" si="37"/>
        <v>...</v>
      </c>
      <c r="AD91" s="45" t="str">
        <f t="shared" si="38"/>
        <v>...</v>
      </c>
      <c r="AE91" s="12" t="str">
        <f t="shared" si="11"/>
        <v>...</v>
      </c>
      <c r="AF91" s="45" t="str">
        <f t="shared" si="39"/>
        <v>...</v>
      </c>
      <c r="AG91" s="45" t="str">
        <f t="shared" si="27"/>
        <v>...</v>
      </c>
      <c r="AH91" s="12" t="str">
        <f t="shared" si="13"/>
        <v>...</v>
      </c>
      <c r="AI91" s="46" t="str">
        <f t="shared" si="40"/>
        <v>...</v>
      </c>
      <c r="AJ91" s="2"/>
      <c r="AK91" s="2"/>
      <c r="AL91" s="2"/>
      <c r="AM91" s="2"/>
      <c r="AN91" s="2"/>
      <c r="AO91" s="2"/>
    </row>
    <row r="92" ht="24.0" customHeight="1">
      <c r="A92" s="4"/>
      <c r="B92" s="30"/>
      <c r="C92" s="5" t="str">
        <f>IFERROR(__xludf.DUMMYFUNCTION("if(B92=0,""..."", sparkline(query(GOOGLEFINANCE(""BCBA:""&amp;B92,""price"",today()-$AM$47,today()),""select Col2"",0),{""charttype"",$AM$46}))"),"...")</f>
        <v>...</v>
      </c>
      <c r="D92" s="17"/>
      <c r="E92" s="31"/>
      <c r="F92" s="7"/>
      <c r="G92" s="8" t="str">
        <f t="shared" si="1"/>
        <v>...</v>
      </c>
      <c r="H92" s="31"/>
      <c r="I92" s="52"/>
      <c r="J92" s="45" t="str">
        <f t="shared" si="2"/>
        <v>...</v>
      </c>
      <c r="K92" s="47" t="str">
        <f t="array" ref="K92">IF(B92=0,"...",J92/VLOOKUP(D92,{CCL!M:N;CCL!$P:$Q},2,FALSE))</f>
        <v>...</v>
      </c>
      <c r="L92" s="45" t="str">
        <f t="shared" si="41"/>
        <v>...</v>
      </c>
      <c r="M92" s="45" t="str">
        <f>if(B92=0,"...",L92*(1-VLOOKUP(A92,Config!$B$3:$C$22,2,FALSE)))</f>
        <v>...</v>
      </c>
      <c r="N92" s="45" t="str">
        <f t="shared" si="3"/>
        <v>...</v>
      </c>
      <c r="O92" s="12" t="str">
        <f>IFERROR(__xludf.DUMMYFUNCTION("if(B92=0,""..."",GOOGLEFINANCE(B92,""changepct"")/100)"),"...")</f>
        <v>...</v>
      </c>
      <c r="P92" s="10" t="str">
        <f>IFERROR(__xludf.DUMMYFUNCTION("if(B92=0,""..."",GOOGLEFINANCE(B92,""change"")*H92)"),"...")</f>
        <v>...</v>
      </c>
      <c r="Q92" s="12" t="str">
        <f t="shared" si="4"/>
        <v>...</v>
      </c>
      <c r="R92" s="47" t="str">
        <f t="shared" si="5"/>
        <v>...</v>
      </c>
      <c r="S92" s="12" t="str">
        <f t="shared" si="36"/>
        <v>...</v>
      </c>
      <c r="T92" s="47" t="str">
        <f>IF(B92=0,"...",(N92/IF(E92="ABIERTA",CCL!$E$2,VLOOKUP(F92,CCL!$A$12:$B$773,2,FALSE))-K92))</f>
        <v>...</v>
      </c>
      <c r="U92" s="2"/>
      <c r="V92" s="10"/>
      <c r="W92" s="10"/>
      <c r="X92" s="59" t="str">
        <f t="shared" si="29"/>
        <v>...</v>
      </c>
      <c r="Y92" s="45" t="str">
        <f>IFERROR(__xludf.DUMMYFUNCTION("IF(W92=0,""..."",GOOGLEFINANCE(""BCBA:""&amp;W92))"),"...")</f>
        <v>...</v>
      </c>
      <c r="Z92" s="12"/>
      <c r="AA92" s="45"/>
      <c r="AB92" s="12" t="str">
        <f t="shared" si="26"/>
        <v/>
      </c>
      <c r="AC92" s="45" t="str">
        <f t="shared" si="37"/>
        <v>...</v>
      </c>
      <c r="AD92" s="45" t="str">
        <f t="shared" si="38"/>
        <v>...</v>
      </c>
      <c r="AE92" s="12" t="str">
        <f t="shared" si="11"/>
        <v>...</v>
      </c>
      <c r="AF92" s="45" t="str">
        <f t="shared" si="39"/>
        <v>...</v>
      </c>
      <c r="AG92" s="45" t="str">
        <f t="shared" si="27"/>
        <v>...</v>
      </c>
      <c r="AH92" s="12" t="str">
        <f t="shared" si="13"/>
        <v>...</v>
      </c>
      <c r="AI92" s="46" t="str">
        <f t="shared" si="40"/>
        <v>...</v>
      </c>
      <c r="AJ92" s="2"/>
      <c r="AK92" s="2"/>
      <c r="AL92" s="2"/>
      <c r="AM92" s="2"/>
      <c r="AN92" s="2"/>
      <c r="AO92" s="2"/>
    </row>
    <row r="93" ht="24.0" customHeight="1">
      <c r="A93" s="4"/>
      <c r="B93" s="30"/>
      <c r="C93" s="5" t="str">
        <f>IFERROR(__xludf.DUMMYFUNCTION("if(B93=0,""..."", sparkline(query(GOOGLEFINANCE(""BCBA:""&amp;B93,""price"",today()-$AM$47,today()),""select Col2"",0),{""charttype"",$AM$46}))"),"...")</f>
        <v>...</v>
      </c>
      <c r="D93" s="17"/>
      <c r="E93" s="31"/>
      <c r="F93" s="7"/>
      <c r="G93" s="8" t="str">
        <f t="shared" si="1"/>
        <v>...</v>
      </c>
      <c r="H93" s="31"/>
      <c r="I93" s="52"/>
      <c r="J93" s="45" t="str">
        <f t="shared" si="2"/>
        <v>...</v>
      </c>
      <c r="K93" s="47" t="str">
        <f t="array" ref="K93">IF(B93=0,"...",J93/VLOOKUP(D93,{CCL!M:N;CCL!$P:$Q},2,FALSE))</f>
        <v>...</v>
      </c>
      <c r="L93" s="45" t="str">
        <f t="shared" si="41"/>
        <v>...</v>
      </c>
      <c r="M93" s="45" t="str">
        <f>if(B93=0,"...",L93*(1-VLOOKUP(A93,Config!$B$3:$C$22,2,FALSE)))</f>
        <v>...</v>
      </c>
      <c r="N93" s="45" t="str">
        <f t="shared" si="3"/>
        <v>...</v>
      </c>
      <c r="O93" s="12" t="str">
        <f>IFERROR(__xludf.DUMMYFUNCTION("if(B93=0,""..."",GOOGLEFINANCE(B93,""changepct"")/100)"),"...")</f>
        <v>...</v>
      </c>
      <c r="P93" s="10" t="str">
        <f>IFERROR(__xludf.DUMMYFUNCTION("if(B93=0,""..."",GOOGLEFINANCE(B93,""change"")*H93)"),"...")</f>
        <v>...</v>
      </c>
      <c r="Q93" s="12" t="str">
        <f t="shared" si="4"/>
        <v>...</v>
      </c>
      <c r="R93" s="47" t="str">
        <f t="shared" si="5"/>
        <v>...</v>
      </c>
      <c r="S93" s="12" t="str">
        <f t="shared" si="36"/>
        <v>...</v>
      </c>
      <c r="T93" s="47" t="str">
        <f>IF(B93=0,"...",(N93/IF(E93="ABIERTA",CCL!$E$2,VLOOKUP(F93,CCL!$A$12:$B$773,2,FALSE))-K93))</f>
        <v>...</v>
      </c>
      <c r="U93" s="2"/>
      <c r="V93" s="10"/>
      <c r="W93" s="10"/>
      <c r="X93" s="59" t="str">
        <f t="shared" si="29"/>
        <v>...</v>
      </c>
      <c r="Y93" s="45" t="str">
        <f>IFERROR(__xludf.DUMMYFUNCTION("IF(W93=0,""..."",GOOGLEFINANCE(""BCBA:""&amp;W93))"),"...")</f>
        <v>...</v>
      </c>
      <c r="Z93" s="12"/>
      <c r="AA93" s="45"/>
      <c r="AB93" s="12" t="str">
        <f t="shared" si="26"/>
        <v/>
      </c>
      <c r="AC93" s="45" t="str">
        <f t="shared" si="37"/>
        <v>...</v>
      </c>
      <c r="AD93" s="45" t="str">
        <f t="shared" si="38"/>
        <v>...</v>
      </c>
      <c r="AE93" s="12" t="str">
        <f t="shared" si="11"/>
        <v>...</v>
      </c>
      <c r="AF93" s="45" t="str">
        <f t="shared" si="39"/>
        <v>...</v>
      </c>
      <c r="AG93" s="45" t="str">
        <f t="shared" si="27"/>
        <v>...</v>
      </c>
      <c r="AH93" s="12" t="str">
        <f t="shared" si="13"/>
        <v>...</v>
      </c>
      <c r="AI93" s="46" t="str">
        <f t="shared" si="40"/>
        <v>...</v>
      </c>
      <c r="AJ93" s="2"/>
      <c r="AK93" s="2"/>
      <c r="AL93" s="2"/>
      <c r="AM93" s="2"/>
      <c r="AN93" s="2"/>
      <c r="AO93" s="2"/>
    </row>
    <row r="94" ht="24.0" customHeight="1">
      <c r="A94" s="4"/>
      <c r="B94" s="30"/>
      <c r="C94" s="5" t="str">
        <f>IFERROR(__xludf.DUMMYFUNCTION("if(B94=0,""..."", sparkline(query(GOOGLEFINANCE(""BCBA:""&amp;B94,""price"",today()-$AM$47,today()),""select Col2"",0),{""charttype"",$AM$46}))"),"...")</f>
        <v>...</v>
      </c>
      <c r="D94" s="17"/>
      <c r="E94" s="31"/>
      <c r="F94" s="7"/>
      <c r="G94" s="8" t="str">
        <f t="shared" si="1"/>
        <v>...</v>
      </c>
      <c r="H94" s="31"/>
      <c r="I94" s="52"/>
      <c r="J94" s="45" t="str">
        <f t="shared" si="2"/>
        <v>...</v>
      </c>
      <c r="K94" s="47" t="str">
        <f t="array" ref="K94">IF(B94=0,"...",J94/VLOOKUP(D94,{CCL!M:N;CCL!$P:$Q},2,FALSE))</f>
        <v>...</v>
      </c>
      <c r="L94" s="45" t="str">
        <f t="shared" si="41"/>
        <v>...</v>
      </c>
      <c r="M94" s="45" t="str">
        <f>if(B94=0,"...",L94*(1-VLOOKUP(A94,Config!$B$3:$C$22,2,FALSE)))</f>
        <v>...</v>
      </c>
      <c r="N94" s="45" t="str">
        <f t="shared" si="3"/>
        <v>...</v>
      </c>
      <c r="O94" s="12" t="str">
        <f>IFERROR(__xludf.DUMMYFUNCTION("if(B94=0,""..."",GOOGLEFINANCE(B94,""changepct"")/100)"),"...")</f>
        <v>...</v>
      </c>
      <c r="P94" s="10" t="str">
        <f>IFERROR(__xludf.DUMMYFUNCTION("if(B94=0,""..."",GOOGLEFINANCE(B94,""change"")*H94)"),"...")</f>
        <v>...</v>
      </c>
      <c r="Q94" s="12" t="str">
        <f t="shared" si="4"/>
        <v>...</v>
      </c>
      <c r="R94" s="47" t="str">
        <f t="shared" si="5"/>
        <v>...</v>
      </c>
      <c r="S94" s="12" t="str">
        <f t="shared" si="36"/>
        <v>...</v>
      </c>
      <c r="T94" s="47" t="str">
        <f>IF(B94=0,"...",(N94/IF(E94="ABIERTA",CCL!$E$2,VLOOKUP(F94,CCL!$A$12:$B$773,2,FALSE))-K94))</f>
        <v>...</v>
      </c>
      <c r="U94" s="2"/>
      <c r="V94" s="10"/>
      <c r="W94" s="10"/>
      <c r="X94" s="59" t="str">
        <f t="shared" si="29"/>
        <v>...</v>
      </c>
      <c r="Y94" s="45" t="str">
        <f>IFERROR(__xludf.DUMMYFUNCTION("IF(W94=0,""..."",GOOGLEFINANCE(""BCBA:""&amp;W94))"),"...")</f>
        <v>...</v>
      </c>
      <c r="Z94" s="12"/>
      <c r="AA94" s="45"/>
      <c r="AB94" s="12" t="str">
        <f t="shared" si="26"/>
        <v/>
      </c>
      <c r="AC94" s="45" t="str">
        <f t="shared" si="37"/>
        <v>...</v>
      </c>
      <c r="AD94" s="45" t="str">
        <f t="shared" si="38"/>
        <v>...</v>
      </c>
      <c r="AE94" s="12" t="str">
        <f t="shared" si="11"/>
        <v>...</v>
      </c>
      <c r="AF94" s="45" t="str">
        <f t="shared" si="39"/>
        <v>...</v>
      </c>
      <c r="AG94" s="45" t="str">
        <f t="shared" si="27"/>
        <v>...</v>
      </c>
      <c r="AH94" s="12" t="str">
        <f t="shared" si="13"/>
        <v>...</v>
      </c>
      <c r="AI94" s="46" t="str">
        <f t="shared" si="40"/>
        <v>...</v>
      </c>
      <c r="AJ94" s="2"/>
      <c r="AK94" s="2"/>
      <c r="AL94" s="2"/>
      <c r="AM94" s="2"/>
      <c r="AN94" s="2"/>
      <c r="AO94" s="2"/>
    </row>
    <row r="95" ht="24.0" customHeight="1">
      <c r="A95" s="4"/>
      <c r="B95" s="30"/>
      <c r="C95" s="5" t="str">
        <f>IFERROR(__xludf.DUMMYFUNCTION("if(B95=0,""..."", sparkline(query(GOOGLEFINANCE(""BCBA:""&amp;B95,""price"",today()-$AM$47,today()),""select Col2"",0),{""charttype"",$AM$46}))"),"...")</f>
        <v>...</v>
      </c>
      <c r="D95" s="17"/>
      <c r="E95" s="31"/>
      <c r="F95" s="7"/>
      <c r="G95" s="8" t="str">
        <f t="shared" si="1"/>
        <v>...</v>
      </c>
      <c r="H95" s="31"/>
      <c r="I95" s="52"/>
      <c r="J95" s="45" t="str">
        <f t="shared" si="2"/>
        <v>...</v>
      </c>
      <c r="K95" s="47" t="str">
        <f t="array" ref="K95">IF(B95=0,"...",J95/VLOOKUP(D95,{CCL!M:N;CCL!$P:$Q},2,FALSE))</f>
        <v>...</v>
      </c>
      <c r="L95" s="45" t="str">
        <f t="shared" si="41"/>
        <v>...</v>
      </c>
      <c r="M95" s="45" t="str">
        <f>if(B95=0,"...",L95*(1-VLOOKUP(A95,Config!$B$3:$C$22,2,FALSE)))</f>
        <v>...</v>
      </c>
      <c r="N95" s="45" t="str">
        <f t="shared" si="3"/>
        <v>...</v>
      </c>
      <c r="O95" s="12" t="str">
        <f>IFERROR(__xludf.DUMMYFUNCTION("if(B95=0,""..."",GOOGLEFINANCE(B95,""changepct"")/100)"),"...")</f>
        <v>...</v>
      </c>
      <c r="P95" s="10" t="str">
        <f>IFERROR(__xludf.DUMMYFUNCTION("if(B95=0,""..."",GOOGLEFINANCE(B95,""change"")*H95)"),"...")</f>
        <v>...</v>
      </c>
      <c r="Q95" s="12" t="str">
        <f t="shared" si="4"/>
        <v>...</v>
      </c>
      <c r="R95" s="47" t="str">
        <f t="shared" si="5"/>
        <v>...</v>
      </c>
      <c r="S95" s="12" t="str">
        <f t="shared" si="36"/>
        <v>...</v>
      </c>
      <c r="T95" s="47" t="str">
        <f>IF(B95=0,"...",(N95/IF(E95="ABIERTA",CCL!$E$2,VLOOKUP(F95,CCL!$A$12:$B$773,2,FALSE))-K95))</f>
        <v>...</v>
      </c>
      <c r="U95" s="2"/>
      <c r="V95" s="10"/>
      <c r="W95" s="10"/>
      <c r="X95" s="59" t="str">
        <f t="shared" si="29"/>
        <v>...</v>
      </c>
      <c r="Y95" s="45" t="str">
        <f>IFERROR(__xludf.DUMMYFUNCTION("IF(W95=0,""..."",GOOGLEFINANCE(""BCBA:""&amp;W95))"),"...")</f>
        <v>...</v>
      </c>
      <c r="Z95" s="12"/>
      <c r="AA95" s="45"/>
      <c r="AB95" s="12" t="str">
        <f t="shared" si="26"/>
        <v/>
      </c>
      <c r="AC95" s="45" t="str">
        <f t="shared" si="37"/>
        <v>...</v>
      </c>
      <c r="AD95" s="45" t="str">
        <f t="shared" si="38"/>
        <v>...</v>
      </c>
      <c r="AE95" s="12" t="str">
        <f t="shared" si="11"/>
        <v>...</v>
      </c>
      <c r="AF95" s="45" t="str">
        <f t="shared" si="39"/>
        <v>...</v>
      </c>
      <c r="AG95" s="45" t="str">
        <f t="shared" si="27"/>
        <v>...</v>
      </c>
      <c r="AH95" s="12" t="str">
        <f t="shared" si="13"/>
        <v>...</v>
      </c>
      <c r="AI95" s="46" t="str">
        <f t="shared" si="40"/>
        <v>...</v>
      </c>
      <c r="AJ95" s="2"/>
      <c r="AK95" s="2"/>
      <c r="AL95" s="2"/>
      <c r="AM95" s="2"/>
      <c r="AN95" s="2"/>
      <c r="AO95" s="2"/>
    </row>
    <row r="96" ht="24.0" customHeight="1">
      <c r="A96" s="4"/>
      <c r="B96" s="30"/>
      <c r="C96" s="5" t="str">
        <f>IFERROR(__xludf.DUMMYFUNCTION("if(B96=0,""..."", sparkline(query(GOOGLEFINANCE(""BCBA:""&amp;B96,""price"",today()-$AM$47,today()),""select Col2"",0),{""charttype"",$AM$46}))"),"...")</f>
        <v>...</v>
      </c>
      <c r="D96" s="17"/>
      <c r="E96" s="31"/>
      <c r="F96" s="7"/>
      <c r="G96" s="8" t="str">
        <f t="shared" si="1"/>
        <v>...</v>
      </c>
      <c r="H96" s="31"/>
      <c r="I96" s="52"/>
      <c r="J96" s="45" t="str">
        <f t="shared" si="2"/>
        <v>...</v>
      </c>
      <c r="K96" s="47" t="str">
        <f t="array" ref="K96">IF(B96=0,"...",J96/VLOOKUP(D96,{CCL!M:N;CCL!$P:$Q},2,FALSE))</f>
        <v>...</v>
      </c>
      <c r="L96" s="45" t="str">
        <f t="shared" si="41"/>
        <v>...</v>
      </c>
      <c r="M96" s="45" t="str">
        <f>if(B96=0,"...",L96*(1-VLOOKUP(A96,Config!$B$3:$C$22,2,FALSE)))</f>
        <v>...</v>
      </c>
      <c r="N96" s="45" t="str">
        <f t="shared" si="3"/>
        <v>...</v>
      </c>
      <c r="O96" s="12" t="str">
        <f>IFERROR(__xludf.DUMMYFUNCTION("if(B96=0,""..."",GOOGLEFINANCE(B96,""changepct"")/100)"),"...")</f>
        <v>...</v>
      </c>
      <c r="P96" s="10" t="str">
        <f>IFERROR(__xludf.DUMMYFUNCTION("if(B96=0,""..."",GOOGLEFINANCE(B96,""change"")*H96)"),"...")</f>
        <v>...</v>
      </c>
      <c r="Q96" s="12" t="str">
        <f t="shared" si="4"/>
        <v>...</v>
      </c>
      <c r="R96" s="47" t="str">
        <f t="shared" si="5"/>
        <v>...</v>
      </c>
      <c r="S96" s="12" t="str">
        <f t="shared" si="36"/>
        <v>...</v>
      </c>
      <c r="T96" s="47" t="str">
        <f>IF(B96=0,"...",(N96/IF(E96="ABIERTA",CCL!$E$2,VLOOKUP(F96,CCL!$A$12:$B$773,2,FALSE))-K96))</f>
        <v>...</v>
      </c>
      <c r="U96" s="2"/>
      <c r="V96" s="10"/>
      <c r="W96" s="10"/>
      <c r="X96" s="59" t="str">
        <f t="shared" si="29"/>
        <v>...</v>
      </c>
      <c r="Y96" s="45" t="str">
        <f>IFERROR(__xludf.DUMMYFUNCTION("IF(W96=0,""..."",GOOGLEFINANCE(""BCBA:""&amp;W96))"),"...")</f>
        <v>...</v>
      </c>
      <c r="Z96" s="12"/>
      <c r="AA96" s="45"/>
      <c r="AB96" s="12" t="str">
        <f t="shared" si="26"/>
        <v/>
      </c>
      <c r="AC96" s="45" t="str">
        <f t="shared" si="37"/>
        <v>...</v>
      </c>
      <c r="AD96" s="45" t="str">
        <f t="shared" si="38"/>
        <v>...</v>
      </c>
      <c r="AE96" s="12" t="str">
        <f t="shared" si="11"/>
        <v>...</v>
      </c>
      <c r="AF96" s="45" t="str">
        <f t="shared" si="39"/>
        <v>...</v>
      </c>
      <c r="AG96" s="45" t="str">
        <f t="shared" si="27"/>
        <v>...</v>
      </c>
      <c r="AH96" s="12" t="str">
        <f t="shared" si="13"/>
        <v>...</v>
      </c>
      <c r="AI96" s="46" t="str">
        <f t="shared" si="40"/>
        <v>...</v>
      </c>
      <c r="AJ96" s="2"/>
      <c r="AK96" s="2"/>
      <c r="AL96" s="2"/>
      <c r="AM96" s="2"/>
      <c r="AN96" s="2"/>
      <c r="AO96" s="2"/>
    </row>
    <row r="97" ht="24.0" customHeight="1">
      <c r="A97" s="4"/>
      <c r="B97" s="30"/>
      <c r="C97" s="5" t="str">
        <f>IFERROR(__xludf.DUMMYFUNCTION("if(B97=0,""..."", sparkline(query(GOOGLEFINANCE(""BCBA:""&amp;B97,""price"",today()-$AM$47,today()),""select Col2"",0),{""charttype"",$AM$46}))"),"...")</f>
        <v>...</v>
      </c>
      <c r="D97" s="17"/>
      <c r="E97" s="31"/>
      <c r="F97" s="7"/>
      <c r="G97" s="8" t="str">
        <f t="shared" si="1"/>
        <v>...</v>
      </c>
      <c r="H97" s="31"/>
      <c r="I97" s="52"/>
      <c r="J97" s="45" t="str">
        <f t="shared" si="2"/>
        <v>...</v>
      </c>
      <c r="K97" s="47" t="str">
        <f t="array" ref="K97">IF(B97=0,"...",J97/VLOOKUP(D97,{CCL!M:N;CCL!$P:$Q},2,FALSE))</f>
        <v>...</v>
      </c>
      <c r="L97" s="45" t="str">
        <f t="shared" si="41"/>
        <v>...</v>
      </c>
      <c r="M97" s="45" t="str">
        <f>if(B97=0,"...",L97*(1-VLOOKUP(A97,Config!$B$3:$C$22,2,FALSE)))</f>
        <v>...</v>
      </c>
      <c r="N97" s="45" t="str">
        <f t="shared" si="3"/>
        <v>...</v>
      </c>
      <c r="O97" s="12" t="str">
        <f>IFERROR(__xludf.DUMMYFUNCTION("if(B97=0,""..."",GOOGLEFINANCE(B97,""changepct"")/100)"),"...")</f>
        <v>...</v>
      </c>
      <c r="P97" s="10" t="str">
        <f>IFERROR(__xludf.DUMMYFUNCTION("if(B97=0,""..."",GOOGLEFINANCE(B97,""change"")*H97)"),"...")</f>
        <v>...</v>
      </c>
      <c r="Q97" s="12" t="str">
        <f t="shared" si="4"/>
        <v>...</v>
      </c>
      <c r="R97" s="47" t="str">
        <f t="shared" si="5"/>
        <v>...</v>
      </c>
      <c r="S97" s="12" t="str">
        <f t="shared" si="36"/>
        <v>...</v>
      </c>
      <c r="T97" s="47" t="str">
        <f>IF(B97=0,"...",(N97/IF(E97="ABIERTA",CCL!$E$2,VLOOKUP(F97,CCL!$A$12:$B$773,2,FALSE))-K97))</f>
        <v>...</v>
      </c>
      <c r="U97" s="2"/>
      <c r="V97" s="10"/>
      <c r="W97" s="10"/>
      <c r="X97" s="59" t="str">
        <f t="shared" si="29"/>
        <v>...</v>
      </c>
      <c r="Y97" s="45" t="str">
        <f>IFERROR(__xludf.DUMMYFUNCTION("IF(W97=0,""..."",GOOGLEFINANCE(""BCBA:""&amp;W97))"),"...")</f>
        <v>...</v>
      </c>
      <c r="Z97" s="12"/>
      <c r="AA97" s="45"/>
      <c r="AB97" s="12" t="str">
        <f t="shared" si="26"/>
        <v/>
      </c>
      <c r="AC97" s="45" t="str">
        <f t="shared" si="37"/>
        <v>...</v>
      </c>
      <c r="AD97" s="45" t="str">
        <f t="shared" si="38"/>
        <v>...</v>
      </c>
      <c r="AE97" s="12" t="str">
        <f t="shared" si="11"/>
        <v>...</v>
      </c>
      <c r="AF97" s="45" t="str">
        <f t="shared" si="39"/>
        <v>...</v>
      </c>
      <c r="AG97" s="45" t="str">
        <f t="shared" si="27"/>
        <v>...</v>
      </c>
      <c r="AH97" s="12" t="str">
        <f t="shared" si="13"/>
        <v>...</v>
      </c>
      <c r="AI97" s="46" t="str">
        <f t="shared" si="40"/>
        <v>...</v>
      </c>
      <c r="AJ97" s="2"/>
      <c r="AK97" s="2"/>
      <c r="AL97" s="2"/>
      <c r="AM97" s="2"/>
      <c r="AN97" s="2"/>
      <c r="AO97" s="2"/>
    </row>
    <row r="98" ht="24.0" customHeight="1">
      <c r="A98" s="4"/>
      <c r="B98" s="30"/>
      <c r="C98" s="5" t="str">
        <f>IFERROR(__xludf.DUMMYFUNCTION("if(B98=0,""..."", sparkline(query(GOOGLEFINANCE(""BCBA:""&amp;B98,""price"",today()-$AM$47,today()),""select Col2"",0),{""charttype"",$AM$46}))"),"...")</f>
        <v>...</v>
      </c>
      <c r="D98" s="17"/>
      <c r="E98" s="31"/>
      <c r="F98" s="7"/>
      <c r="G98" s="8" t="str">
        <f t="shared" si="1"/>
        <v>...</v>
      </c>
      <c r="H98" s="31"/>
      <c r="I98" s="52"/>
      <c r="J98" s="45" t="str">
        <f t="shared" si="2"/>
        <v>...</v>
      </c>
      <c r="K98" s="47" t="str">
        <f t="array" ref="K98">IF(B98=0,"...",J98/VLOOKUP(D98,{CCL!M:N;CCL!$P:$Q},2,FALSE))</f>
        <v>...</v>
      </c>
      <c r="L98" s="45" t="str">
        <f t="shared" si="41"/>
        <v>...</v>
      </c>
      <c r="M98" s="45" t="str">
        <f>if(B98=0,"...",L98*(1-VLOOKUP(A98,Config!$B$3:$C$22,2,FALSE)))</f>
        <v>...</v>
      </c>
      <c r="N98" s="45" t="str">
        <f t="shared" si="3"/>
        <v>...</v>
      </c>
      <c r="O98" s="12" t="str">
        <f>IFERROR(__xludf.DUMMYFUNCTION("if(B98=0,""..."",GOOGLEFINANCE(B98,""changepct"")/100)"),"...")</f>
        <v>...</v>
      </c>
      <c r="P98" s="10" t="str">
        <f>IFERROR(__xludf.DUMMYFUNCTION("if(B98=0,""..."",GOOGLEFINANCE(B98,""change"")*H98)"),"...")</f>
        <v>...</v>
      </c>
      <c r="Q98" s="12" t="str">
        <f t="shared" si="4"/>
        <v>...</v>
      </c>
      <c r="R98" s="47" t="str">
        <f t="shared" si="5"/>
        <v>...</v>
      </c>
      <c r="S98" s="12" t="str">
        <f t="shared" si="36"/>
        <v>...</v>
      </c>
      <c r="T98" s="47" t="str">
        <f>IF(B98=0,"...",(N98/IF(E98="ABIERTA",CCL!$E$2,VLOOKUP(F98,CCL!$A$12:$B$773,2,FALSE))-K98))</f>
        <v>...</v>
      </c>
      <c r="U98" s="2"/>
      <c r="V98" s="10"/>
      <c r="W98" s="10"/>
      <c r="X98" s="59" t="str">
        <f t="shared" si="29"/>
        <v>...</v>
      </c>
      <c r="Y98" s="45" t="str">
        <f>IFERROR(__xludf.DUMMYFUNCTION("IF(W98=0,""..."",GOOGLEFINANCE(""BCBA:""&amp;W98))"),"...")</f>
        <v>...</v>
      </c>
      <c r="Z98" s="12"/>
      <c r="AA98" s="45"/>
      <c r="AB98" s="12" t="str">
        <f t="shared" si="26"/>
        <v/>
      </c>
      <c r="AC98" s="45" t="str">
        <f t="shared" si="37"/>
        <v>...</v>
      </c>
      <c r="AD98" s="45" t="str">
        <f t="shared" si="38"/>
        <v>...</v>
      </c>
      <c r="AE98" s="12" t="str">
        <f t="shared" si="11"/>
        <v>...</v>
      </c>
      <c r="AF98" s="45" t="str">
        <f t="shared" si="39"/>
        <v>...</v>
      </c>
      <c r="AG98" s="45" t="str">
        <f t="shared" si="27"/>
        <v>...</v>
      </c>
      <c r="AH98" s="12" t="str">
        <f t="shared" si="13"/>
        <v>...</v>
      </c>
      <c r="AI98" s="46" t="str">
        <f t="shared" si="40"/>
        <v>...</v>
      </c>
      <c r="AJ98" s="2"/>
      <c r="AK98" s="2"/>
      <c r="AL98" s="2"/>
      <c r="AM98" s="2"/>
      <c r="AN98" s="2"/>
      <c r="AO98" s="2"/>
    </row>
    <row r="99" ht="24.0" customHeight="1">
      <c r="A99" s="4"/>
      <c r="B99" s="30"/>
      <c r="C99" s="5" t="str">
        <f>IFERROR(__xludf.DUMMYFUNCTION("if(B99=0,""..."", sparkline(query(GOOGLEFINANCE(""BCBA:""&amp;B99,""price"",today()-$AM$47,today()),""select Col2"",0),{""charttype"",$AM$46}))"),"...")</f>
        <v>...</v>
      </c>
      <c r="D99" s="17"/>
      <c r="E99" s="31"/>
      <c r="F99" s="7"/>
      <c r="G99" s="8" t="str">
        <f t="shared" si="1"/>
        <v>...</v>
      </c>
      <c r="H99" s="31"/>
      <c r="I99" s="52"/>
      <c r="J99" s="45" t="str">
        <f t="shared" si="2"/>
        <v>...</v>
      </c>
      <c r="K99" s="47" t="str">
        <f t="array" ref="K99">IF(B99=0,"...",J99/VLOOKUP(D99,{CCL!M:N;CCL!$P:$Q},2,FALSE))</f>
        <v>...</v>
      </c>
      <c r="L99" s="45" t="str">
        <f t="shared" si="41"/>
        <v>...</v>
      </c>
      <c r="M99" s="45" t="str">
        <f>if(B99=0,"...",L99*(1-VLOOKUP(A99,Config!$B$3:$C$22,2,FALSE)))</f>
        <v>...</v>
      </c>
      <c r="N99" s="45" t="str">
        <f t="shared" si="3"/>
        <v>...</v>
      </c>
      <c r="O99" s="12" t="str">
        <f>IFERROR(__xludf.DUMMYFUNCTION("if(B99=0,""..."",GOOGLEFINANCE(B99,""changepct"")/100)"),"...")</f>
        <v>...</v>
      </c>
      <c r="P99" s="10" t="str">
        <f>IFERROR(__xludf.DUMMYFUNCTION("if(B99=0,""..."",GOOGLEFINANCE(B99,""change"")*H99)"),"...")</f>
        <v>...</v>
      </c>
      <c r="Q99" s="12" t="str">
        <f t="shared" si="4"/>
        <v>...</v>
      </c>
      <c r="R99" s="47" t="str">
        <f t="shared" si="5"/>
        <v>...</v>
      </c>
      <c r="S99" s="12" t="str">
        <f t="shared" si="36"/>
        <v>...</v>
      </c>
      <c r="T99" s="47" t="str">
        <f>IF(B99=0,"...",(N99/IF(E99="ABIERTA",CCL!$E$2,VLOOKUP(F99,CCL!$A$12:$B$773,2,FALSE))-K99))</f>
        <v>...</v>
      </c>
      <c r="U99" s="2"/>
      <c r="V99" s="10"/>
      <c r="W99" s="10"/>
      <c r="X99" s="59" t="str">
        <f t="shared" si="29"/>
        <v>...</v>
      </c>
      <c r="Y99" s="45" t="str">
        <f>IFERROR(__xludf.DUMMYFUNCTION("IF(W99=0,""..."",GOOGLEFINANCE(""BCBA:""&amp;W99))"),"...")</f>
        <v>...</v>
      </c>
      <c r="Z99" s="12"/>
      <c r="AA99" s="45"/>
      <c r="AB99" s="12" t="str">
        <f t="shared" si="26"/>
        <v/>
      </c>
      <c r="AC99" s="45" t="str">
        <f t="shared" si="37"/>
        <v>...</v>
      </c>
      <c r="AD99" s="45" t="str">
        <f t="shared" si="38"/>
        <v>...</v>
      </c>
      <c r="AE99" s="12" t="str">
        <f t="shared" si="11"/>
        <v>...</v>
      </c>
      <c r="AF99" s="45" t="str">
        <f t="shared" si="39"/>
        <v>...</v>
      </c>
      <c r="AG99" s="45" t="str">
        <f t="shared" si="27"/>
        <v>...</v>
      </c>
      <c r="AH99" s="12" t="str">
        <f t="shared" si="13"/>
        <v>...</v>
      </c>
      <c r="AI99" s="46" t="str">
        <f t="shared" si="40"/>
        <v>...</v>
      </c>
      <c r="AJ99" s="2"/>
      <c r="AK99" s="2"/>
      <c r="AL99" s="2"/>
      <c r="AM99" s="2"/>
      <c r="AN99" s="2"/>
      <c r="AO99" s="2"/>
    </row>
    <row r="100" ht="24.0" customHeight="1">
      <c r="A100" s="4"/>
      <c r="B100" s="30"/>
      <c r="C100" s="5" t="str">
        <f>IFERROR(__xludf.DUMMYFUNCTION("if(B100=0,""..."", sparkline(query(GOOGLEFINANCE(""BCBA:""&amp;B100,""price"",today()-$AM$47,today()),""select Col2"",0),{""charttype"",$AM$46}))"),"...")</f>
        <v>...</v>
      </c>
      <c r="D100" s="17"/>
      <c r="E100" s="31"/>
      <c r="F100" s="7"/>
      <c r="G100" s="8" t="str">
        <f t="shared" si="1"/>
        <v>...</v>
      </c>
      <c r="H100" s="31"/>
      <c r="I100" s="52"/>
      <c r="J100" s="45" t="str">
        <f t="shared" si="2"/>
        <v>...</v>
      </c>
      <c r="K100" s="47" t="str">
        <f t="array" ref="K100">IF(B100=0,"...",J100/VLOOKUP(D100,{CCL!M:N;CCL!$P:$Q},2,FALSE))</f>
        <v>...</v>
      </c>
      <c r="L100" s="45" t="str">
        <f t="shared" si="41"/>
        <v>...</v>
      </c>
      <c r="M100" s="45" t="str">
        <f>if(B100=0,"...",L100*(1-VLOOKUP(A100,Config!$B$3:$C$22,2,FALSE)))</f>
        <v>...</v>
      </c>
      <c r="N100" s="45" t="str">
        <f t="shared" si="3"/>
        <v>...</v>
      </c>
      <c r="O100" s="12" t="str">
        <f>IFERROR(__xludf.DUMMYFUNCTION("if(B100=0,""..."",GOOGLEFINANCE(B100,""changepct"")/100)"),"...")</f>
        <v>...</v>
      </c>
      <c r="P100" s="10" t="str">
        <f>IFERROR(__xludf.DUMMYFUNCTION("if(B100=0,""..."",GOOGLEFINANCE(B100,""change"")*H100)"),"...")</f>
        <v>...</v>
      </c>
      <c r="Q100" s="12" t="str">
        <f t="shared" si="4"/>
        <v>...</v>
      </c>
      <c r="R100" s="47" t="str">
        <f t="shared" si="5"/>
        <v>...</v>
      </c>
      <c r="S100" s="12" t="str">
        <f t="shared" si="36"/>
        <v>...</v>
      </c>
      <c r="T100" s="47" t="str">
        <f>IF(B100=0,"...",(N100/IF(E100="ABIERTA",CCL!$E$2,VLOOKUP(F100,CCL!$A$12:$B$773,2,FALSE))-K100))</f>
        <v>...</v>
      </c>
      <c r="U100" s="2"/>
      <c r="V100" s="10"/>
      <c r="W100" s="10"/>
      <c r="X100" s="59" t="str">
        <f t="shared" si="29"/>
        <v>...</v>
      </c>
      <c r="Y100" s="45" t="str">
        <f>IFERROR(__xludf.DUMMYFUNCTION("IF(W100=0,""..."",GOOGLEFINANCE(""BCBA:""&amp;W100))"),"...")</f>
        <v>...</v>
      </c>
      <c r="Z100" s="12"/>
      <c r="AA100" s="45"/>
      <c r="AB100" s="12" t="str">
        <f t="shared" si="26"/>
        <v/>
      </c>
      <c r="AC100" s="45" t="str">
        <f t="shared" si="37"/>
        <v>...</v>
      </c>
      <c r="AD100" s="45" t="str">
        <f t="shared" si="38"/>
        <v>...</v>
      </c>
      <c r="AE100" s="12" t="str">
        <f t="shared" si="11"/>
        <v>...</v>
      </c>
      <c r="AF100" s="45" t="str">
        <f t="shared" si="39"/>
        <v>...</v>
      </c>
      <c r="AG100" s="45" t="str">
        <f t="shared" si="27"/>
        <v>...</v>
      </c>
      <c r="AH100" s="12" t="str">
        <f t="shared" si="13"/>
        <v>...</v>
      </c>
      <c r="AI100" s="46" t="str">
        <f t="shared" si="40"/>
        <v>...</v>
      </c>
      <c r="AJ100" s="2"/>
      <c r="AK100" s="2"/>
      <c r="AL100" s="2"/>
      <c r="AM100" s="2"/>
      <c r="AN100" s="2"/>
      <c r="AO100" s="2"/>
    </row>
    <row r="101" ht="24.0" customHeight="1">
      <c r="A101" s="4"/>
      <c r="B101" s="30"/>
      <c r="C101" s="5" t="str">
        <f>IFERROR(__xludf.DUMMYFUNCTION("if(B101=0,""..."", sparkline(query(GOOGLEFINANCE(""BCBA:""&amp;B101,""price"",today()-$AM$47,today()),""select Col2"",0),{""charttype"",$AM$46}))"),"...")</f>
        <v>...</v>
      </c>
      <c r="D101" s="17"/>
      <c r="E101" s="31"/>
      <c r="F101" s="7"/>
      <c r="G101" s="8" t="str">
        <f t="shared" si="1"/>
        <v>...</v>
      </c>
      <c r="H101" s="31"/>
      <c r="I101" s="52"/>
      <c r="J101" s="45" t="str">
        <f t="shared" si="2"/>
        <v>...</v>
      </c>
      <c r="K101" s="47" t="str">
        <f t="array" ref="K101">IF(B101=0,"...",J101/VLOOKUP(D101,{CCL!M:N;CCL!$P:$Q},2,FALSE))</f>
        <v>...</v>
      </c>
      <c r="L101" s="45" t="str">
        <f t="shared" si="41"/>
        <v>...</v>
      </c>
      <c r="M101" s="45" t="str">
        <f>if(B101=0,"...",L101*(1-VLOOKUP(A101,Config!$B$3:$C$22,2,FALSE)))</f>
        <v>...</v>
      </c>
      <c r="N101" s="45" t="str">
        <f t="shared" si="3"/>
        <v>...</v>
      </c>
      <c r="O101" s="12" t="str">
        <f>IFERROR(__xludf.DUMMYFUNCTION("if(B101=0,""..."",GOOGLEFINANCE(B101,""changepct"")/100)"),"...")</f>
        <v>...</v>
      </c>
      <c r="P101" s="10" t="str">
        <f>IFERROR(__xludf.DUMMYFUNCTION("if(B101=0,""..."",GOOGLEFINANCE(B101,""change"")*H101)"),"...")</f>
        <v>...</v>
      </c>
      <c r="Q101" s="12" t="str">
        <f t="shared" si="4"/>
        <v>...</v>
      </c>
      <c r="R101" s="47" t="str">
        <f t="shared" si="5"/>
        <v>...</v>
      </c>
      <c r="S101" s="12" t="str">
        <f t="shared" si="36"/>
        <v>...</v>
      </c>
      <c r="T101" s="47" t="str">
        <f>IF(B101=0,"...",(N101/IF(E101="ABIERTA",CCL!$E$2,VLOOKUP(F101,CCL!$A$12:$B$773,2,FALSE))-K101))</f>
        <v>...</v>
      </c>
      <c r="U101" s="2"/>
      <c r="V101" s="10"/>
      <c r="W101" s="10"/>
      <c r="X101" s="59" t="str">
        <f t="shared" si="29"/>
        <v>...</v>
      </c>
      <c r="Y101" s="45" t="str">
        <f>IFERROR(__xludf.DUMMYFUNCTION("IF(W101=0,""..."",GOOGLEFINANCE(""BCBA:""&amp;W101))"),"...")</f>
        <v>...</v>
      </c>
      <c r="Z101" s="12"/>
      <c r="AA101" s="45"/>
      <c r="AB101" s="12" t="str">
        <f t="shared" si="26"/>
        <v/>
      </c>
      <c r="AC101" s="45" t="str">
        <f t="shared" si="37"/>
        <v>...</v>
      </c>
      <c r="AD101" s="45" t="str">
        <f t="shared" si="38"/>
        <v>...</v>
      </c>
      <c r="AE101" s="12" t="str">
        <f t="shared" si="11"/>
        <v>...</v>
      </c>
      <c r="AF101" s="45" t="str">
        <f t="shared" si="39"/>
        <v>...</v>
      </c>
      <c r="AG101" s="45" t="str">
        <f t="shared" si="27"/>
        <v>...</v>
      </c>
      <c r="AH101" s="12" t="str">
        <f t="shared" si="13"/>
        <v>...</v>
      </c>
      <c r="AI101" s="46" t="str">
        <f t="shared" si="40"/>
        <v>...</v>
      </c>
      <c r="AJ101" s="2"/>
      <c r="AK101" s="2"/>
      <c r="AL101" s="2"/>
      <c r="AM101" s="2"/>
      <c r="AN101" s="2"/>
      <c r="AO101" s="2"/>
    </row>
    <row r="102" ht="24.0" customHeight="1">
      <c r="A102" s="4"/>
      <c r="B102" s="30"/>
      <c r="C102" s="5" t="str">
        <f>IFERROR(__xludf.DUMMYFUNCTION("if(B102=0,""..."", sparkline(query(GOOGLEFINANCE(""BCBA:""&amp;B102,""price"",today()-$AM$47,today()),""select Col2"",0),{""charttype"",$AM$46}))"),"...")</f>
        <v>...</v>
      </c>
      <c r="D102" s="17"/>
      <c r="E102" s="31"/>
      <c r="F102" s="7"/>
      <c r="G102" s="8" t="str">
        <f t="shared" si="1"/>
        <v>...</v>
      </c>
      <c r="H102" s="31"/>
      <c r="I102" s="52"/>
      <c r="J102" s="45" t="str">
        <f t="shared" si="2"/>
        <v>...</v>
      </c>
      <c r="K102" s="47" t="str">
        <f t="array" ref="K102">IF(B102=0,"...",J102/VLOOKUP(D102,{CCL!M:N;CCL!$P:$Q},2,FALSE))</f>
        <v>...</v>
      </c>
      <c r="L102" s="45" t="str">
        <f t="shared" si="41"/>
        <v>...</v>
      </c>
      <c r="M102" s="45" t="str">
        <f>if(B102=0,"...",L102*(1-VLOOKUP(A102,Config!$B$3:$C$22,2,FALSE)))</f>
        <v>...</v>
      </c>
      <c r="N102" s="45" t="str">
        <f t="shared" si="3"/>
        <v>...</v>
      </c>
      <c r="O102" s="12" t="str">
        <f>IFERROR(__xludf.DUMMYFUNCTION("if(B102=0,""..."",GOOGLEFINANCE(B102,""changepct"")/100)"),"...")</f>
        <v>...</v>
      </c>
      <c r="P102" s="10" t="str">
        <f>IFERROR(__xludf.DUMMYFUNCTION("if(B102=0,""..."",GOOGLEFINANCE(B102,""change"")*H102)"),"...")</f>
        <v>...</v>
      </c>
      <c r="Q102" s="12" t="str">
        <f t="shared" si="4"/>
        <v>...</v>
      </c>
      <c r="R102" s="47" t="str">
        <f t="shared" si="5"/>
        <v>...</v>
      </c>
      <c r="S102" s="12" t="str">
        <f t="shared" si="36"/>
        <v>...</v>
      </c>
      <c r="T102" s="47" t="str">
        <f>IF(B102=0,"...",(N102/IF(E102="ABIERTA",CCL!$E$2,VLOOKUP(F102,CCL!$A$12:$B$773,2,FALSE))-K102))</f>
        <v>...</v>
      </c>
      <c r="U102" s="2"/>
      <c r="V102" s="10"/>
      <c r="W102" s="10"/>
      <c r="X102" s="59" t="str">
        <f t="shared" si="29"/>
        <v>...</v>
      </c>
      <c r="Y102" s="45" t="str">
        <f>IFERROR(__xludf.DUMMYFUNCTION("IF(W102=0,""..."",GOOGLEFINANCE(""BCBA:""&amp;W102))"),"...")</f>
        <v>...</v>
      </c>
      <c r="Z102" s="12"/>
      <c r="AA102" s="45"/>
      <c r="AB102" s="12" t="str">
        <f t="shared" si="26"/>
        <v/>
      </c>
      <c r="AC102" s="45" t="str">
        <f t="shared" si="37"/>
        <v>...</v>
      </c>
      <c r="AD102" s="45" t="str">
        <f t="shared" si="38"/>
        <v>...</v>
      </c>
      <c r="AE102" s="12" t="str">
        <f t="shared" si="11"/>
        <v>...</v>
      </c>
      <c r="AF102" s="45" t="str">
        <f t="shared" si="39"/>
        <v>...</v>
      </c>
      <c r="AG102" s="45" t="str">
        <f t="shared" si="27"/>
        <v>...</v>
      </c>
      <c r="AH102" s="12" t="str">
        <f t="shared" si="13"/>
        <v>...</v>
      </c>
      <c r="AI102" s="46" t="str">
        <f t="shared" si="40"/>
        <v>...</v>
      </c>
      <c r="AJ102" s="2"/>
      <c r="AK102" s="2"/>
      <c r="AL102" s="2"/>
      <c r="AM102" s="2"/>
      <c r="AN102" s="2"/>
      <c r="AO102" s="2"/>
    </row>
    <row r="103" ht="24.0" customHeight="1">
      <c r="A103" s="4"/>
      <c r="B103" s="30"/>
      <c r="C103" s="5" t="str">
        <f>IFERROR(__xludf.DUMMYFUNCTION("if(B103=0,""..."", sparkline(query(GOOGLEFINANCE(""BCBA:""&amp;B103,""price"",today()-$AM$47,today()),""select Col2"",0),{""charttype"",$AM$46}))"),"...")</f>
        <v>...</v>
      </c>
      <c r="D103" s="17"/>
      <c r="E103" s="31"/>
      <c r="F103" s="7"/>
      <c r="G103" s="8" t="str">
        <f t="shared" si="1"/>
        <v>...</v>
      </c>
      <c r="H103" s="31"/>
      <c r="I103" s="52"/>
      <c r="J103" s="45" t="str">
        <f t="shared" si="2"/>
        <v>...</v>
      </c>
      <c r="K103" s="47" t="str">
        <f t="array" ref="K103">IF(B103=0,"...",J103/VLOOKUP(D103,{CCL!M:N;CCL!$P:$Q},2,FALSE))</f>
        <v>...</v>
      </c>
      <c r="L103" s="45" t="str">
        <f t="shared" si="41"/>
        <v>...</v>
      </c>
      <c r="M103" s="45" t="str">
        <f>if(B103=0,"...",L103*(1-VLOOKUP(A103,Config!$B$3:$C$22,2,FALSE)))</f>
        <v>...</v>
      </c>
      <c r="N103" s="45" t="str">
        <f t="shared" si="3"/>
        <v>...</v>
      </c>
      <c r="O103" s="12" t="str">
        <f>IFERROR(__xludf.DUMMYFUNCTION("if(B103=0,""..."",GOOGLEFINANCE(B103,""changepct"")/100)"),"...")</f>
        <v>...</v>
      </c>
      <c r="P103" s="10" t="str">
        <f>IFERROR(__xludf.DUMMYFUNCTION("if(B103=0,""..."",GOOGLEFINANCE(B103,""change"")*H103)"),"...")</f>
        <v>...</v>
      </c>
      <c r="Q103" s="12" t="str">
        <f t="shared" si="4"/>
        <v>...</v>
      </c>
      <c r="R103" s="47" t="str">
        <f t="shared" si="5"/>
        <v>...</v>
      </c>
      <c r="S103" s="12" t="str">
        <f t="shared" si="36"/>
        <v>...</v>
      </c>
      <c r="T103" s="47" t="str">
        <f>IF(B103=0,"...",(N103/IF(E103="ABIERTA",CCL!$E$2,VLOOKUP(F103,CCL!$A$12:$B$773,2,FALSE))-K103))</f>
        <v>...</v>
      </c>
      <c r="U103" s="2"/>
      <c r="V103" s="10"/>
      <c r="W103" s="10"/>
      <c r="X103" s="59" t="str">
        <f t="shared" si="29"/>
        <v>...</v>
      </c>
      <c r="Y103" s="45" t="str">
        <f>IFERROR(__xludf.DUMMYFUNCTION("IF(W103=0,""..."",GOOGLEFINANCE(""BCBA:""&amp;W103))"),"...")</f>
        <v>...</v>
      </c>
      <c r="Z103" s="12"/>
      <c r="AA103" s="45"/>
      <c r="AB103" s="12" t="str">
        <f t="shared" si="26"/>
        <v/>
      </c>
      <c r="AC103" s="45" t="str">
        <f t="shared" si="37"/>
        <v>...</v>
      </c>
      <c r="AD103" s="45" t="str">
        <f t="shared" si="38"/>
        <v>...</v>
      </c>
      <c r="AE103" s="12" t="str">
        <f t="shared" si="11"/>
        <v>...</v>
      </c>
      <c r="AF103" s="45" t="str">
        <f t="shared" si="39"/>
        <v>...</v>
      </c>
      <c r="AG103" s="45" t="str">
        <f t="shared" si="27"/>
        <v>...</v>
      </c>
      <c r="AH103" s="12" t="str">
        <f t="shared" si="13"/>
        <v>...</v>
      </c>
      <c r="AI103" s="46" t="str">
        <f t="shared" si="40"/>
        <v>...</v>
      </c>
      <c r="AJ103" s="2"/>
      <c r="AK103" s="2"/>
      <c r="AL103" s="2"/>
      <c r="AM103" s="2"/>
      <c r="AN103" s="2"/>
      <c r="AO103" s="2"/>
    </row>
    <row r="104" ht="24.0" customHeight="1">
      <c r="A104" s="4"/>
      <c r="B104" s="30"/>
      <c r="C104" s="5" t="str">
        <f>IFERROR(__xludf.DUMMYFUNCTION("if(B104=0,""..."", sparkline(query(GOOGLEFINANCE(""BCBA:""&amp;B104,""price"",today()-$AM$47,today()),""select Col2"",0),{""charttype"",$AM$46}))"),"...")</f>
        <v>...</v>
      </c>
      <c r="D104" s="17"/>
      <c r="E104" s="31"/>
      <c r="F104" s="7"/>
      <c r="G104" s="8" t="str">
        <f t="shared" si="1"/>
        <v>...</v>
      </c>
      <c r="H104" s="31"/>
      <c r="I104" s="52"/>
      <c r="J104" s="45" t="str">
        <f t="shared" si="2"/>
        <v>...</v>
      </c>
      <c r="K104" s="47" t="str">
        <f t="array" ref="K104">IF(B104=0,"...",J104/VLOOKUP(D104,{CCL!M:N;CCL!$P:$Q},2,FALSE))</f>
        <v>...</v>
      </c>
      <c r="L104" s="45" t="str">
        <f t="shared" si="41"/>
        <v>...</v>
      </c>
      <c r="M104" s="45" t="str">
        <f>if(B104=0,"...",L104*(1-VLOOKUP(A104,Config!$B$3:$C$22,2,FALSE)))</f>
        <v>...</v>
      </c>
      <c r="N104" s="45" t="str">
        <f t="shared" si="3"/>
        <v>...</v>
      </c>
      <c r="O104" s="12" t="str">
        <f>IFERROR(__xludf.DUMMYFUNCTION("if(B104=0,""..."",GOOGLEFINANCE(B104,""changepct"")/100)"),"...")</f>
        <v>...</v>
      </c>
      <c r="P104" s="10" t="str">
        <f>IFERROR(__xludf.DUMMYFUNCTION("if(B104=0,""..."",GOOGLEFINANCE(B104,""change"")*H104)"),"...")</f>
        <v>...</v>
      </c>
      <c r="Q104" s="12" t="str">
        <f t="shared" si="4"/>
        <v>...</v>
      </c>
      <c r="R104" s="47" t="str">
        <f t="shared" si="5"/>
        <v>...</v>
      </c>
      <c r="S104" s="12" t="str">
        <f t="shared" si="36"/>
        <v>...</v>
      </c>
      <c r="T104" s="47" t="str">
        <f>IF(B104=0,"...",(N104/IF(E104="ABIERTA",CCL!$E$2,VLOOKUP(F104,CCL!$A$12:$B$773,2,FALSE))-K104))</f>
        <v>...</v>
      </c>
      <c r="U104" s="2"/>
      <c r="V104" s="10"/>
      <c r="W104" s="10"/>
      <c r="X104" s="59" t="str">
        <f t="shared" si="29"/>
        <v>...</v>
      </c>
      <c r="Y104" s="45" t="str">
        <f>IFERROR(__xludf.DUMMYFUNCTION("IF(W104=0,""..."",GOOGLEFINANCE(""BCBA:""&amp;W104))"),"...")</f>
        <v>...</v>
      </c>
      <c r="Z104" s="12"/>
      <c r="AA104" s="45"/>
      <c r="AB104" s="12" t="str">
        <f t="shared" si="26"/>
        <v/>
      </c>
      <c r="AC104" s="45" t="str">
        <f t="shared" si="37"/>
        <v>...</v>
      </c>
      <c r="AD104" s="45" t="str">
        <f t="shared" si="38"/>
        <v>...</v>
      </c>
      <c r="AE104" s="12" t="str">
        <f t="shared" si="11"/>
        <v>...</v>
      </c>
      <c r="AF104" s="45" t="str">
        <f t="shared" si="39"/>
        <v>...</v>
      </c>
      <c r="AG104" s="45" t="str">
        <f t="shared" si="27"/>
        <v>...</v>
      </c>
      <c r="AH104" s="12" t="str">
        <f t="shared" si="13"/>
        <v>...</v>
      </c>
      <c r="AI104" s="46" t="str">
        <f t="shared" si="40"/>
        <v>...</v>
      </c>
      <c r="AJ104" s="2"/>
      <c r="AK104" s="2"/>
      <c r="AL104" s="2"/>
      <c r="AM104" s="2"/>
      <c r="AN104" s="2"/>
      <c r="AO104" s="2"/>
    </row>
    <row r="105" ht="24.0" customHeight="1">
      <c r="A105" s="4"/>
      <c r="B105" s="30"/>
      <c r="C105" s="5" t="str">
        <f>IFERROR(__xludf.DUMMYFUNCTION("if(B105=0,""..."", sparkline(query(GOOGLEFINANCE(""BCBA:""&amp;B105,""price"",today()-$AM$47,today()),""select Col2"",0),{""charttype"",$AM$46}))"),"...")</f>
        <v>...</v>
      </c>
      <c r="D105" s="17"/>
      <c r="E105" s="31"/>
      <c r="F105" s="7"/>
      <c r="G105" s="8" t="str">
        <f t="shared" si="1"/>
        <v>...</v>
      </c>
      <c r="H105" s="31"/>
      <c r="I105" s="52"/>
      <c r="J105" s="45" t="str">
        <f t="shared" si="2"/>
        <v>...</v>
      </c>
      <c r="K105" s="47" t="str">
        <f t="array" ref="K105">IF(B105=0,"...",J105/VLOOKUP(D105,{CCL!M:N;CCL!$P:$Q},2,FALSE))</f>
        <v>...</v>
      </c>
      <c r="L105" s="45" t="str">
        <f t="shared" si="41"/>
        <v>...</v>
      </c>
      <c r="M105" s="45" t="str">
        <f>if(B105=0,"...",L105*(1-VLOOKUP(A105,Config!$B$3:$C$22,2,FALSE)))</f>
        <v>...</v>
      </c>
      <c r="N105" s="45" t="str">
        <f t="shared" si="3"/>
        <v>...</v>
      </c>
      <c r="O105" s="12" t="str">
        <f>IFERROR(__xludf.DUMMYFUNCTION("if(B105=0,""..."",GOOGLEFINANCE(B105,""changepct"")/100)"),"...")</f>
        <v>...</v>
      </c>
      <c r="P105" s="10" t="str">
        <f>IFERROR(__xludf.DUMMYFUNCTION("if(B105=0,""..."",GOOGLEFINANCE(B105,""change"")*H105)"),"...")</f>
        <v>...</v>
      </c>
      <c r="Q105" s="12" t="str">
        <f t="shared" si="4"/>
        <v>...</v>
      </c>
      <c r="R105" s="47" t="str">
        <f t="shared" si="5"/>
        <v>...</v>
      </c>
      <c r="S105" s="12" t="str">
        <f t="shared" si="36"/>
        <v>...</v>
      </c>
      <c r="T105" s="47" t="str">
        <f>IF(B105=0,"...",(N105/IF(E105="ABIERTA",CCL!$E$2,VLOOKUP(F105,CCL!$A$12:$B$773,2,FALSE))-K105))</f>
        <v>...</v>
      </c>
      <c r="U105" s="2"/>
      <c r="V105" s="10"/>
      <c r="W105" s="10"/>
      <c r="X105" s="59" t="str">
        <f t="shared" si="29"/>
        <v>...</v>
      </c>
      <c r="Y105" s="45" t="str">
        <f>IFERROR(__xludf.DUMMYFUNCTION("IF(W105=0,""..."",GOOGLEFINANCE(""BCBA:""&amp;W105))"),"...")</f>
        <v>...</v>
      </c>
      <c r="Z105" s="12"/>
      <c r="AA105" s="45"/>
      <c r="AB105" s="12" t="str">
        <f t="shared" si="26"/>
        <v/>
      </c>
      <c r="AC105" s="45" t="str">
        <f t="shared" si="37"/>
        <v>...</v>
      </c>
      <c r="AD105" s="45" t="str">
        <f t="shared" si="38"/>
        <v>...</v>
      </c>
      <c r="AE105" s="12" t="str">
        <f t="shared" si="11"/>
        <v>...</v>
      </c>
      <c r="AF105" s="45" t="str">
        <f t="shared" si="39"/>
        <v>...</v>
      </c>
      <c r="AG105" s="45" t="str">
        <f t="shared" si="27"/>
        <v>...</v>
      </c>
      <c r="AH105" s="12" t="str">
        <f t="shared" si="13"/>
        <v>...</v>
      </c>
      <c r="AI105" s="46" t="str">
        <f t="shared" si="40"/>
        <v>...</v>
      </c>
      <c r="AJ105" s="2"/>
      <c r="AK105" s="2"/>
      <c r="AL105" s="2"/>
      <c r="AM105" s="2"/>
      <c r="AN105" s="2"/>
      <c r="AO105" s="2"/>
    </row>
    <row r="106" ht="24.0" customHeight="1">
      <c r="A106" s="4"/>
      <c r="B106" s="30"/>
      <c r="C106" s="5" t="str">
        <f>IFERROR(__xludf.DUMMYFUNCTION("if(B106=0,""..."", sparkline(query(GOOGLEFINANCE(""BCBA:""&amp;B106,""price"",today()-$AM$47,today()),""select Col2"",0),{""charttype"",$AM$46}))"),"...")</f>
        <v>...</v>
      </c>
      <c r="D106" s="17"/>
      <c r="E106" s="31"/>
      <c r="F106" s="7"/>
      <c r="G106" s="8" t="str">
        <f t="shared" si="1"/>
        <v>...</v>
      </c>
      <c r="H106" s="31"/>
      <c r="I106" s="52"/>
      <c r="J106" s="45" t="str">
        <f t="shared" si="2"/>
        <v>...</v>
      </c>
      <c r="K106" s="47" t="str">
        <f t="array" ref="K106">IF(B106=0,"...",J106/VLOOKUP(D106,{CCL!M:N;CCL!$P:$Q},2,FALSE))</f>
        <v>...</v>
      </c>
      <c r="L106" s="45" t="str">
        <f t="shared" si="41"/>
        <v>...</v>
      </c>
      <c r="M106" s="45" t="str">
        <f>if(B106=0,"...",L106*(1-VLOOKUP(A106,Config!$B$3:$C$22,2,FALSE)))</f>
        <v>...</v>
      </c>
      <c r="N106" s="45" t="str">
        <f t="shared" si="3"/>
        <v>...</v>
      </c>
      <c r="O106" s="12" t="str">
        <f>IFERROR(__xludf.DUMMYFUNCTION("if(B106=0,""..."",GOOGLEFINANCE(B106,""changepct"")/100)"),"...")</f>
        <v>...</v>
      </c>
      <c r="P106" s="10" t="str">
        <f>IFERROR(__xludf.DUMMYFUNCTION("if(B106=0,""..."",GOOGLEFINANCE(B106,""change"")*H106)"),"...")</f>
        <v>...</v>
      </c>
      <c r="Q106" s="12" t="str">
        <f t="shared" si="4"/>
        <v>...</v>
      </c>
      <c r="R106" s="47" t="str">
        <f t="shared" si="5"/>
        <v>...</v>
      </c>
      <c r="S106" s="12" t="str">
        <f t="shared" si="36"/>
        <v>...</v>
      </c>
      <c r="T106" s="47" t="str">
        <f>IF(B106=0,"...",(N106/IF(E106="ABIERTA",CCL!$E$2,VLOOKUP(F106,CCL!$A$12:$B$773,2,FALSE))-K106))</f>
        <v>...</v>
      </c>
      <c r="U106" s="2"/>
      <c r="V106" s="10"/>
      <c r="W106" s="10"/>
      <c r="X106" s="59" t="str">
        <f t="shared" si="29"/>
        <v>...</v>
      </c>
      <c r="Y106" s="45" t="str">
        <f>IFERROR(__xludf.DUMMYFUNCTION("IF(W106=0,""..."",GOOGLEFINANCE(""BCBA:""&amp;W106))"),"...")</f>
        <v>...</v>
      </c>
      <c r="Z106" s="12"/>
      <c r="AA106" s="45"/>
      <c r="AB106" s="12" t="str">
        <f t="shared" si="26"/>
        <v/>
      </c>
      <c r="AC106" s="45" t="str">
        <f t="shared" si="37"/>
        <v>...</v>
      </c>
      <c r="AD106" s="45" t="str">
        <f t="shared" si="38"/>
        <v>...</v>
      </c>
      <c r="AE106" s="12" t="str">
        <f t="shared" si="11"/>
        <v>...</v>
      </c>
      <c r="AF106" s="45" t="str">
        <f t="shared" si="39"/>
        <v>...</v>
      </c>
      <c r="AG106" s="45" t="str">
        <f t="shared" si="27"/>
        <v>...</v>
      </c>
      <c r="AH106" s="12" t="str">
        <f t="shared" si="13"/>
        <v>...</v>
      </c>
      <c r="AI106" s="46" t="str">
        <f t="shared" si="40"/>
        <v>...</v>
      </c>
      <c r="AJ106" s="2"/>
      <c r="AK106" s="2"/>
      <c r="AL106" s="2"/>
      <c r="AM106" s="2"/>
      <c r="AN106" s="2"/>
      <c r="AO106" s="2"/>
    </row>
    <row r="107" ht="24.0" customHeight="1">
      <c r="A107" s="4"/>
      <c r="B107" s="30"/>
      <c r="C107" s="5" t="str">
        <f>IFERROR(__xludf.DUMMYFUNCTION("if(B107=0,""..."", sparkline(query(GOOGLEFINANCE(""BCBA:""&amp;B107,""price"",today()-$AM$47,today()),""select Col2"",0),{""charttype"",$AM$46}))"),"...")</f>
        <v>...</v>
      </c>
      <c r="D107" s="17"/>
      <c r="E107" s="31"/>
      <c r="F107" s="7"/>
      <c r="G107" s="8" t="str">
        <f t="shared" si="1"/>
        <v>...</v>
      </c>
      <c r="H107" s="31"/>
      <c r="I107" s="52"/>
      <c r="J107" s="45" t="str">
        <f t="shared" si="2"/>
        <v>...</v>
      </c>
      <c r="K107" s="47" t="str">
        <f t="array" ref="K107">IF(B107=0,"...",J107/VLOOKUP(D107,{CCL!M:N;CCL!$P:$Q},2,FALSE))</f>
        <v>...</v>
      </c>
      <c r="L107" s="45" t="str">
        <f t="shared" si="41"/>
        <v>...</v>
      </c>
      <c r="M107" s="45" t="str">
        <f>if(B107=0,"...",L107*(1-VLOOKUP(A107,Config!$B$3:$C$22,2,FALSE)))</f>
        <v>...</v>
      </c>
      <c r="N107" s="45" t="str">
        <f t="shared" si="3"/>
        <v>...</v>
      </c>
      <c r="O107" s="12" t="str">
        <f>IFERROR(__xludf.DUMMYFUNCTION("if(B107=0,""..."",GOOGLEFINANCE(B107,""changepct"")/100)"),"...")</f>
        <v>...</v>
      </c>
      <c r="P107" s="10" t="str">
        <f>IFERROR(__xludf.DUMMYFUNCTION("if(B107=0,""..."",GOOGLEFINANCE(B107,""change"")*H107)"),"...")</f>
        <v>...</v>
      </c>
      <c r="Q107" s="12" t="str">
        <f t="shared" si="4"/>
        <v>...</v>
      </c>
      <c r="R107" s="47" t="str">
        <f t="shared" si="5"/>
        <v>...</v>
      </c>
      <c r="S107" s="12" t="str">
        <f t="shared" si="36"/>
        <v>...</v>
      </c>
      <c r="T107" s="47" t="str">
        <f>IF(B107=0,"...",(N107/IF(E107="ABIERTA",CCL!$E$2,VLOOKUP(F107,CCL!$A$12:$B$773,2,FALSE))-K107))</f>
        <v>...</v>
      </c>
      <c r="U107" s="2"/>
      <c r="V107" s="10"/>
      <c r="W107" s="10"/>
      <c r="X107" s="59" t="str">
        <f t="shared" si="29"/>
        <v>...</v>
      </c>
      <c r="Y107" s="45" t="str">
        <f>IFERROR(__xludf.DUMMYFUNCTION("IF(W107=0,""..."",GOOGLEFINANCE(""BCBA:""&amp;W107))"),"...")</f>
        <v>...</v>
      </c>
      <c r="Z107" s="12"/>
      <c r="AA107" s="45"/>
      <c r="AB107" s="12" t="str">
        <f t="shared" si="26"/>
        <v/>
      </c>
      <c r="AC107" s="45" t="str">
        <f t="shared" si="37"/>
        <v>...</v>
      </c>
      <c r="AD107" s="45" t="str">
        <f t="shared" si="38"/>
        <v>...</v>
      </c>
      <c r="AE107" s="12" t="str">
        <f t="shared" si="11"/>
        <v>...</v>
      </c>
      <c r="AF107" s="45" t="str">
        <f t="shared" si="39"/>
        <v>...</v>
      </c>
      <c r="AG107" s="45" t="str">
        <f t="shared" si="27"/>
        <v>...</v>
      </c>
      <c r="AH107" s="12" t="str">
        <f t="shared" si="13"/>
        <v>...</v>
      </c>
      <c r="AI107" s="46" t="str">
        <f t="shared" si="40"/>
        <v>...</v>
      </c>
      <c r="AJ107" s="2"/>
      <c r="AK107" s="2"/>
      <c r="AL107" s="2"/>
      <c r="AM107" s="2"/>
      <c r="AN107" s="2"/>
      <c r="AO107" s="2"/>
    </row>
    <row r="108" ht="24.0" customHeight="1">
      <c r="A108" s="4"/>
      <c r="B108" s="30"/>
      <c r="C108" s="5" t="str">
        <f>IFERROR(__xludf.DUMMYFUNCTION("if(B108=0,""..."", sparkline(query(GOOGLEFINANCE(""BCBA:""&amp;B108,""price"",today()-$AM$47,today()),""select Col2"",0),{""charttype"",$AM$46}))"),"...")</f>
        <v>...</v>
      </c>
      <c r="D108" s="17"/>
      <c r="E108" s="31"/>
      <c r="F108" s="7"/>
      <c r="G108" s="8" t="str">
        <f t="shared" si="1"/>
        <v>...</v>
      </c>
      <c r="H108" s="31"/>
      <c r="I108" s="52"/>
      <c r="J108" s="45" t="str">
        <f t="shared" si="2"/>
        <v>...</v>
      </c>
      <c r="K108" s="47" t="str">
        <f t="array" ref="K108">IF(B108=0,"...",J108/VLOOKUP(D108,{CCL!M:N;CCL!$P:$Q},2,FALSE))</f>
        <v>...</v>
      </c>
      <c r="L108" s="45" t="str">
        <f t="shared" si="41"/>
        <v>...</v>
      </c>
      <c r="M108" s="45" t="str">
        <f>if(B108=0,"...",L108*(1-VLOOKUP(A108,Config!$B$3:$C$22,2,FALSE)))</f>
        <v>...</v>
      </c>
      <c r="N108" s="45" t="str">
        <f t="shared" si="3"/>
        <v>...</v>
      </c>
      <c r="O108" s="12" t="str">
        <f>IFERROR(__xludf.DUMMYFUNCTION("if(B108=0,""..."",GOOGLEFINANCE(B108,""changepct"")/100)"),"...")</f>
        <v>...</v>
      </c>
      <c r="P108" s="10" t="str">
        <f>IFERROR(__xludf.DUMMYFUNCTION("if(B108=0,""..."",GOOGLEFINANCE(B108,""change"")*H108)"),"...")</f>
        <v>...</v>
      </c>
      <c r="Q108" s="12" t="str">
        <f t="shared" si="4"/>
        <v>...</v>
      </c>
      <c r="R108" s="47" t="str">
        <f t="shared" si="5"/>
        <v>...</v>
      </c>
      <c r="S108" s="12" t="str">
        <f t="shared" si="36"/>
        <v>...</v>
      </c>
      <c r="T108" s="47" t="str">
        <f>IF(B108=0,"...",(N108/IF(E108="ABIERTA",CCL!$E$2,VLOOKUP(F108,CCL!$A$12:$B$773,2,FALSE))-K108))</f>
        <v>...</v>
      </c>
      <c r="U108" s="2"/>
      <c r="V108" s="10"/>
      <c r="W108" s="10"/>
      <c r="X108" s="59" t="str">
        <f t="shared" si="29"/>
        <v>...</v>
      </c>
      <c r="Y108" s="45" t="str">
        <f>IFERROR(__xludf.DUMMYFUNCTION("IF(W108=0,""..."",GOOGLEFINANCE(""BCBA:""&amp;W108))"),"...")</f>
        <v>...</v>
      </c>
      <c r="Z108" s="12"/>
      <c r="AA108" s="45"/>
      <c r="AB108" s="12" t="str">
        <f t="shared" si="26"/>
        <v/>
      </c>
      <c r="AC108" s="45" t="str">
        <f t="shared" si="37"/>
        <v>...</v>
      </c>
      <c r="AD108" s="45" t="str">
        <f t="shared" si="38"/>
        <v>...</v>
      </c>
      <c r="AE108" s="12" t="str">
        <f t="shared" si="11"/>
        <v>...</v>
      </c>
      <c r="AF108" s="45" t="str">
        <f t="shared" si="39"/>
        <v>...</v>
      </c>
      <c r="AG108" s="45" t="str">
        <f t="shared" si="27"/>
        <v>...</v>
      </c>
      <c r="AH108" s="12" t="str">
        <f t="shared" si="13"/>
        <v>...</v>
      </c>
      <c r="AI108" s="46" t="str">
        <f t="shared" si="40"/>
        <v>...</v>
      </c>
      <c r="AJ108" s="2"/>
      <c r="AK108" s="2"/>
      <c r="AL108" s="2"/>
      <c r="AM108" s="2"/>
      <c r="AN108" s="2"/>
      <c r="AO108" s="2"/>
    </row>
    <row r="109" ht="24.0" customHeight="1">
      <c r="A109" s="4"/>
      <c r="B109" s="30"/>
      <c r="C109" s="5" t="str">
        <f>IFERROR(__xludf.DUMMYFUNCTION("if(B109=0,""..."", sparkline(query(GOOGLEFINANCE(""BCBA:""&amp;B109,""price"",today()-$AM$47,today()),""select Col2"",0),{""charttype"",$AM$46}))"),"...")</f>
        <v>...</v>
      </c>
      <c r="D109" s="17"/>
      <c r="E109" s="31"/>
      <c r="F109" s="7"/>
      <c r="G109" s="8" t="str">
        <f t="shared" si="1"/>
        <v>...</v>
      </c>
      <c r="H109" s="31"/>
      <c r="I109" s="52"/>
      <c r="J109" s="45" t="str">
        <f t="shared" si="2"/>
        <v>...</v>
      </c>
      <c r="K109" s="47" t="str">
        <f t="array" ref="K109">IF(B109=0,"...",J109/VLOOKUP(D109,{CCL!M:N;CCL!$P:$Q},2,FALSE))</f>
        <v>...</v>
      </c>
      <c r="L109" s="45" t="str">
        <f t="shared" si="41"/>
        <v>...</v>
      </c>
      <c r="M109" s="45" t="str">
        <f>if(B109=0,"...",L109*(1-VLOOKUP(A109,Config!$B$3:$C$22,2,FALSE)))</f>
        <v>...</v>
      </c>
      <c r="N109" s="45" t="str">
        <f t="shared" si="3"/>
        <v>...</v>
      </c>
      <c r="O109" s="12" t="str">
        <f>IFERROR(__xludf.DUMMYFUNCTION("if(B109=0,""..."",GOOGLEFINANCE(B109,""changepct"")/100)"),"...")</f>
        <v>...</v>
      </c>
      <c r="P109" s="10" t="str">
        <f>IFERROR(__xludf.DUMMYFUNCTION("if(B109=0,""..."",GOOGLEFINANCE(B109,""change"")*H109)"),"...")</f>
        <v>...</v>
      </c>
      <c r="Q109" s="12" t="str">
        <f t="shared" si="4"/>
        <v>...</v>
      </c>
      <c r="R109" s="47" t="str">
        <f t="shared" si="5"/>
        <v>...</v>
      </c>
      <c r="S109" s="12" t="str">
        <f t="shared" si="36"/>
        <v>...</v>
      </c>
      <c r="T109" s="47" t="str">
        <f>IF(B109=0,"...",(N109/IF(E109="ABIERTA",CCL!$E$2,VLOOKUP(F109,CCL!$A$12:$B$773,2,FALSE))-K109))</f>
        <v>...</v>
      </c>
      <c r="U109" s="2"/>
      <c r="V109" s="10"/>
      <c r="W109" s="10"/>
      <c r="X109" s="59" t="str">
        <f t="shared" si="29"/>
        <v>...</v>
      </c>
      <c r="Y109" s="45" t="str">
        <f>IFERROR(__xludf.DUMMYFUNCTION("IF(W109=0,""..."",GOOGLEFINANCE(""BCBA:""&amp;W109))"),"...")</f>
        <v>...</v>
      </c>
      <c r="Z109" s="12"/>
      <c r="AA109" s="45"/>
      <c r="AB109" s="12" t="str">
        <f t="shared" si="26"/>
        <v/>
      </c>
      <c r="AC109" s="45" t="str">
        <f t="shared" si="37"/>
        <v>...</v>
      </c>
      <c r="AD109" s="45" t="str">
        <f t="shared" si="38"/>
        <v>...</v>
      </c>
      <c r="AE109" s="12" t="str">
        <f t="shared" si="11"/>
        <v>...</v>
      </c>
      <c r="AF109" s="45" t="str">
        <f t="shared" si="39"/>
        <v>...</v>
      </c>
      <c r="AG109" s="45" t="str">
        <f t="shared" si="27"/>
        <v>...</v>
      </c>
      <c r="AH109" s="12" t="str">
        <f t="shared" si="13"/>
        <v>...</v>
      </c>
      <c r="AI109" s="46" t="str">
        <f t="shared" si="40"/>
        <v>...</v>
      </c>
      <c r="AJ109" s="2"/>
      <c r="AK109" s="2"/>
      <c r="AL109" s="2"/>
      <c r="AM109" s="2"/>
      <c r="AN109" s="2"/>
      <c r="AO109" s="2"/>
    </row>
    <row r="110" ht="24.0" customHeight="1">
      <c r="A110" s="4"/>
      <c r="B110" s="30"/>
      <c r="C110" s="5" t="str">
        <f>IFERROR(__xludf.DUMMYFUNCTION("if(B110=0,""..."", sparkline(query(GOOGLEFINANCE(""BCBA:""&amp;B110,""price"",today()-$AM$47,today()),""select Col2"",0),{""charttype"",$AM$46}))"),"...")</f>
        <v>...</v>
      </c>
      <c r="D110" s="17"/>
      <c r="E110" s="31"/>
      <c r="F110" s="7"/>
      <c r="G110" s="8" t="str">
        <f t="shared" si="1"/>
        <v>...</v>
      </c>
      <c r="H110" s="31"/>
      <c r="I110" s="52"/>
      <c r="J110" s="45" t="str">
        <f t="shared" si="2"/>
        <v>...</v>
      </c>
      <c r="K110" s="47" t="str">
        <f t="array" ref="K110">IF(B110=0,"...",J110/VLOOKUP(D110,{CCL!M:N;CCL!$P:$Q},2,FALSE))</f>
        <v>...</v>
      </c>
      <c r="L110" s="45" t="str">
        <f t="shared" si="41"/>
        <v>...</v>
      </c>
      <c r="M110" s="45" t="str">
        <f>if(B110=0,"...",L110*(1-VLOOKUP(A110,Config!$B$3:$C$22,2,FALSE)))</f>
        <v>...</v>
      </c>
      <c r="N110" s="45" t="str">
        <f t="shared" si="3"/>
        <v>...</v>
      </c>
      <c r="O110" s="12" t="str">
        <f>IFERROR(__xludf.DUMMYFUNCTION("if(B110=0,""..."",GOOGLEFINANCE(B110,""changepct"")/100)"),"...")</f>
        <v>...</v>
      </c>
      <c r="P110" s="10" t="str">
        <f>IFERROR(__xludf.DUMMYFUNCTION("if(B110=0,""..."",GOOGLEFINANCE(B110,""change"")*H110)"),"...")</f>
        <v>...</v>
      </c>
      <c r="Q110" s="12" t="str">
        <f t="shared" si="4"/>
        <v>...</v>
      </c>
      <c r="R110" s="47" t="str">
        <f t="shared" si="5"/>
        <v>...</v>
      </c>
      <c r="S110" s="12" t="str">
        <f t="shared" si="36"/>
        <v>...</v>
      </c>
      <c r="T110" s="47" t="str">
        <f>IF(B110=0,"...",(N110/IF(E110="ABIERTA",CCL!$E$2,VLOOKUP(F110,CCL!$A$12:$B$773,2,FALSE))-K110))</f>
        <v>...</v>
      </c>
      <c r="U110" s="2"/>
      <c r="V110" s="10"/>
      <c r="W110" s="10"/>
      <c r="X110" s="59" t="str">
        <f t="shared" si="29"/>
        <v>...</v>
      </c>
      <c r="Y110" s="45" t="str">
        <f>IFERROR(__xludf.DUMMYFUNCTION("IF(W110=0,""..."",GOOGLEFINANCE(""BCBA:""&amp;W110))"),"...")</f>
        <v>...</v>
      </c>
      <c r="Z110" s="12"/>
      <c r="AA110" s="45"/>
      <c r="AB110" s="12" t="str">
        <f t="shared" si="26"/>
        <v/>
      </c>
      <c r="AC110" s="45" t="str">
        <f t="shared" si="37"/>
        <v>...</v>
      </c>
      <c r="AD110" s="45" t="str">
        <f t="shared" si="38"/>
        <v>...</v>
      </c>
      <c r="AE110" s="12" t="str">
        <f t="shared" si="11"/>
        <v>...</v>
      </c>
      <c r="AF110" s="45" t="str">
        <f t="shared" si="39"/>
        <v>...</v>
      </c>
      <c r="AG110" s="45" t="str">
        <f t="shared" si="27"/>
        <v>...</v>
      </c>
      <c r="AH110" s="12" t="str">
        <f t="shared" si="13"/>
        <v>...</v>
      </c>
      <c r="AI110" s="46" t="str">
        <f t="shared" si="40"/>
        <v>...</v>
      </c>
      <c r="AJ110" s="2"/>
      <c r="AK110" s="2"/>
      <c r="AL110" s="2"/>
      <c r="AM110" s="2"/>
      <c r="AN110" s="2"/>
      <c r="AO110" s="2"/>
    </row>
    <row r="111" ht="24.0" customHeight="1">
      <c r="A111" s="4"/>
      <c r="B111" s="30"/>
      <c r="C111" s="5" t="str">
        <f>IFERROR(__xludf.DUMMYFUNCTION("if(B111=0,""..."", sparkline(query(GOOGLEFINANCE(""BCBA:""&amp;B111,""price"",today()-$AM$47,today()),""select Col2"",0),{""charttype"",$AM$46}))"),"...")</f>
        <v>...</v>
      </c>
      <c r="D111" s="17"/>
      <c r="E111" s="31"/>
      <c r="F111" s="7"/>
      <c r="G111" s="8" t="str">
        <f t="shared" si="1"/>
        <v>...</v>
      </c>
      <c r="H111" s="31"/>
      <c r="I111" s="52"/>
      <c r="J111" s="45" t="str">
        <f t="shared" si="2"/>
        <v>...</v>
      </c>
      <c r="K111" s="47" t="str">
        <f t="array" ref="K111">IF(B111=0,"...",J111/VLOOKUP(D111,{CCL!M:N;CCL!$P:$Q},2,FALSE))</f>
        <v>...</v>
      </c>
      <c r="L111" s="45" t="str">
        <f t="shared" si="41"/>
        <v>...</v>
      </c>
      <c r="M111" s="45" t="str">
        <f>if(B111=0,"...",L111*(1-VLOOKUP(A111,Config!$B$3:$C$22,2,FALSE)))</f>
        <v>...</v>
      </c>
      <c r="N111" s="45" t="str">
        <f t="shared" si="3"/>
        <v>...</v>
      </c>
      <c r="O111" s="12" t="str">
        <f>IFERROR(__xludf.DUMMYFUNCTION("if(B111=0,""..."",GOOGLEFINANCE(B111,""changepct"")/100)"),"...")</f>
        <v>...</v>
      </c>
      <c r="P111" s="10" t="str">
        <f>IFERROR(__xludf.DUMMYFUNCTION("if(B111=0,""..."",GOOGLEFINANCE(B111,""change"")*H111)"),"...")</f>
        <v>...</v>
      </c>
      <c r="Q111" s="12" t="str">
        <f t="shared" si="4"/>
        <v>...</v>
      </c>
      <c r="R111" s="47" t="str">
        <f t="shared" si="5"/>
        <v>...</v>
      </c>
      <c r="S111" s="12" t="str">
        <f t="shared" si="36"/>
        <v>...</v>
      </c>
      <c r="T111" s="47" t="str">
        <f>IF(B111=0,"...",(N111/IF(E111="ABIERTA",CCL!$E$2,VLOOKUP(F111,CCL!$A$12:$B$773,2,FALSE))-K111))</f>
        <v>...</v>
      </c>
      <c r="U111" s="2"/>
      <c r="V111" s="10"/>
      <c r="W111" s="10"/>
      <c r="X111" s="59" t="str">
        <f t="shared" si="29"/>
        <v>...</v>
      </c>
      <c r="Y111" s="45" t="str">
        <f>IFERROR(__xludf.DUMMYFUNCTION("IF(W111=0,""..."",GOOGLEFINANCE(""BCBA:""&amp;W111))"),"...")</f>
        <v>...</v>
      </c>
      <c r="Z111" s="12"/>
      <c r="AA111" s="45"/>
      <c r="AB111" s="12" t="str">
        <f t="shared" si="26"/>
        <v/>
      </c>
      <c r="AC111" s="45" t="str">
        <f t="shared" si="37"/>
        <v>...</v>
      </c>
      <c r="AD111" s="45" t="str">
        <f t="shared" si="38"/>
        <v>...</v>
      </c>
      <c r="AE111" s="12" t="str">
        <f t="shared" si="11"/>
        <v>...</v>
      </c>
      <c r="AF111" s="45" t="str">
        <f t="shared" si="39"/>
        <v>...</v>
      </c>
      <c r="AG111" s="45" t="str">
        <f t="shared" si="27"/>
        <v>...</v>
      </c>
      <c r="AH111" s="12" t="str">
        <f t="shared" si="13"/>
        <v>...</v>
      </c>
      <c r="AI111" s="46" t="str">
        <f t="shared" si="40"/>
        <v>...</v>
      </c>
      <c r="AJ111" s="2"/>
      <c r="AK111" s="2"/>
      <c r="AL111" s="2"/>
      <c r="AM111" s="2"/>
      <c r="AN111" s="2"/>
      <c r="AO111" s="2"/>
    </row>
    <row r="112" ht="24.0" customHeight="1">
      <c r="A112" s="4"/>
      <c r="B112" s="30"/>
      <c r="C112" s="5" t="str">
        <f>IFERROR(__xludf.DUMMYFUNCTION("if(B112=0,""..."", sparkline(query(GOOGLEFINANCE(""BCBA:""&amp;B112,""price"",today()-$AM$47,today()),""select Col2"",0),{""charttype"",$AM$46}))"),"...")</f>
        <v>...</v>
      </c>
      <c r="D112" s="17"/>
      <c r="E112" s="31"/>
      <c r="F112" s="7"/>
      <c r="G112" s="8" t="str">
        <f t="shared" si="1"/>
        <v>...</v>
      </c>
      <c r="H112" s="31"/>
      <c r="I112" s="52"/>
      <c r="J112" s="45" t="str">
        <f t="shared" si="2"/>
        <v>...</v>
      </c>
      <c r="K112" s="47" t="str">
        <f t="array" ref="K112">IF(B112=0,"...",J112/VLOOKUP(D112,{CCL!M:N;CCL!$P:$Q},2,FALSE))</f>
        <v>...</v>
      </c>
      <c r="L112" s="45" t="str">
        <f t="shared" si="41"/>
        <v>...</v>
      </c>
      <c r="M112" s="45" t="str">
        <f>if(B112=0,"...",L112*(1-VLOOKUP(A112,Config!$B$3:$C$22,2,FALSE)))</f>
        <v>...</v>
      </c>
      <c r="N112" s="45" t="str">
        <f t="shared" si="3"/>
        <v>...</v>
      </c>
      <c r="O112" s="12" t="str">
        <f>IFERROR(__xludf.DUMMYFUNCTION("if(B112=0,""..."",GOOGLEFINANCE(B112,""changepct"")/100)"),"...")</f>
        <v>...</v>
      </c>
      <c r="P112" s="10" t="str">
        <f>IFERROR(__xludf.DUMMYFUNCTION("if(B112=0,""..."",GOOGLEFINANCE(B112,""change"")*H112)"),"...")</f>
        <v>...</v>
      </c>
      <c r="Q112" s="12" t="str">
        <f t="shared" si="4"/>
        <v>...</v>
      </c>
      <c r="R112" s="47" t="str">
        <f t="shared" si="5"/>
        <v>...</v>
      </c>
      <c r="S112" s="12" t="str">
        <f t="shared" si="36"/>
        <v>...</v>
      </c>
      <c r="T112" s="47" t="str">
        <f>IF(B112=0,"...",(N112/IF(E112="ABIERTA",CCL!$E$2,VLOOKUP(F112,CCL!$A$12:$B$773,2,FALSE))-K112))</f>
        <v>...</v>
      </c>
      <c r="U112" s="2"/>
      <c r="V112" s="10"/>
      <c r="W112" s="10"/>
      <c r="X112" s="59" t="str">
        <f t="shared" si="29"/>
        <v>...</v>
      </c>
      <c r="Y112" s="45" t="str">
        <f>IFERROR(__xludf.DUMMYFUNCTION("IF(W112=0,""..."",GOOGLEFINANCE(""BCBA:""&amp;W112))"),"...")</f>
        <v>...</v>
      </c>
      <c r="Z112" s="12"/>
      <c r="AA112" s="45"/>
      <c r="AB112" s="12" t="str">
        <f t="shared" si="26"/>
        <v/>
      </c>
      <c r="AC112" s="45" t="str">
        <f t="shared" si="37"/>
        <v>...</v>
      </c>
      <c r="AD112" s="45" t="str">
        <f t="shared" si="38"/>
        <v>...</v>
      </c>
      <c r="AE112" s="12" t="str">
        <f t="shared" si="11"/>
        <v>...</v>
      </c>
      <c r="AF112" s="45" t="str">
        <f t="shared" si="39"/>
        <v>...</v>
      </c>
      <c r="AG112" s="45" t="str">
        <f t="shared" si="27"/>
        <v>...</v>
      </c>
      <c r="AH112" s="12" t="str">
        <f t="shared" si="13"/>
        <v>...</v>
      </c>
      <c r="AI112" s="46" t="str">
        <f t="shared" si="40"/>
        <v>...</v>
      </c>
      <c r="AJ112" s="2"/>
      <c r="AK112" s="2"/>
      <c r="AL112" s="2"/>
      <c r="AM112" s="2"/>
      <c r="AN112" s="2"/>
      <c r="AO112" s="2"/>
    </row>
    <row r="113" ht="24.0" customHeight="1">
      <c r="A113" s="4"/>
      <c r="B113" s="30"/>
      <c r="C113" s="5" t="str">
        <f>IFERROR(__xludf.DUMMYFUNCTION("if(B113=0,""..."", sparkline(query(GOOGLEFINANCE(""BCBA:""&amp;B113,""price"",today()-$AM$47,today()),""select Col2"",0),{""charttype"",$AM$46}))"),"...")</f>
        <v>...</v>
      </c>
      <c r="D113" s="17"/>
      <c r="E113" s="31"/>
      <c r="F113" s="7"/>
      <c r="G113" s="8" t="str">
        <f t="shared" si="1"/>
        <v>...</v>
      </c>
      <c r="H113" s="31"/>
      <c r="I113" s="52"/>
      <c r="J113" s="45" t="str">
        <f t="shared" si="2"/>
        <v>...</v>
      </c>
      <c r="K113" s="47" t="str">
        <f t="array" ref="K113">IF(B113=0,"...",J113/VLOOKUP(D113,{CCL!M:N;CCL!$P:$Q},2,FALSE))</f>
        <v>...</v>
      </c>
      <c r="L113" s="45" t="str">
        <f t="shared" si="41"/>
        <v>...</v>
      </c>
      <c r="M113" s="45" t="str">
        <f>if(B113=0,"...",L113*(1-VLOOKUP(A113,Config!$B$3:$C$22,2,FALSE)))</f>
        <v>...</v>
      </c>
      <c r="N113" s="45" t="str">
        <f t="shared" si="3"/>
        <v>...</v>
      </c>
      <c r="O113" s="12" t="str">
        <f>IFERROR(__xludf.DUMMYFUNCTION("if(B113=0,""..."",GOOGLEFINANCE(B113,""changepct"")/100)"),"...")</f>
        <v>...</v>
      </c>
      <c r="P113" s="10" t="str">
        <f>IFERROR(__xludf.DUMMYFUNCTION("if(B113=0,""..."",GOOGLEFINANCE(B113,""change"")*H113)"),"...")</f>
        <v>...</v>
      </c>
      <c r="Q113" s="12" t="str">
        <f t="shared" si="4"/>
        <v>...</v>
      </c>
      <c r="R113" s="47" t="str">
        <f t="shared" si="5"/>
        <v>...</v>
      </c>
      <c r="S113" s="12" t="str">
        <f t="shared" si="36"/>
        <v>...</v>
      </c>
      <c r="T113" s="47" t="str">
        <f>IF(B113=0,"...",(N113/IF(E113="ABIERTA",CCL!$E$2,VLOOKUP(F113,CCL!$A$12:$B$773,2,FALSE))-K113))</f>
        <v>...</v>
      </c>
      <c r="U113" s="2"/>
      <c r="V113" s="10"/>
      <c r="W113" s="10"/>
      <c r="X113" s="59" t="str">
        <f t="shared" si="29"/>
        <v>...</v>
      </c>
      <c r="Y113" s="45" t="str">
        <f>IFERROR(__xludf.DUMMYFUNCTION("IF(W113=0,""..."",GOOGLEFINANCE(""BCBA:""&amp;W113))"),"...")</f>
        <v>...</v>
      </c>
      <c r="Z113" s="12"/>
      <c r="AA113" s="45"/>
      <c r="AB113" s="12" t="str">
        <f t="shared" si="26"/>
        <v/>
      </c>
      <c r="AC113" s="45" t="str">
        <f t="shared" si="37"/>
        <v>...</v>
      </c>
      <c r="AD113" s="45" t="str">
        <f t="shared" si="38"/>
        <v>...</v>
      </c>
      <c r="AE113" s="12" t="str">
        <f t="shared" si="11"/>
        <v>...</v>
      </c>
      <c r="AF113" s="45" t="str">
        <f t="shared" si="39"/>
        <v>...</v>
      </c>
      <c r="AG113" s="45" t="str">
        <f t="shared" si="27"/>
        <v>...</v>
      </c>
      <c r="AH113" s="12" t="str">
        <f t="shared" si="13"/>
        <v>...</v>
      </c>
      <c r="AI113" s="46" t="str">
        <f t="shared" si="40"/>
        <v>...</v>
      </c>
      <c r="AJ113" s="2"/>
      <c r="AK113" s="2"/>
      <c r="AL113" s="2"/>
      <c r="AM113" s="2"/>
      <c r="AN113" s="2"/>
      <c r="AO113" s="2"/>
    </row>
    <row r="114" ht="24.0" customHeight="1">
      <c r="A114" s="4"/>
      <c r="B114" s="30"/>
      <c r="C114" s="5" t="str">
        <f>IFERROR(__xludf.DUMMYFUNCTION("if(B114=0,""..."", sparkline(query(GOOGLEFINANCE(""BCBA:""&amp;B114,""price"",today()-$AM$47,today()),""select Col2"",0),{""charttype"",$AM$46}))"),"...")</f>
        <v>...</v>
      </c>
      <c r="D114" s="17"/>
      <c r="E114" s="31"/>
      <c r="F114" s="7"/>
      <c r="G114" s="8" t="str">
        <f t="shared" si="1"/>
        <v>...</v>
      </c>
      <c r="H114" s="31"/>
      <c r="I114" s="52"/>
      <c r="J114" s="45" t="str">
        <f t="shared" si="2"/>
        <v>...</v>
      </c>
      <c r="K114" s="47" t="str">
        <f t="array" ref="K114">IF(B114=0,"...",J114/VLOOKUP(D114,{CCL!M:N;CCL!$P:$Q},2,FALSE))</f>
        <v>...</v>
      </c>
      <c r="L114" s="45" t="str">
        <f t="shared" si="41"/>
        <v>...</v>
      </c>
      <c r="M114" s="45" t="str">
        <f>if(B114=0,"...",L114*(1-VLOOKUP(A114,Config!$B$3:$C$22,2,FALSE)))</f>
        <v>...</v>
      </c>
      <c r="N114" s="45" t="str">
        <f t="shared" si="3"/>
        <v>...</v>
      </c>
      <c r="O114" s="12" t="str">
        <f>IFERROR(__xludf.DUMMYFUNCTION("if(B114=0,""..."",GOOGLEFINANCE(B114,""changepct"")/100)"),"...")</f>
        <v>...</v>
      </c>
      <c r="P114" s="10" t="str">
        <f>IFERROR(__xludf.DUMMYFUNCTION("if(B114=0,""..."",GOOGLEFINANCE(B114,""change"")*H114)"),"...")</f>
        <v>...</v>
      </c>
      <c r="Q114" s="12" t="str">
        <f t="shared" si="4"/>
        <v>...</v>
      </c>
      <c r="R114" s="47" t="str">
        <f t="shared" si="5"/>
        <v>...</v>
      </c>
      <c r="S114" s="12" t="str">
        <f t="shared" si="36"/>
        <v>...</v>
      </c>
      <c r="T114" s="47" t="str">
        <f>IF(B114=0,"...",(N114/IF(E114="ABIERTA",CCL!$E$2,VLOOKUP(F114,CCL!$A$12:$B$773,2,FALSE))-K114))</f>
        <v>...</v>
      </c>
      <c r="U114" s="2"/>
      <c r="V114" s="10"/>
      <c r="W114" s="10"/>
      <c r="X114" s="59" t="str">
        <f t="shared" si="29"/>
        <v>...</v>
      </c>
      <c r="Y114" s="45" t="str">
        <f>IFERROR(__xludf.DUMMYFUNCTION("IF(W114=0,""..."",GOOGLEFINANCE(""BCBA:""&amp;W114))"),"...")</f>
        <v>...</v>
      </c>
      <c r="Z114" s="12"/>
      <c r="AA114" s="45"/>
      <c r="AB114" s="12" t="str">
        <f t="shared" si="26"/>
        <v/>
      </c>
      <c r="AC114" s="45" t="str">
        <f t="shared" si="37"/>
        <v>...</v>
      </c>
      <c r="AD114" s="45" t="str">
        <f t="shared" si="38"/>
        <v>...</v>
      </c>
      <c r="AE114" s="12" t="str">
        <f t="shared" si="11"/>
        <v>...</v>
      </c>
      <c r="AF114" s="45" t="str">
        <f t="shared" si="39"/>
        <v>...</v>
      </c>
      <c r="AG114" s="45" t="str">
        <f t="shared" si="27"/>
        <v>...</v>
      </c>
      <c r="AH114" s="12" t="str">
        <f t="shared" si="13"/>
        <v>...</v>
      </c>
      <c r="AI114" s="46" t="str">
        <f t="shared" si="40"/>
        <v>...</v>
      </c>
      <c r="AJ114" s="2"/>
      <c r="AK114" s="2"/>
      <c r="AL114" s="2"/>
      <c r="AM114" s="2"/>
      <c r="AN114" s="2"/>
      <c r="AO114" s="2"/>
    </row>
    <row r="115" ht="24.0" customHeight="1">
      <c r="A115" s="4"/>
      <c r="B115" s="30"/>
      <c r="C115" s="5" t="str">
        <f>IFERROR(__xludf.DUMMYFUNCTION("if(B115=0,""..."", sparkline(query(GOOGLEFINANCE(""BCBA:""&amp;B115,""price"",today()-$AM$47,today()),""select Col2"",0),{""charttype"",$AM$46}))"),"...")</f>
        <v>...</v>
      </c>
      <c r="D115" s="17"/>
      <c r="E115" s="31"/>
      <c r="F115" s="7"/>
      <c r="G115" s="8" t="str">
        <f t="shared" si="1"/>
        <v>...</v>
      </c>
      <c r="H115" s="31"/>
      <c r="I115" s="52"/>
      <c r="J115" s="45" t="str">
        <f t="shared" si="2"/>
        <v>...</v>
      </c>
      <c r="K115" s="47" t="str">
        <f t="array" ref="K115">IF(B115=0,"...",J115/VLOOKUP(D115,{CCL!M:N;CCL!$P:$Q},2,FALSE))</f>
        <v>...</v>
      </c>
      <c r="L115" s="45" t="str">
        <f t="shared" si="41"/>
        <v>...</v>
      </c>
      <c r="M115" s="45" t="str">
        <f>if(B115=0,"...",L115*(1-VLOOKUP(A115,Config!$B$3:$C$22,2,FALSE)))</f>
        <v>...</v>
      </c>
      <c r="N115" s="45" t="str">
        <f t="shared" si="3"/>
        <v>...</v>
      </c>
      <c r="O115" s="12" t="str">
        <f>IFERROR(__xludf.DUMMYFUNCTION("if(B115=0,""..."",GOOGLEFINANCE(B115,""changepct"")/100)"),"...")</f>
        <v>...</v>
      </c>
      <c r="P115" s="10" t="str">
        <f>IFERROR(__xludf.DUMMYFUNCTION("if(B115=0,""..."",GOOGLEFINANCE(B115,""change"")*H115)"),"...")</f>
        <v>...</v>
      </c>
      <c r="Q115" s="12" t="str">
        <f t="shared" si="4"/>
        <v>...</v>
      </c>
      <c r="R115" s="47" t="str">
        <f t="shared" si="5"/>
        <v>...</v>
      </c>
      <c r="S115" s="12" t="str">
        <f t="shared" si="36"/>
        <v>...</v>
      </c>
      <c r="T115" s="47" t="str">
        <f>IF(B115=0,"...",(N115/IF(E115="ABIERTA",CCL!$E$2,VLOOKUP(F115,CCL!$A$12:$B$773,2,FALSE))-K115))</f>
        <v>...</v>
      </c>
      <c r="U115" s="2"/>
      <c r="V115" s="10"/>
      <c r="W115" s="10"/>
      <c r="X115" s="59" t="str">
        <f t="shared" si="29"/>
        <v>...</v>
      </c>
      <c r="Y115" s="45" t="str">
        <f>IFERROR(__xludf.DUMMYFUNCTION("IF(W115=0,""..."",GOOGLEFINANCE(""BCBA:""&amp;W115))"),"...")</f>
        <v>...</v>
      </c>
      <c r="Z115" s="12"/>
      <c r="AA115" s="45"/>
      <c r="AB115" s="12" t="str">
        <f t="shared" si="26"/>
        <v/>
      </c>
      <c r="AC115" s="45" t="str">
        <f t="shared" si="37"/>
        <v>...</v>
      </c>
      <c r="AD115" s="45" t="str">
        <f t="shared" si="38"/>
        <v>...</v>
      </c>
      <c r="AE115" s="12" t="str">
        <f t="shared" si="11"/>
        <v>...</v>
      </c>
      <c r="AF115" s="45" t="str">
        <f t="shared" si="39"/>
        <v>...</v>
      </c>
      <c r="AG115" s="45" t="str">
        <f t="shared" si="27"/>
        <v>...</v>
      </c>
      <c r="AH115" s="12" t="str">
        <f t="shared" si="13"/>
        <v>...</v>
      </c>
      <c r="AI115" s="46" t="str">
        <f t="shared" si="40"/>
        <v>...</v>
      </c>
      <c r="AJ115" s="2"/>
      <c r="AK115" s="2"/>
      <c r="AL115" s="2"/>
      <c r="AM115" s="2"/>
      <c r="AN115" s="2"/>
      <c r="AO115" s="2"/>
    </row>
    <row r="116" ht="24.0" customHeight="1">
      <c r="A116" s="4"/>
      <c r="B116" s="30"/>
      <c r="C116" s="5" t="str">
        <f>IFERROR(__xludf.DUMMYFUNCTION("if(B116=0,""..."", sparkline(query(GOOGLEFINANCE(""BCBA:""&amp;B116,""price"",today()-$AM$47,today()),""select Col2"",0),{""charttype"",$AM$46}))"),"...")</f>
        <v>...</v>
      </c>
      <c r="D116" s="17"/>
      <c r="E116" s="31"/>
      <c r="F116" s="7"/>
      <c r="G116" s="8" t="str">
        <f t="shared" si="1"/>
        <v>...</v>
      </c>
      <c r="H116" s="31"/>
      <c r="I116" s="52"/>
      <c r="J116" s="45" t="str">
        <f t="shared" si="2"/>
        <v>...</v>
      </c>
      <c r="K116" s="47" t="str">
        <f t="array" ref="K116">IF(B116=0,"...",J116/VLOOKUP(D116,{CCL!M:N;CCL!$P:$Q},2,FALSE))</f>
        <v>...</v>
      </c>
      <c r="L116" s="45" t="str">
        <f t="shared" si="41"/>
        <v>...</v>
      </c>
      <c r="M116" s="45" t="str">
        <f>if(B116=0,"...",L116*(1-VLOOKUP(A116,Config!$B$3:$C$22,2,FALSE)))</f>
        <v>...</v>
      </c>
      <c r="N116" s="45" t="str">
        <f t="shared" si="3"/>
        <v>...</v>
      </c>
      <c r="O116" s="12" t="str">
        <f>IFERROR(__xludf.DUMMYFUNCTION("if(B116=0,""..."",GOOGLEFINANCE(B116,""changepct"")/100)"),"...")</f>
        <v>...</v>
      </c>
      <c r="P116" s="10" t="str">
        <f>IFERROR(__xludf.DUMMYFUNCTION("if(B116=0,""..."",GOOGLEFINANCE(B116,""change"")*H116)"),"...")</f>
        <v>...</v>
      </c>
      <c r="Q116" s="12" t="str">
        <f t="shared" si="4"/>
        <v>...</v>
      </c>
      <c r="R116" s="47" t="str">
        <f t="shared" si="5"/>
        <v>...</v>
      </c>
      <c r="S116" s="12" t="str">
        <f t="shared" si="36"/>
        <v>...</v>
      </c>
      <c r="T116" s="47" t="str">
        <f>IF(B116=0,"...",(N116/IF(E116="ABIERTA",CCL!$E$2,VLOOKUP(F116,CCL!$A$12:$B$773,2,FALSE))-K116))</f>
        <v>...</v>
      </c>
      <c r="U116" s="2"/>
      <c r="V116" s="10"/>
      <c r="W116" s="10"/>
      <c r="X116" s="59" t="str">
        <f t="shared" si="29"/>
        <v>...</v>
      </c>
      <c r="Y116" s="45" t="str">
        <f>IFERROR(__xludf.DUMMYFUNCTION("IF(W116=0,""..."",GOOGLEFINANCE(""BCBA:""&amp;W116))"),"...")</f>
        <v>...</v>
      </c>
      <c r="Z116" s="12"/>
      <c r="AA116" s="45"/>
      <c r="AB116" s="12" t="str">
        <f t="shared" si="26"/>
        <v/>
      </c>
      <c r="AC116" s="45" t="str">
        <f t="shared" si="37"/>
        <v>...</v>
      </c>
      <c r="AD116" s="45" t="str">
        <f t="shared" si="38"/>
        <v>...</v>
      </c>
      <c r="AE116" s="12" t="str">
        <f t="shared" si="11"/>
        <v>...</v>
      </c>
      <c r="AF116" s="45" t="str">
        <f t="shared" si="39"/>
        <v>...</v>
      </c>
      <c r="AG116" s="45" t="str">
        <f t="shared" si="27"/>
        <v>...</v>
      </c>
      <c r="AH116" s="12" t="str">
        <f t="shared" si="13"/>
        <v>...</v>
      </c>
      <c r="AI116" s="46" t="str">
        <f t="shared" si="40"/>
        <v>...</v>
      </c>
      <c r="AJ116" s="2"/>
      <c r="AK116" s="2"/>
      <c r="AL116" s="2"/>
      <c r="AM116" s="2"/>
      <c r="AN116" s="2"/>
      <c r="AO116" s="2"/>
    </row>
    <row r="117" ht="24.0" customHeight="1">
      <c r="A117" s="4"/>
      <c r="B117" s="30"/>
      <c r="C117" s="5" t="str">
        <f>IFERROR(__xludf.DUMMYFUNCTION("if(B117=0,""..."", sparkline(query(GOOGLEFINANCE(""BCBA:""&amp;B117,""price"",today()-$AM$47,today()),""select Col2"",0),{""charttype"",$AM$46}))"),"...")</f>
        <v>...</v>
      </c>
      <c r="D117" s="17"/>
      <c r="E117" s="31"/>
      <c r="F117" s="7"/>
      <c r="G117" s="8" t="str">
        <f t="shared" si="1"/>
        <v>...</v>
      </c>
      <c r="H117" s="31"/>
      <c r="I117" s="52"/>
      <c r="J117" s="45" t="str">
        <f t="shared" si="2"/>
        <v>...</v>
      </c>
      <c r="K117" s="47" t="str">
        <f t="array" ref="K117">IF(B117=0,"...",J117/VLOOKUP(D117,{CCL!M:N;CCL!$P:$Q},2,FALSE))</f>
        <v>...</v>
      </c>
      <c r="L117" s="45" t="str">
        <f t="shared" si="41"/>
        <v>...</v>
      </c>
      <c r="M117" s="45" t="str">
        <f>if(B117=0,"...",L117*(1-VLOOKUP(A117,Config!$B$3:$C$22,2,FALSE)))</f>
        <v>...</v>
      </c>
      <c r="N117" s="45" t="str">
        <f t="shared" si="3"/>
        <v>...</v>
      </c>
      <c r="O117" s="12" t="str">
        <f>IFERROR(__xludf.DUMMYFUNCTION("if(B117=0,""..."",GOOGLEFINANCE(B117,""changepct"")/100)"),"...")</f>
        <v>...</v>
      </c>
      <c r="P117" s="10" t="str">
        <f>IFERROR(__xludf.DUMMYFUNCTION("if(B117=0,""..."",GOOGLEFINANCE(B117,""change"")*H117)"),"...")</f>
        <v>...</v>
      </c>
      <c r="Q117" s="12" t="str">
        <f t="shared" si="4"/>
        <v>...</v>
      </c>
      <c r="R117" s="47" t="str">
        <f t="shared" si="5"/>
        <v>...</v>
      </c>
      <c r="S117" s="12" t="str">
        <f t="shared" si="36"/>
        <v>...</v>
      </c>
      <c r="T117" s="47" t="str">
        <f>IF(B117=0,"...",(N117/IF(E117="ABIERTA",CCL!$E$2,VLOOKUP(F117,CCL!$A$12:$B$773,2,FALSE))-K117))</f>
        <v>...</v>
      </c>
      <c r="U117" s="2"/>
      <c r="V117" s="10"/>
      <c r="W117" s="10"/>
      <c r="X117" s="59" t="str">
        <f t="shared" si="29"/>
        <v>...</v>
      </c>
      <c r="Y117" s="45" t="str">
        <f>IFERROR(__xludf.DUMMYFUNCTION("IF(W117=0,""..."",GOOGLEFINANCE(""BCBA:""&amp;W117))"),"...")</f>
        <v>...</v>
      </c>
      <c r="Z117" s="12"/>
      <c r="AA117" s="45"/>
      <c r="AB117" s="12" t="str">
        <f t="shared" si="26"/>
        <v/>
      </c>
      <c r="AC117" s="45" t="str">
        <f t="shared" si="37"/>
        <v>...</v>
      </c>
      <c r="AD117" s="45" t="str">
        <f t="shared" si="38"/>
        <v>...</v>
      </c>
      <c r="AE117" s="12" t="str">
        <f t="shared" si="11"/>
        <v>...</v>
      </c>
      <c r="AF117" s="45" t="str">
        <f t="shared" si="39"/>
        <v>...</v>
      </c>
      <c r="AG117" s="45" t="str">
        <f t="shared" si="27"/>
        <v>...</v>
      </c>
      <c r="AH117" s="12" t="str">
        <f t="shared" si="13"/>
        <v>...</v>
      </c>
      <c r="AI117" s="46" t="str">
        <f t="shared" si="40"/>
        <v>...</v>
      </c>
      <c r="AJ117" s="2"/>
      <c r="AK117" s="2"/>
      <c r="AL117" s="2"/>
      <c r="AM117" s="2"/>
      <c r="AN117" s="2"/>
      <c r="AO117" s="2"/>
    </row>
    <row r="118" ht="24.0" customHeight="1">
      <c r="A118" s="4"/>
      <c r="B118" s="30"/>
      <c r="C118" s="5" t="str">
        <f>IFERROR(__xludf.DUMMYFUNCTION("if(B118=0,""..."", sparkline(query(GOOGLEFINANCE(""BCBA:""&amp;B118,""price"",today()-$AM$47,today()),""select Col2"",0),{""charttype"",$AM$46}))"),"...")</f>
        <v>...</v>
      </c>
      <c r="D118" s="17"/>
      <c r="E118" s="31"/>
      <c r="F118" s="7"/>
      <c r="G118" s="8" t="str">
        <f t="shared" si="1"/>
        <v>...</v>
      </c>
      <c r="H118" s="31"/>
      <c r="I118" s="52"/>
      <c r="J118" s="45" t="str">
        <f t="shared" si="2"/>
        <v>...</v>
      </c>
      <c r="K118" s="47" t="str">
        <f t="array" ref="K118">IF(B118=0,"...",J118/VLOOKUP(D118,{CCL!M:N;CCL!$P:$Q},2,FALSE))</f>
        <v>...</v>
      </c>
      <c r="L118" s="45" t="str">
        <f t="shared" si="41"/>
        <v>...</v>
      </c>
      <c r="M118" s="45" t="str">
        <f>if(B118=0,"...",L118*(1-VLOOKUP(A118,Config!$B$3:$C$22,2,FALSE)))</f>
        <v>...</v>
      </c>
      <c r="N118" s="45" t="str">
        <f t="shared" si="3"/>
        <v>...</v>
      </c>
      <c r="O118" s="12" t="str">
        <f>IFERROR(__xludf.DUMMYFUNCTION("if(B118=0,""..."",GOOGLEFINANCE(B118,""changepct"")/100)"),"...")</f>
        <v>...</v>
      </c>
      <c r="P118" s="10" t="str">
        <f>IFERROR(__xludf.DUMMYFUNCTION("if(B118=0,""..."",GOOGLEFINANCE(B118,""change"")*H118)"),"...")</f>
        <v>...</v>
      </c>
      <c r="Q118" s="12" t="str">
        <f t="shared" si="4"/>
        <v>...</v>
      </c>
      <c r="R118" s="47" t="str">
        <f t="shared" si="5"/>
        <v>...</v>
      </c>
      <c r="S118" s="12" t="str">
        <f t="shared" si="36"/>
        <v>...</v>
      </c>
      <c r="T118" s="47" t="str">
        <f>IF(B118=0,"...",(N118/IF(E118="ABIERTA",CCL!$E$2,VLOOKUP(F118,CCL!$A$12:$B$773,2,FALSE))-K118))</f>
        <v>...</v>
      </c>
      <c r="U118" s="2"/>
      <c r="V118" s="10"/>
      <c r="W118" s="10"/>
      <c r="X118" s="59" t="str">
        <f t="shared" si="29"/>
        <v>...</v>
      </c>
      <c r="Y118" s="45" t="str">
        <f>IFERROR(__xludf.DUMMYFUNCTION("IF(W118=0,""..."",GOOGLEFINANCE(""BCBA:""&amp;W118))"),"...")</f>
        <v>...</v>
      </c>
      <c r="Z118" s="12"/>
      <c r="AA118" s="45"/>
      <c r="AB118" s="12" t="str">
        <f t="shared" si="26"/>
        <v/>
      </c>
      <c r="AC118" s="45" t="str">
        <f t="shared" si="37"/>
        <v>...</v>
      </c>
      <c r="AD118" s="45" t="str">
        <f t="shared" si="38"/>
        <v>...</v>
      </c>
      <c r="AE118" s="12" t="str">
        <f t="shared" si="11"/>
        <v>...</v>
      </c>
      <c r="AF118" s="45" t="str">
        <f t="shared" si="39"/>
        <v>...</v>
      </c>
      <c r="AG118" s="45" t="str">
        <f t="shared" si="27"/>
        <v>...</v>
      </c>
      <c r="AH118" s="12" t="str">
        <f t="shared" si="13"/>
        <v>...</v>
      </c>
      <c r="AI118" s="46" t="str">
        <f t="shared" si="40"/>
        <v>...</v>
      </c>
      <c r="AJ118" s="2"/>
      <c r="AK118" s="2"/>
      <c r="AL118" s="2"/>
      <c r="AM118" s="2"/>
      <c r="AN118" s="2"/>
      <c r="AO118" s="2"/>
    </row>
    <row r="119" ht="24.0" customHeight="1">
      <c r="A119" s="4"/>
      <c r="B119" s="30"/>
      <c r="C119" s="5" t="str">
        <f>IFERROR(__xludf.DUMMYFUNCTION("if(B119=0,""..."", sparkline(query(GOOGLEFINANCE(""BCBA:""&amp;B119,""price"",today()-$AM$47,today()),""select Col2"",0),{""charttype"",$AM$46}))"),"...")</f>
        <v>...</v>
      </c>
      <c r="D119" s="17"/>
      <c r="E119" s="31"/>
      <c r="F119" s="7"/>
      <c r="G119" s="8" t="str">
        <f t="shared" si="1"/>
        <v>...</v>
      </c>
      <c r="H119" s="31"/>
      <c r="I119" s="52"/>
      <c r="J119" s="45" t="str">
        <f t="shared" si="2"/>
        <v>...</v>
      </c>
      <c r="K119" s="47" t="str">
        <f t="array" ref="K119">IF(B119=0,"...",J119/VLOOKUP(D119,{CCL!M:N;CCL!$P:$Q},2,FALSE))</f>
        <v>...</v>
      </c>
      <c r="L119" s="45" t="str">
        <f t="shared" si="41"/>
        <v>...</v>
      </c>
      <c r="M119" s="45" t="str">
        <f>if(B119=0,"...",L119*(1-VLOOKUP(A119,Config!$B$3:$C$22,2,FALSE)))</f>
        <v>...</v>
      </c>
      <c r="N119" s="45" t="str">
        <f t="shared" si="3"/>
        <v>...</v>
      </c>
      <c r="O119" s="12" t="str">
        <f>IFERROR(__xludf.DUMMYFUNCTION("if(B119=0,""..."",GOOGLEFINANCE(B119,""changepct"")/100)"),"...")</f>
        <v>...</v>
      </c>
      <c r="P119" s="10" t="str">
        <f>IFERROR(__xludf.DUMMYFUNCTION("if(B119=0,""..."",GOOGLEFINANCE(B119,""change"")*H119)"),"...")</f>
        <v>...</v>
      </c>
      <c r="Q119" s="12" t="str">
        <f t="shared" si="4"/>
        <v>...</v>
      </c>
      <c r="R119" s="47" t="str">
        <f t="shared" si="5"/>
        <v>...</v>
      </c>
      <c r="S119" s="12" t="str">
        <f t="shared" si="36"/>
        <v>...</v>
      </c>
      <c r="T119" s="47" t="str">
        <f>IF(B119=0,"...",(N119/IF(E119="ABIERTA",CCL!$E$2,VLOOKUP(F119,CCL!$A$12:$B$773,2,FALSE))-K119))</f>
        <v>...</v>
      </c>
      <c r="U119" s="2"/>
      <c r="V119" s="10"/>
      <c r="W119" s="10"/>
      <c r="X119" s="59" t="str">
        <f t="shared" si="29"/>
        <v>...</v>
      </c>
      <c r="Y119" s="45" t="str">
        <f>IFERROR(__xludf.DUMMYFUNCTION("IF(W119=0,""..."",GOOGLEFINANCE(""BCBA:""&amp;W119))"),"...")</f>
        <v>...</v>
      </c>
      <c r="Z119" s="12"/>
      <c r="AA119" s="45"/>
      <c r="AB119" s="12" t="str">
        <f t="shared" si="26"/>
        <v/>
      </c>
      <c r="AC119" s="45" t="str">
        <f t="shared" si="37"/>
        <v>...</v>
      </c>
      <c r="AD119" s="45" t="str">
        <f t="shared" si="38"/>
        <v>...</v>
      </c>
      <c r="AE119" s="12" t="str">
        <f t="shared" si="11"/>
        <v>...</v>
      </c>
      <c r="AF119" s="45" t="str">
        <f t="shared" si="39"/>
        <v>...</v>
      </c>
      <c r="AG119" s="45" t="str">
        <f t="shared" si="27"/>
        <v>...</v>
      </c>
      <c r="AH119" s="12" t="str">
        <f t="shared" si="13"/>
        <v>...</v>
      </c>
      <c r="AI119" s="46" t="str">
        <f t="shared" si="40"/>
        <v>...</v>
      </c>
      <c r="AJ119" s="2"/>
      <c r="AK119" s="2"/>
      <c r="AL119" s="2"/>
      <c r="AM119" s="2"/>
      <c r="AN119" s="2"/>
      <c r="AO119" s="2"/>
    </row>
    <row r="120" ht="24.0" customHeight="1">
      <c r="A120" s="4"/>
      <c r="B120" s="30"/>
      <c r="C120" s="5" t="str">
        <f>IFERROR(__xludf.DUMMYFUNCTION("if(B120=0,""..."", sparkline(query(GOOGLEFINANCE(""BCBA:""&amp;B120,""price"",today()-$AM$47,today()),""select Col2"",0),{""charttype"",$AM$46}))"),"...")</f>
        <v>...</v>
      </c>
      <c r="D120" s="17"/>
      <c r="E120" s="31"/>
      <c r="F120" s="7"/>
      <c r="G120" s="8" t="str">
        <f t="shared" si="1"/>
        <v>...</v>
      </c>
      <c r="H120" s="31"/>
      <c r="I120" s="52"/>
      <c r="J120" s="45" t="str">
        <f t="shared" si="2"/>
        <v>...</v>
      </c>
      <c r="K120" s="47" t="str">
        <f t="array" ref="K120">IF(B120=0,"...",J120/VLOOKUP(D120,{CCL!M:N;CCL!$P:$Q},2,FALSE))</f>
        <v>...</v>
      </c>
      <c r="L120" s="45" t="str">
        <f t="shared" si="41"/>
        <v>...</v>
      </c>
      <c r="M120" s="45" t="str">
        <f>if(B120=0,"...",L120*(1-VLOOKUP(A120,Config!$B$3:$C$22,2,FALSE)))</f>
        <v>...</v>
      </c>
      <c r="N120" s="45" t="str">
        <f t="shared" si="3"/>
        <v>...</v>
      </c>
      <c r="O120" s="12" t="str">
        <f>IFERROR(__xludf.DUMMYFUNCTION("if(B120=0,""..."",GOOGLEFINANCE(B120,""changepct"")/100)"),"...")</f>
        <v>...</v>
      </c>
      <c r="P120" s="10" t="str">
        <f>IFERROR(__xludf.DUMMYFUNCTION("if(B120=0,""..."",GOOGLEFINANCE(B120,""change"")*H120)"),"...")</f>
        <v>...</v>
      </c>
      <c r="Q120" s="12" t="str">
        <f t="shared" si="4"/>
        <v>...</v>
      </c>
      <c r="R120" s="47" t="str">
        <f t="shared" si="5"/>
        <v>...</v>
      </c>
      <c r="S120" s="12" t="str">
        <f t="shared" si="36"/>
        <v>...</v>
      </c>
      <c r="T120" s="47" t="str">
        <f>IF(B120=0,"...",(N120/IF(E120="ABIERTA",CCL!$E$2,VLOOKUP(F120,CCL!$A$12:$B$773,2,FALSE))-K120))</f>
        <v>...</v>
      </c>
      <c r="U120" s="2"/>
      <c r="V120" s="10"/>
      <c r="W120" s="10"/>
      <c r="X120" s="59" t="str">
        <f t="shared" si="29"/>
        <v>...</v>
      </c>
      <c r="Y120" s="45" t="str">
        <f>IFERROR(__xludf.DUMMYFUNCTION("IF(W120=0,""..."",GOOGLEFINANCE(""BCBA:""&amp;W120))"),"...")</f>
        <v>...</v>
      </c>
      <c r="Z120" s="12"/>
      <c r="AA120" s="45"/>
      <c r="AB120" s="12" t="str">
        <f t="shared" si="26"/>
        <v/>
      </c>
      <c r="AC120" s="45" t="str">
        <f t="shared" si="37"/>
        <v>...</v>
      </c>
      <c r="AD120" s="45" t="str">
        <f t="shared" si="38"/>
        <v>...</v>
      </c>
      <c r="AE120" s="12" t="str">
        <f t="shared" si="11"/>
        <v>...</v>
      </c>
      <c r="AF120" s="45" t="str">
        <f t="shared" si="39"/>
        <v>...</v>
      </c>
      <c r="AG120" s="45" t="str">
        <f t="shared" si="27"/>
        <v>...</v>
      </c>
      <c r="AH120" s="12" t="str">
        <f t="shared" si="13"/>
        <v>...</v>
      </c>
      <c r="AI120" s="46" t="str">
        <f t="shared" si="40"/>
        <v>...</v>
      </c>
      <c r="AJ120" s="2"/>
      <c r="AK120" s="2"/>
      <c r="AL120" s="2"/>
      <c r="AM120" s="2"/>
      <c r="AN120" s="2"/>
      <c r="AO120" s="2"/>
    </row>
    <row r="121" ht="24.0" customHeight="1">
      <c r="A121" s="4"/>
      <c r="B121" s="30"/>
      <c r="C121" s="5" t="str">
        <f>IFERROR(__xludf.DUMMYFUNCTION("if(B121=0,""..."", sparkline(query(GOOGLEFINANCE(""BCBA:""&amp;B121,""price"",today()-$AM$47,today()),""select Col2"",0),{""charttype"",$AM$46}))"),"...")</f>
        <v>...</v>
      </c>
      <c r="D121" s="17"/>
      <c r="E121" s="31"/>
      <c r="F121" s="7"/>
      <c r="G121" s="8" t="str">
        <f t="shared" si="1"/>
        <v>...</v>
      </c>
      <c r="H121" s="31"/>
      <c r="I121" s="52"/>
      <c r="J121" s="45" t="str">
        <f t="shared" si="2"/>
        <v>...</v>
      </c>
      <c r="K121" s="47" t="str">
        <f t="array" ref="K121">IF(B121=0,"...",J121/VLOOKUP(D121,{CCL!M:N;CCL!$P:$Q},2,FALSE))</f>
        <v>...</v>
      </c>
      <c r="L121" s="45" t="str">
        <f t="shared" si="41"/>
        <v>...</v>
      </c>
      <c r="M121" s="45" t="str">
        <f>if(B121=0,"...",L121*(1-VLOOKUP(A121,Config!$B$3:$C$22,2,FALSE)))</f>
        <v>...</v>
      </c>
      <c r="N121" s="45" t="str">
        <f t="shared" si="3"/>
        <v>...</v>
      </c>
      <c r="O121" s="12" t="str">
        <f>IFERROR(__xludf.DUMMYFUNCTION("if(B121=0,""..."",GOOGLEFINANCE(B121,""changepct"")/100)"),"...")</f>
        <v>...</v>
      </c>
      <c r="P121" s="10" t="str">
        <f>IFERROR(__xludf.DUMMYFUNCTION("if(B121=0,""..."",GOOGLEFINANCE(B121,""change"")*H121)"),"...")</f>
        <v>...</v>
      </c>
      <c r="Q121" s="12" t="str">
        <f t="shared" si="4"/>
        <v>...</v>
      </c>
      <c r="R121" s="47" t="str">
        <f t="shared" si="5"/>
        <v>...</v>
      </c>
      <c r="S121" s="12" t="str">
        <f t="shared" si="36"/>
        <v>...</v>
      </c>
      <c r="T121" s="47" t="str">
        <f>IF(B121=0,"...",(N121/IF(E121="ABIERTA",CCL!$E$2,VLOOKUP(F121,CCL!$A$12:$B$773,2,FALSE))-K121))</f>
        <v>...</v>
      </c>
      <c r="U121" s="2"/>
      <c r="V121" s="10"/>
      <c r="W121" s="10"/>
      <c r="X121" s="59" t="str">
        <f t="shared" si="29"/>
        <v>...</v>
      </c>
      <c r="Y121" s="45" t="str">
        <f>IFERROR(__xludf.DUMMYFUNCTION("IF(W121=0,""..."",GOOGLEFINANCE(""BCBA:""&amp;W121))"),"...")</f>
        <v>...</v>
      </c>
      <c r="Z121" s="12"/>
      <c r="AA121" s="45"/>
      <c r="AB121" s="12" t="str">
        <f t="shared" si="26"/>
        <v/>
      </c>
      <c r="AC121" s="45" t="str">
        <f t="shared" si="37"/>
        <v>...</v>
      </c>
      <c r="AD121" s="45" t="str">
        <f t="shared" si="38"/>
        <v>...</v>
      </c>
      <c r="AE121" s="12" t="str">
        <f t="shared" si="11"/>
        <v>...</v>
      </c>
      <c r="AF121" s="45" t="str">
        <f t="shared" si="39"/>
        <v>...</v>
      </c>
      <c r="AG121" s="45" t="str">
        <f t="shared" si="27"/>
        <v>...</v>
      </c>
      <c r="AH121" s="12" t="str">
        <f t="shared" si="13"/>
        <v>...</v>
      </c>
      <c r="AI121" s="46" t="str">
        <f t="shared" si="40"/>
        <v>...</v>
      </c>
      <c r="AJ121" s="2"/>
      <c r="AK121" s="2"/>
      <c r="AL121" s="2"/>
      <c r="AM121" s="2"/>
      <c r="AN121" s="2"/>
      <c r="AO121" s="2"/>
    </row>
    <row r="122" ht="24.0" customHeight="1">
      <c r="A122" s="4"/>
      <c r="B122" s="30"/>
      <c r="C122" s="5" t="str">
        <f>IFERROR(__xludf.DUMMYFUNCTION("if(B122=0,""..."", sparkline(query(GOOGLEFINANCE(""BCBA:""&amp;B122,""price"",today()-$AM$47,today()),""select Col2"",0),{""charttype"",$AM$46}))"),"...")</f>
        <v>...</v>
      </c>
      <c r="D122" s="17"/>
      <c r="E122" s="31"/>
      <c r="F122" s="7"/>
      <c r="G122" s="8" t="str">
        <f t="shared" si="1"/>
        <v>...</v>
      </c>
      <c r="H122" s="31"/>
      <c r="I122" s="52"/>
      <c r="J122" s="45" t="str">
        <f t="shared" si="2"/>
        <v>...</v>
      </c>
      <c r="K122" s="47" t="str">
        <f t="array" ref="K122">IF(B122=0,"...",J122/VLOOKUP(D122,{CCL!M:N;CCL!$P:$Q},2,FALSE))</f>
        <v>...</v>
      </c>
      <c r="L122" s="45" t="str">
        <f t="shared" si="41"/>
        <v>...</v>
      </c>
      <c r="M122" s="45" t="str">
        <f>if(B122=0,"...",L122*(1-VLOOKUP(A122,Config!$B$3:$C$22,2,FALSE)))</f>
        <v>...</v>
      </c>
      <c r="N122" s="45" t="str">
        <f t="shared" si="3"/>
        <v>...</v>
      </c>
      <c r="O122" s="12" t="str">
        <f>IFERROR(__xludf.DUMMYFUNCTION("if(B122=0,""..."",GOOGLEFINANCE(B122,""changepct"")/100)"),"...")</f>
        <v>...</v>
      </c>
      <c r="P122" s="10" t="str">
        <f>IFERROR(__xludf.DUMMYFUNCTION("if(B122=0,""..."",GOOGLEFINANCE(B122,""change"")*H122)"),"...")</f>
        <v>...</v>
      </c>
      <c r="Q122" s="12" t="str">
        <f t="shared" si="4"/>
        <v>...</v>
      </c>
      <c r="R122" s="47" t="str">
        <f t="shared" si="5"/>
        <v>...</v>
      </c>
      <c r="S122" s="12" t="str">
        <f t="shared" si="36"/>
        <v>...</v>
      </c>
      <c r="T122" s="47" t="str">
        <f>IF(B122=0,"...",(N122/IF(E122="ABIERTA",CCL!$E$2,VLOOKUP(F122,CCL!$A$12:$B$773,2,FALSE))-K122))</f>
        <v>...</v>
      </c>
      <c r="U122" s="2"/>
      <c r="V122" s="10"/>
      <c r="W122" s="10"/>
      <c r="X122" s="59" t="str">
        <f t="shared" si="29"/>
        <v>...</v>
      </c>
      <c r="Y122" s="45" t="str">
        <f>IFERROR(__xludf.DUMMYFUNCTION("IF(W122=0,""..."",GOOGLEFINANCE(""BCBA:""&amp;W122))"),"...")</f>
        <v>...</v>
      </c>
      <c r="Z122" s="12"/>
      <c r="AA122" s="45"/>
      <c r="AB122" s="12" t="str">
        <f t="shared" si="26"/>
        <v/>
      </c>
      <c r="AC122" s="45" t="str">
        <f t="shared" si="37"/>
        <v>...</v>
      </c>
      <c r="AD122" s="45" t="str">
        <f t="shared" si="38"/>
        <v>...</v>
      </c>
      <c r="AE122" s="12" t="str">
        <f t="shared" si="11"/>
        <v>...</v>
      </c>
      <c r="AF122" s="45" t="str">
        <f t="shared" si="39"/>
        <v>...</v>
      </c>
      <c r="AG122" s="45" t="str">
        <f t="shared" si="27"/>
        <v>...</v>
      </c>
      <c r="AH122" s="12" t="str">
        <f t="shared" si="13"/>
        <v>...</v>
      </c>
      <c r="AI122" s="46" t="str">
        <f t="shared" si="40"/>
        <v>...</v>
      </c>
      <c r="AJ122" s="2"/>
      <c r="AK122" s="2"/>
      <c r="AL122" s="2"/>
      <c r="AM122" s="2"/>
      <c r="AN122" s="2"/>
      <c r="AO122" s="2"/>
    </row>
    <row r="123" ht="24.0" customHeight="1">
      <c r="A123" s="4"/>
      <c r="B123" s="30"/>
      <c r="C123" s="5" t="str">
        <f>IFERROR(__xludf.DUMMYFUNCTION("if(B123=0,""..."", sparkline(query(GOOGLEFINANCE(""BCBA:""&amp;B123,""price"",today()-$AM$47,today()),""select Col2"",0),{""charttype"",$AM$46}))"),"...")</f>
        <v>...</v>
      </c>
      <c r="D123" s="17"/>
      <c r="E123" s="31"/>
      <c r="F123" s="7"/>
      <c r="G123" s="8" t="str">
        <f t="shared" si="1"/>
        <v>...</v>
      </c>
      <c r="H123" s="31"/>
      <c r="I123" s="52"/>
      <c r="J123" s="45" t="str">
        <f t="shared" si="2"/>
        <v>...</v>
      </c>
      <c r="K123" s="47" t="str">
        <f t="array" ref="K123">IF(B123=0,"...",J123/VLOOKUP(D123,{CCL!M:N;CCL!$P:$Q},2,FALSE))</f>
        <v>...</v>
      </c>
      <c r="L123" s="45" t="str">
        <f t="shared" si="41"/>
        <v>...</v>
      </c>
      <c r="M123" s="45" t="str">
        <f>if(B123=0,"...",L123*(1-VLOOKUP(A123,Config!$B$3:$C$22,2,FALSE)))</f>
        <v>...</v>
      </c>
      <c r="N123" s="45" t="str">
        <f t="shared" si="3"/>
        <v>...</v>
      </c>
      <c r="O123" s="12" t="str">
        <f>IFERROR(__xludf.DUMMYFUNCTION("if(B123=0,""..."",GOOGLEFINANCE(B123,""changepct"")/100)"),"...")</f>
        <v>...</v>
      </c>
      <c r="P123" s="10" t="str">
        <f>IFERROR(__xludf.DUMMYFUNCTION("if(B123=0,""..."",GOOGLEFINANCE(B123,""change"")*H123)"),"...")</f>
        <v>...</v>
      </c>
      <c r="Q123" s="12" t="str">
        <f t="shared" si="4"/>
        <v>...</v>
      </c>
      <c r="R123" s="47" t="str">
        <f t="shared" si="5"/>
        <v>...</v>
      </c>
      <c r="S123" s="12" t="str">
        <f t="shared" si="36"/>
        <v>...</v>
      </c>
      <c r="T123" s="47" t="str">
        <f>IF(B123=0,"...",(N123/IF(E123="ABIERTA",CCL!$E$2,VLOOKUP(F123,CCL!$A$12:$B$773,2,FALSE))-K123))</f>
        <v>...</v>
      </c>
      <c r="U123" s="2"/>
      <c r="V123" s="10"/>
      <c r="W123" s="10"/>
      <c r="X123" s="59" t="str">
        <f t="shared" si="29"/>
        <v>...</v>
      </c>
      <c r="Y123" s="45" t="str">
        <f>IFERROR(__xludf.DUMMYFUNCTION("IF(W123=0,""..."",GOOGLEFINANCE(""BCBA:""&amp;W123))"),"...")</f>
        <v>...</v>
      </c>
      <c r="Z123" s="12"/>
      <c r="AA123" s="45"/>
      <c r="AB123" s="12" t="str">
        <f t="shared" si="26"/>
        <v/>
      </c>
      <c r="AC123" s="45" t="str">
        <f t="shared" si="37"/>
        <v>...</v>
      </c>
      <c r="AD123" s="45" t="str">
        <f t="shared" si="38"/>
        <v>...</v>
      </c>
      <c r="AE123" s="12" t="str">
        <f t="shared" si="11"/>
        <v>...</v>
      </c>
      <c r="AF123" s="45" t="str">
        <f t="shared" si="39"/>
        <v>...</v>
      </c>
      <c r="AG123" s="45" t="str">
        <f t="shared" si="27"/>
        <v>...</v>
      </c>
      <c r="AH123" s="12" t="str">
        <f t="shared" si="13"/>
        <v>...</v>
      </c>
      <c r="AI123" s="46" t="str">
        <f t="shared" si="40"/>
        <v>...</v>
      </c>
      <c r="AJ123" s="2"/>
      <c r="AK123" s="2"/>
      <c r="AL123" s="2"/>
      <c r="AM123" s="2"/>
      <c r="AN123" s="2"/>
      <c r="AO123" s="2"/>
    </row>
    <row r="124" ht="24.0" customHeight="1">
      <c r="A124" s="4"/>
      <c r="B124" s="30"/>
      <c r="C124" s="5" t="str">
        <f>IFERROR(__xludf.DUMMYFUNCTION("if(B124=0,""..."", sparkline(query(GOOGLEFINANCE(""BCBA:""&amp;B124,""price"",today()-$AM$47,today()),""select Col2"",0),{""charttype"",$AM$46}))"),"...")</f>
        <v>...</v>
      </c>
      <c r="D124" s="17"/>
      <c r="E124" s="31"/>
      <c r="F124" s="7"/>
      <c r="G124" s="8" t="str">
        <f t="shared" si="1"/>
        <v>...</v>
      </c>
      <c r="H124" s="31"/>
      <c r="I124" s="52"/>
      <c r="J124" s="45" t="str">
        <f t="shared" si="2"/>
        <v>...</v>
      </c>
      <c r="K124" s="47" t="str">
        <f t="array" ref="K124">IF(B124=0,"...",J124/VLOOKUP(D124,{CCL!M:N;CCL!$P:$Q},2,FALSE))</f>
        <v>...</v>
      </c>
      <c r="L124" s="45" t="str">
        <f t="shared" si="41"/>
        <v>...</v>
      </c>
      <c r="M124" s="45" t="str">
        <f>if(B124=0,"...",L124*(1-VLOOKUP(A124,Config!$B$3:$C$22,2,FALSE)))</f>
        <v>...</v>
      </c>
      <c r="N124" s="45" t="str">
        <f t="shared" si="3"/>
        <v>...</v>
      </c>
      <c r="O124" s="12" t="str">
        <f>IFERROR(__xludf.DUMMYFUNCTION("if(B124=0,""..."",GOOGLEFINANCE(B124,""changepct"")/100)"),"...")</f>
        <v>...</v>
      </c>
      <c r="P124" s="10" t="str">
        <f>IFERROR(__xludf.DUMMYFUNCTION("if(B124=0,""..."",GOOGLEFINANCE(B124,""change"")*H124)"),"...")</f>
        <v>...</v>
      </c>
      <c r="Q124" s="12" t="str">
        <f t="shared" si="4"/>
        <v>...</v>
      </c>
      <c r="R124" s="47" t="str">
        <f t="shared" si="5"/>
        <v>...</v>
      </c>
      <c r="S124" s="12" t="str">
        <f t="shared" si="36"/>
        <v>...</v>
      </c>
      <c r="T124" s="47" t="str">
        <f>IF(B124=0,"...",(N124/IF(E124="ABIERTA",CCL!$E$2,VLOOKUP(F124,CCL!$A$12:$B$773,2,FALSE))-K124))</f>
        <v>...</v>
      </c>
      <c r="U124" s="2"/>
      <c r="V124" s="10"/>
      <c r="W124" s="10"/>
      <c r="X124" s="59" t="str">
        <f t="shared" si="29"/>
        <v>...</v>
      </c>
      <c r="Y124" s="45" t="str">
        <f>IFERROR(__xludf.DUMMYFUNCTION("IF(W124=0,""..."",GOOGLEFINANCE(""BCBA:""&amp;W124))"),"...")</f>
        <v>...</v>
      </c>
      <c r="Z124" s="12"/>
      <c r="AA124" s="45"/>
      <c r="AB124" s="12" t="str">
        <f t="shared" si="26"/>
        <v/>
      </c>
      <c r="AC124" s="45" t="str">
        <f t="shared" si="37"/>
        <v>...</v>
      </c>
      <c r="AD124" s="45" t="str">
        <f t="shared" si="38"/>
        <v>...</v>
      </c>
      <c r="AE124" s="12" t="str">
        <f t="shared" si="11"/>
        <v>...</v>
      </c>
      <c r="AF124" s="45" t="str">
        <f t="shared" si="39"/>
        <v>...</v>
      </c>
      <c r="AG124" s="45" t="str">
        <f t="shared" si="27"/>
        <v>...</v>
      </c>
      <c r="AH124" s="12" t="str">
        <f t="shared" si="13"/>
        <v>...</v>
      </c>
      <c r="AI124" s="46" t="str">
        <f t="shared" si="40"/>
        <v>...</v>
      </c>
      <c r="AJ124" s="2"/>
      <c r="AK124" s="2"/>
      <c r="AL124" s="2"/>
      <c r="AM124" s="2"/>
      <c r="AN124" s="2"/>
      <c r="AO124" s="2"/>
    </row>
    <row r="125" ht="24.0" customHeight="1">
      <c r="A125" s="4"/>
      <c r="B125" s="30"/>
      <c r="C125" s="5" t="str">
        <f>IFERROR(__xludf.DUMMYFUNCTION("if(B125=0,""..."", sparkline(query(GOOGLEFINANCE(""BCBA:""&amp;B125,""price"",today()-$AM$47,today()),""select Col2"",0),{""charttype"",$AM$46}))"),"...")</f>
        <v>...</v>
      </c>
      <c r="D125" s="17"/>
      <c r="E125" s="31"/>
      <c r="F125" s="7"/>
      <c r="G125" s="8" t="str">
        <f t="shared" si="1"/>
        <v>...</v>
      </c>
      <c r="H125" s="31"/>
      <c r="I125" s="52"/>
      <c r="J125" s="45" t="str">
        <f t="shared" si="2"/>
        <v>...</v>
      </c>
      <c r="K125" s="47" t="str">
        <f t="array" ref="K125">IF(B125=0,"...",J125/VLOOKUP(D125,{CCL!M:N;CCL!$P:$Q},2,FALSE))</f>
        <v>...</v>
      </c>
      <c r="L125" s="45" t="str">
        <f t="shared" si="41"/>
        <v>...</v>
      </c>
      <c r="M125" s="45" t="str">
        <f>if(B125=0,"...",L125*(1-VLOOKUP(A125,Config!$B$3:$C$22,2,FALSE)))</f>
        <v>...</v>
      </c>
      <c r="N125" s="45" t="str">
        <f t="shared" si="3"/>
        <v>...</v>
      </c>
      <c r="O125" s="12" t="str">
        <f>IFERROR(__xludf.DUMMYFUNCTION("if(B125=0,""..."",GOOGLEFINANCE(B125,""changepct"")/100)"),"...")</f>
        <v>...</v>
      </c>
      <c r="P125" s="10" t="str">
        <f>IFERROR(__xludf.DUMMYFUNCTION("if(B125=0,""..."",GOOGLEFINANCE(B125,""change"")*H125)"),"...")</f>
        <v>...</v>
      </c>
      <c r="Q125" s="12" t="str">
        <f t="shared" si="4"/>
        <v>...</v>
      </c>
      <c r="R125" s="47" t="str">
        <f t="shared" si="5"/>
        <v>...</v>
      </c>
      <c r="S125" s="12" t="str">
        <f t="shared" si="36"/>
        <v>...</v>
      </c>
      <c r="T125" s="47" t="str">
        <f>IF(B125=0,"...",(N125/IF(E125="ABIERTA",CCL!$E$2,VLOOKUP(F125,CCL!$A$12:$B$773,2,FALSE))-K125))</f>
        <v>...</v>
      </c>
      <c r="U125" s="2"/>
      <c r="V125" s="10"/>
      <c r="W125" s="10"/>
      <c r="X125" s="59" t="str">
        <f t="shared" si="29"/>
        <v>...</v>
      </c>
      <c r="Y125" s="45" t="str">
        <f>IFERROR(__xludf.DUMMYFUNCTION("IF(W125=0,""..."",GOOGLEFINANCE(""BCBA:""&amp;W125))"),"...")</f>
        <v>...</v>
      </c>
      <c r="Z125" s="12"/>
      <c r="AA125" s="45"/>
      <c r="AB125" s="12" t="str">
        <f t="shared" si="26"/>
        <v/>
      </c>
      <c r="AC125" s="45" t="str">
        <f t="shared" si="37"/>
        <v>...</v>
      </c>
      <c r="AD125" s="45" t="str">
        <f t="shared" si="38"/>
        <v>...</v>
      </c>
      <c r="AE125" s="12" t="str">
        <f t="shared" si="11"/>
        <v>...</v>
      </c>
      <c r="AF125" s="45" t="str">
        <f t="shared" si="39"/>
        <v>...</v>
      </c>
      <c r="AG125" s="45" t="str">
        <f t="shared" si="27"/>
        <v>...</v>
      </c>
      <c r="AH125" s="12" t="str">
        <f t="shared" si="13"/>
        <v>...</v>
      </c>
      <c r="AI125" s="46" t="str">
        <f t="shared" si="40"/>
        <v>...</v>
      </c>
      <c r="AJ125" s="2"/>
      <c r="AK125" s="2"/>
      <c r="AL125" s="2"/>
      <c r="AM125" s="2"/>
      <c r="AN125" s="2"/>
      <c r="AO125" s="2"/>
    </row>
    <row r="126" ht="24.0" customHeight="1">
      <c r="A126" s="4"/>
      <c r="B126" s="30"/>
      <c r="C126" s="5" t="str">
        <f>IFERROR(__xludf.DUMMYFUNCTION("if(B126=0,""..."", sparkline(query(GOOGLEFINANCE(""BCBA:""&amp;B126,""price"",today()-$AM$47,today()),""select Col2"",0),{""charttype"",$AM$46}))"),"...")</f>
        <v>...</v>
      </c>
      <c r="D126" s="17"/>
      <c r="E126" s="31"/>
      <c r="F126" s="7"/>
      <c r="G126" s="8" t="str">
        <f t="shared" si="1"/>
        <v>...</v>
      </c>
      <c r="H126" s="31"/>
      <c r="I126" s="52"/>
      <c r="J126" s="45" t="str">
        <f t="shared" si="2"/>
        <v>...</v>
      </c>
      <c r="K126" s="47" t="str">
        <f t="array" ref="K126">IF(B126=0,"...",J126/VLOOKUP(D126,{CCL!M:N;CCL!$P:$Q},2,FALSE))</f>
        <v>...</v>
      </c>
      <c r="L126" s="45" t="str">
        <f t="shared" si="41"/>
        <v>...</v>
      </c>
      <c r="M126" s="45" t="str">
        <f>if(B126=0,"...",L126*(1-VLOOKUP(A126,Config!$B$3:$C$22,2,FALSE)))</f>
        <v>...</v>
      </c>
      <c r="N126" s="45" t="str">
        <f t="shared" si="3"/>
        <v>...</v>
      </c>
      <c r="O126" s="12" t="str">
        <f>IFERROR(__xludf.DUMMYFUNCTION("if(B126=0,""..."",GOOGLEFINANCE(B126,""changepct"")/100)"),"...")</f>
        <v>...</v>
      </c>
      <c r="P126" s="10" t="str">
        <f>IFERROR(__xludf.DUMMYFUNCTION("if(B126=0,""..."",GOOGLEFINANCE(B126,""change"")*H126)"),"...")</f>
        <v>...</v>
      </c>
      <c r="Q126" s="12" t="str">
        <f t="shared" si="4"/>
        <v>...</v>
      </c>
      <c r="R126" s="47" t="str">
        <f t="shared" si="5"/>
        <v>...</v>
      </c>
      <c r="S126" s="12" t="str">
        <f t="shared" si="36"/>
        <v>...</v>
      </c>
      <c r="T126" s="47" t="str">
        <f>IF(B126=0,"...",(N126/IF(E126="ABIERTA",CCL!$E$2,VLOOKUP(F126,CCL!$A$12:$B$773,2,FALSE))-K126))</f>
        <v>...</v>
      </c>
      <c r="U126" s="2"/>
      <c r="V126" s="10"/>
      <c r="W126" s="10"/>
      <c r="X126" s="59" t="str">
        <f t="shared" si="29"/>
        <v>...</v>
      </c>
      <c r="Y126" s="45" t="str">
        <f>IFERROR(__xludf.DUMMYFUNCTION("IF(W126=0,""..."",GOOGLEFINANCE(""BCBA:""&amp;W126))"),"...")</f>
        <v>...</v>
      </c>
      <c r="Z126" s="12"/>
      <c r="AA126" s="45"/>
      <c r="AB126" s="12" t="str">
        <f t="shared" si="26"/>
        <v/>
      </c>
      <c r="AC126" s="45" t="str">
        <f t="shared" si="37"/>
        <v>...</v>
      </c>
      <c r="AD126" s="45" t="str">
        <f t="shared" si="38"/>
        <v>...</v>
      </c>
      <c r="AE126" s="12" t="str">
        <f t="shared" si="11"/>
        <v>...</v>
      </c>
      <c r="AF126" s="45" t="str">
        <f t="shared" si="39"/>
        <v>...</v>
      </c>
      <c r="AG126" s="45" t="str">
        <f t="shared" si="27"/>
        <v>...</v>
      </c>
      <c r="AH126" s="12" t="str">
        <f t="shared" si="13"/>
        <v>...</v>
      </c>
      <c r="AI126" s="46" t="str">
        <f t="shared" si="40"/>
        <v>...</v>
      </c>
      <c r="AJ126" s="2"/>
      <c r="AK126" s="2"/>
      <c r="AL126" s="2"/>
      <c r="AM126" s="2"/>
      <c r="AN126" s="2"/>
      <c r="AO126" s="2"/>
    </row>
    <row r="127" ht="24.0" customHeight="1">
      <c r="A127" s="4"/>
      <c r="B127" s="30"/>
      <c r="C127" s="5" t="str">
        <f>IFERROR(__xludf.DUMMYFUNCTION("if(B127=0,""..."", sparkline(query(GOOGLEFINANCE(""BCBA:""&amp;B127,""price"",today()-$AM$47,today()),""select Col2"",0),{""charttype"",$AM$46}))"),"...")</f>
        <v>...</v>
      </c>
      <c r="D127" s="17"/>
      <c r="E127" s="31"/>
      <c r="F127" s="7"/>
      <c r="G127" s="8" t="str">
        <f t="shared" si="1"/>
        <v>...</v>
      </c>
      <c r="H127" s="31"/>
      <c r="I127" s="52"/>
      <c r="J127" s="45" t="str">
        <f t="shared" si="2"/>
        <v>...</v>
      </c>
      <c r="K127" s="47" t="str">
        <f t="array" ref="K127">IF(B127=0,"...",J127/VLOOKUP(D127,{CCL!M:N;CCL!$P:$Q},2,FALSE))</f>
        <v>...</v>
      </c>
      <c r="L127" s="45" t="str">
        <f t="shared" si="41"/>
        <v>...</v>
      </c>
      <c r="M127" s="45" t="str">
        <f>if(B127=0,"...",L127*(1-VLOOKUP(A127,Config!$B$3:$C$22,2,FALSE)))</f>
        <v>...</v>
      </c>
      <c r="N127" s="45" t="str">
        <f t="shared" si="3"/>
        <v>...</v>
      </c>
      <c r="O127" s="12" t="str">
        <f>IFERROR(__xludf.DUMMYFUNCTION("if(B127=0,""..."",GOOGLEFINANCE(B127,""changepct"")/100)"),"...")</f>
        <v>...</v>
      </c>
      <c r="P127" s="10" t="str">
        <f>IFERROR(__xludf.DUMMYFUNCTION("if(B127=0,""..."",GOOGLEFINANCE(B127,""change"")*H127)"),"...")</f>
        <v>...</v>
      </c>
      <c r="Q127" s="12" t="str">
        <f t="shared" si="4"/>
        <v>...</v>
      </c>
      <c r="R127" s="47" t="str">
        <f t="shared" si="5"/>
        <v>...</v>
      </c>
      <c r="S127" s="12" t="str">
        <f t="shared" si="36"/>
        <v>...</v>
      </c>
      <c r="T127" s="47" t="str">
        <f>IF(B127=0,"...",(N127/IF(E127="ABIERTA",CCL!$E$2,VLOOKUP(F127,CCL!$A$12:$B$773,2,FALSE))-K127))</f>
        <v>...</v>
      </c>
      <c r="U127" s="2"/>
      <c r="V127" s="10"/>
      <c r="W127" s="10"/>
      <c r="X127" s="59" t="str">
        <f t="shared" si="29"/>
        <v>...</v>
      </c>
      <c r="Y127" s="45" t="str">
        <f>IFERROR(__xludf.DUMMYFUNCTION("IF(W127=0,""..."",GOOGLEFINANCE(""BCBA:""&amp;W127))"),"...")</f>
        <v>...</v>
      </c>
      <c r="Z127" s="12"/>
      <c r="AA127" s="45"/>
      <c r="AB127" s="12" t="str">
        <f t="shared" si="26"/>
        <v/>
      </c>
      <c r="AC127" s="45" t="str">
        <f t="shared" si="37"/>
        <v>...</v>
      </c>
      <c r="AD127" s="45" t="str">
        <f t="shared" si="38"/>
        <v>...</v>
      </c>
      <c r="AE127" s="12" t="str">
        <f t="shared" si="11"/>
        <v>...</v>
      </c>
      <c r="AF127" s="45" t="str">
        <f t="shared" si="39"/>
        <v>...</v>
      </c>
      <c r="AG127" s="45" t="str">
        <f t="shared" si="27"/>
        <v>...</v>
      </c>
      <c r="AH127" s="12" t="str">
        <f t="shared" si="13"/>
        <v>...</v>
      </c>
      <c r="AI127" s="46" t="str">
        <f t="shared" si="40"/>
        <v>...</v>
      </c>
      <c r="AJ127" s="2"/>
      <c r="AK127" s="2"/>
      <c r="AL127" s="2"/>
      <c r="AM127" s="2"/>
      <c r="AN127" s="2"/>
      <c r="AO127" s="2"/>
    </row>
    <row r="128" ht="24.0" customHeight="1">
      <c r="A128" s="4"/>
      <c r="B128" s="30"/>
      <c r="C128" s="5" t="str">
        <f>IFERROR(__xludf.DUMMYFUNCTION("if(B128=0,""..."", sparkline(query(GOOGLEFINANCE(""BCBA:""&amp;B128,""price"",today()-$AM$47,today()),""select Col2"",0),{""charttype"",$AM$46}))"),"...")</f>
        <v>...</v>
      </c>
      <c r="D128" s="17"/>
      <c r="E128" s="31"/>
      <c r="F128" s="7"/>
      <c r="G128" s="8" t="str">
        <f t="shared" si="1"/>
        <v>...</v>
      </c>
      <c r="H128" s="31"/>
      <c r="I128" s="52"/>
      <c r="J128" s="45" t="str">
        <f t="shared" si="2"/>
        <v>...</v>
      </c>
      <c r="K128" s="47" t="str">
        <f t="array" ref="K128">IF(B128=0,"...",J128/VLOOKUP(D128,{CCL!M:N;CCL!$P:$Q},2,FALSE))</f>
        <v>...</v>
      </c>
      <c r="L128" s="45" t="str">
        <f t="shared" si="41"/>
        <v>...</v>
      </c>
      <c r="M128" s="45" t="str">
        <f>if(B128=0,"...",L128*(1-VLOOKUP(A128,Config!$B$3:$C$22,2,FALSE)))</f>
        <v>...</v>
      </c>
      <c r="N128" s="45" t="str">
        <f t="shared" si="3"/>
        <v>...</v>
      </c>
      <c r="O128" s="12" t="str">
        <f>IFERROR(__xludf.DUMMYFUNCTION("if(B128=0,""..."",GOOGLEFINANCE(B128,""changepct"")/100)"),"...")</f>
        <v>...</v>
      </c>
      <c r="P128" s="10" t="str">
        <f>IFERROR(__xludf.DUMMYFUNCTION("if(B128=0,""..."",GOOGLEFINANCE(B128,""change"")*H128)"),"...")</f>
        <v>...</v>
      </c>
      <c r="Q128" s="12" t="str">
        <f t="shared" si="4"/>
        <v>...</v>
      </c>
      <c r="R128" s="47" t="str">
        <f t="shared" si="5"/>
        <v>...</v>
      </c>
      <c r="S128" s="12" t="str">
        <f t="shared" si="36"/>
        <v>...</v>
      </c>
      <c r="T128" s="47" t="str">
        <f>IF(B128=0,"...",(N128/IF(E128="ABIERTA",CCL!$E$2,VLOOKUP(F128,CCL!$A$12:$B$773,2,FALSE))-K128))</f>
        <v>...</v>
      </c>
      <c r="U128" s="2"/>
      <c r="V128" s="10"/>
      <c r="W128" s="10"/>
      <c r="X128" s="59" t="str">
        <f t="shared" si="29"/>
        <v>...</v>
      </c>
      <c r="Y128" s="45" t="str">
        <f>IFERROR(__xludf.DUMMYFUNCTION("IF(W128=0,""..."",GOOGLEFINANCE(""BCBA:""&amp;W128))"),"...")</f>
        <v>...</v>
      </c>
      <c r="Z128" s="12"/>
      <c r="AA128" s="45"/>
      <c r="AB128" s="12" t="str">
        <f t="shared" si="26"/>
        <v/>
      </c>
      <c r="AC128" s="45" t="str">
        <f t="shared" si="37"/>
        <v>...</v>
      </c>
      <c r="AD128" s="45" t="str">
        <f t="shared" si="38"/>
        <v>...</v>
      </c>
      <c r="AE128" s="12" t="str">
        <f t="shared" si="11"/>
        <v>...</v>
      </c>
      <c r="AF128" s="45" t="str">
        <f t="shared" si="39"/>
        <v>...</v>
      </c>
      <c r="AG128" s="45" t="str">
        <f t="shared" si="27"/>
        <v>...</v>
      </c>
      <c r="AH128" s="12" t="str">
        <f t="shared" si="13"/>
        <v>...</v>
      </c>
      <c r="AI128" s="46" t="str">
        <f t="shared" si="40"/>
        <v>...</v>
      </c>
      <c r="AJ128" s="2"/>
      <c r="AK128" s="2"/>
      <c r="AL128" s="2"/>
      <c r="AM128" s="2"/>
      <c r="AN128" s="2"/>
      <c r="AO128" s="2"/>
    </row>
    <row r="129" ht="24.0" customHeight="1">
      <c r="A129" s="4"/>
      <c r="B129" s="30"/>
      <c r="C129" s="5" t="str">
        <f>IFERROR(__xludf.DUMMYFUNCTION("if(B129=0,""..."", sparkline(query(GOOGLEFINANCE(""BCBA:""&amp;B129,""price"",today()-$AM$47,today()),""select Col2"",0),{""charttype"",$AM$46}))"),"...")</f>
        <v>...</v>
      </c>
      <c r="D129" s="17"/>
      <c r="E129" s="31"/>
      <c r="F129" s="7"/>
      <c r="G129" s="8" t="str">
        <f t="shared" si="1"/>
        <v>...</v>
      </c>
      <c r="H129" s="31"/>
      <c r="I129" s="52"/>
      <c r="J129" s="45" t="str">
        <f t="shared" si="2"/>
        <v>...</v>
      </c>
      <c r="K129" s="47" t="str">
        <f t="array" ref="K129">IF(B129=0,"...",J129/VLOOKUP(D129,{CCL!M:N;CCL!$P:$Q},2,FALSE))</f>
        <v>...</v>
      </c>
      <c r="L129" s="45" t="str">
        <f t="shared" si="41"/>
        <v>...</v>
      </c>
      <c r="M129" s="45" t="str">
        <f>if(B129=0,"...",L129*(1-VLOOKUP(A129,Config!$B$3:$C$22,2,FALSE)))</f>
        <v>...</v>
      </c>
      <c r="N129" s="45" t="str">
        <f t="shared" si="3"/>
        <v>...</v>
      </c>
      <c r="O129" s="12" t="str">
        <f>IFERROR(__xludf.DUMMYFUNCTION("if(B129=0,""..."",GOOGLEFINANCE(B129,""changepct"")/100)"),"...")</f>
        <v>...</v>
      </c>
      <c r="P129" s="10" t="str">
        <f>IFERROR(__xludf.DUMMYFUNCTION("if(B129=0,""..."",GOOGLEFINANCE(B129,""change"")*H129)"),"...")</f>
        <v>...</v>
      </c>
      <c r="Q129" s="12" t="str">
        <f t="shared" si="4"/>
        <v>...</v>
      </c>
      <c r="R129" s="47" t="str">
        <f t="shared" si="5"/>
        <v>...</v>
      </c>
      <c r="S129" s="12" t="str">
        <f t="shared" si="36"/>
        <v>...</v>
      </c>
      <c r="T129" s="47" t="str">
        <f>IF(B129=0,"...",(N129/IF(E129="ABIERTA",CCL!$E$2,VLOOKUP(F129,CCL!$A$12:$B$773,2,FALSE))-K129))</f>
        <v>...</v>
      </c>
      <c r="U129" s="2"/>
      <c r="V129" s="10"/>
      <c r="W129" s="10"/>
      <c r="X129" s="59" t="str">
        <f t="shared" si="29"/>
        <v>...</v>
      </c>
      <c r="Y129" s="45" t="str">
        <f>IFERROR(__xludf.DUMMYFUNCTION("IF(W129=0,""..."",GOOGLEFINANCE(""BCBA:""&amp;W129))"),"...")</f>
        <v>...</v>
      </c>
      <c r="Z129" s="12"/>
      <c r="AA129" s="45"/>
      <c r="AB129" s="12" t="str">
        <f t="shared" si="26"/>
        <v/>
      </c>
      <c r="AC129" s="45" t="str">
        <f t="shared" si="37"/>
        <v>...</v>
      </c>
      <c r="AD129" s="45" t="str">
        <f t="shared" si="38"/>
        <v>...</v>
      </c>
      <c r="AE129" s="12" t="str">
        <f t="shared" si="11"/>
        <v>...</v>
      </c>
      <c r="AF129" s="45" t="str">
        <f t="shared" si="39"/>
        <v>...</v>
      </c>
      <c r="AG129" s="45" t="str">
        <f t="shared" si="27"/>
        <v>...</v>
      </c>
      <c r="AH129" s="12" t="str">
        <f t="shared" si="13"/>
        <v>...</v>
      </c>
      <c r="AI129" s="46" t="str">
        <f t="shared" si="40"/>
        <v>...</v>
      </c>
      <c r="AJ129" s="2"/>
      <c r="AK129" s="2"/>
      <c r="AL129" s="2"/>
      <c r="AM129" s="2"/>
      <c r="AN129" s="2"/>
      <c r="AO129" s="2"/>
    </row>
    <row r="130" ht="24.0" customHeight="1">
      <c r="A130" s="4"/>
      <c r="B130" s="30"/>
      <c r="C130" s="5" t="str">
        <f>IFERROR(__xludf.DUMMYFUNCTION("if(B130=0,""..."", sparkline(query(GOOGLEFINANCE(""BCBA:""&amp;B130,""price"",today()-$AM$47,today()),""select Col2"",0),{""charttype"",$AM$46}))"),"...")</f>
        <v>...</v>
      </c>
      <c r="D130" s="17"/>
      <c r="E130" s="31"/>
      <c r="F130" s="7"/>
      <c r="G130" s="8" t="str">
        <f t="shared" si="1"/>
        <v>...</v>
      </c>
      <c r="H130" s="31"/>
      <c r="I130" s="52"/>
      <c r="J130" s="45" t="str">
        <f t="shared" si="2"/>
        <v>...</v>
      </c>
      <c r="K130" s="47" t="str">
        <f t="array" ref="K130">IF(B130=0,"...",J130/VLOOKUP(D130,{CCL!M:N;CCL!$P:$Q},2,FALSE))</f>
        <v>...</v>
      </c>
      <c r="L130" s="45" t="str">
        <f t="shared" si="41"/>
        <v>...</v>
      </c>
      <c r="M130" s="45" t="str">
        <f>if(B130=0,"...",L130*(1-VLOOKUP(A130,Config!$B$3:$C$22,2,FALSE)))</f>
        <v>...</v>
      </c>
      <c r="N130" s="45" t="str">
        <f t="shared" si="3"/>
        <v>...</v>
      </c>
      <c r="O130" s="12" t="str">
        <f>IFERROR(__xludf.DUMMYFUNCTION("if(B130=0,""..."",GOOGLEFINANCE(B130,""changepct"")/100)"),"...")</f>
        <v>...</v>
      </c>
      <c r="P130" s="10" t="str">
        <f>IFERROR(__xludf.DUMMYFUNCTION("if(B130=0,""..."",GOOGLEFINANCE(B130,""change"")*H130)"),"...")</f>
        <v>...</v>
      </c>
      <c r="Q130" s="12" t="str">
        <f t="shared" si="4"/>
        <v>...</v>
      </c>
      <c r="R130" s="47" t="str">
        <f t="shared" si="5"/>
        <v>...</v>
      </c>
      <c r="S130" s="12" t="str">
        <f t="shared" si="36"/>
        <v>...</v>
      </c>
      <c r="T130" s="47" t="str">
        <f>IF(B130=0,"...",(N130/IF(E130="ABIERTA",CCL!$E$2,VLOOKUP(F130,CCL!$A$12:$B$773,2,FALSE))-K130))</f>
        <v>...</v>
      </c>
      <c r="U130" s="2"/>
      <c r="V130" s="10"/>
      <c r="W130" s="10"/>
      <c r="X130" s="59" t="str">
        <f t="shared" si="29"/>
        <v>...</v>
      </c>
      <c r="Y130" s="45" t="str">
        <f>IFERROR(__xludf.DUMMYFUNCTION("IF(W130=0,""..."",GOOGLEFINANCE(""BCBA:""&amp;W130))"),"...")</f>
        <v>...</v>
      </c>
      <c r="Z130" s="12"/>
      <c r="AA130" s="45"/>
      <c r="AB130" s="12" t="str">
        <f t="shared" si="26"/>
        <v/>
      </c>
      <c r="AC130" s="45" t="str">
        <f t="shared" si="37"/>
        <v>...</v>
      </c>
      <c r="AD130" s="45" t="str">
        <f t="shared" si="38"/>
        <v>...</v>
      </c>
      <c r="AE130" s="12" t="str">
        <f t="shared" si="11"/>
        <v>...</v>
      </c>
      <c r="AF130" s="45" t="str">
        <f t="shared" si="39"/>
        <v>...</v>
      </c>
      <c r="AG130" s="45" t="str">
        <f t="shared" si="27"/>
        <v>...</v>
      </c>
      <c r="AH130" s="12" t="str">
        <f t="shared" si="13"/>
        <v>...</v>
      </c>
      <c r="AI130" s="46" t="str">
        <f t="shared" si="40"/>
        <v>...</v>
      </c>
      <c r="AJ130" s="2"/>
      <c r="AK130" s="2"/>
      <c r="AL130" s="2"/>
      <c r="AM130" s="2"/>
      <c r="AN130" s="2"/>
      <c r="AO130" s="2"/>
    </row>
    <row r="131" ht="24.0" customHeight="1">
      <c r="A131" s="4"/>
      <c r="B131" s="30"/>
      <c r="C131" s="5" t="str">
        <f>IFERROR(__xludf.DUMMYFUNCTION("if(B131=0,""..."", sparkline(query(GOOGLEFINANCE(""BCBA:""&amp;B131,""price"",today()-$AM$47,today()),""select Col2"",0),{""charttype"",$AM$46}))"),"...")</f>
        <v>...</v>
      </c>
      <c r="D131" s="17"/>
      <c r="E131" s="31"/>
      <c r="F131" s="7"/>
      <c r="G131" s="8" t="str">
        <f t="shared" si="1"/>
        <v>...</v>
      </c>
      <c r="H131" s="31"/>
      <c r="I131" s="52"/>
      <c r="J131" s="45" t="str">
        <f t="shared" si="2"/>
        <v>...</v>
      </c>
      <c r="K131" s="47" t="str">
        <f t="array" ref="K131">IF(B131=0,"...",J131/VLOOKUP(D131,{CCL!M:N;CCL!$P:$Q},2,FALSE))</f>
        <v>...</v>
      </c>
      <c r="L131" s="45" t="str">
        <f t="shared" si="41"/>
        <v>...</v>
      </c>
      <c r="M131" s="45" t="str">
        <f>if(B131=0,"...",L131*(1-VLOOKUP(A131,Config!$B$3:$C$22,2,FALSE)))</f>
        <v>...</v>
      </c>
      <c r="N131" s="45" t="str">
        <f t="shared" si="3"/>
        <v>...</v>
      </c>
      <c r="O131" s="12" t="str">
        <f>IFERROR(__xludf.DUMMYFUNCTION("if(B131=0,""..."",GOOGLEFINANCE(B131,""changepct"")/100)"),"...")</f>
        <v>...</v>
      </c>
      <c r="P131" s="10" t="str">
        <f>IFERROR(__xludf.DUMMYFUNCTION("if(B131=0,""..."",GOOGLEFINANCE(B131,""change"")*H131)"),"...")</f>
        <v>...</v>
      </c>
      <c r="Q131" s="12" t="str">
        <f t="shared" si="4"/>
        <v>...</v>
      </c>
      <c r="R131" s="47" t="str">
        <f t="shared" si="5"/>
        <v>...</v>
      </c>
      <c r="S131" s="12" t="str">
        <f t="shared" si="36"/>
        <v>...</v>
      </c>
      <c r="T131" s="47" t="str">
        <f>IF(B131=0,"...",(N131/IF(E131="ABIERTA",CCL!$E$2,VLOOKUP(F131,CCL!$A$12:$B$773,2,FALSE))-K131))</f>
        <v>...</v>
      </c>
      <c r="U131" s="2"/>
      <c r="V131" s="10"/>
      <c r="W131" s="10"/>
      <c r="X131" s="59" t="str">
        <f t="shared" si="29"/>
        <v>...</v>
      </c>
      <c r="Y131" s="45" t="str">
        <f>IFERROR(__xludf.DUMMYFUNCTION("IF(W131=0,""..."",GOOGLEFINANCE(""BCBA:""&amp;W131))"),"...")</f>
        <v>...</v>
      </c>
      <c r="Z131" s="12"/>
      <c r="AA131" s="45"/>
      <c r="AB131" s="12" t="str">
        <f t="shared" si="26"/>
        <v/>
      </c>
      <c r="AC131" s="45" t="str">
        <f t="shared" si="37"/>
        <v>...</v>
      </c>
      <c r="AD131" s="45" t="str">
        <f t="shared" si="38"/>
        <v>...</v>
      </c>
      <c r="AE131" s="12" t="str">
        <f t="shared" si="11"/>
        <v>...</v>
      </c>
      <c r="AF131" s="45" t="str">
        <f t="shared" si="39"/>
        <v>...</v>
      </c>
      <c r="AG131" s="45" t="str">
        <f t="shared" si="27"/>
        <v>...</v>
      </c>
      <c r="AH131" s="12" t="str">
        <f t="shared" si="13"/>
        <v>...</v>
      </c>
      <c r="AI131" s="46" t="str">
        <f t="shared" si="40"/>
        <v>...</v>
      </c>
      <c r="AJ131" s="2"/>
      <c r="AK131" s="2"/>
      <c r="AL131" s="2"/>
      <c r="AM131" s="2"/>
      <c r="AN131" s="2"/>
      <c r="AO131" s="2"/>
    </row>
    <row r="132" ht="24.0" customHeight="1">
      <c r="A132" s="4"/>
      <c r="B132" s="30"/>
      <c r="C132" s="5" t="str">
        <f>IFERROR(__xludf.DUMMYFUNCTION("if(B132=0,""..."", sparkline(query(GOOGLEFINANCE(""BCBA:""&amp;B132,""price"",today()-$AM$47,today()),""select Col2"",0),{""charttype"",$AM$46}))"),"...")</f>
        <v>...</v>
      </c>
      <c r="D132" s="17"/>
      <c r="E132" s="31"/>
      <c r="F132" s="7"/>
      <c r="G132" s="8" t="str">
        <f t="shared" si="1"/>
        <v>...</v>
      </c>
      <c r="H132" s="31"/>
      <c r="I132" s="52"/>
      <c r="J132" s="45" t="str">
        <f t="shared" si="2"/>
        <v>...</v>
      </c>
      <c r="K132" s="47" t="str">
        <f t="array" ref="K132">IF(B132=0,"...",J132/VLOOKUP(D132,{CCL!M:N;CCL!$P:$Q},2,FALSE))</f>
        <v>...</v>
      </c>
      <c r="L132" s="45" t="str">
        <f t="shared" si="41"/>
        <v>...</v>
      </c>
      <c r="M132" s="45" t="str">
        <f>if(B132=0,"...",L132*(1-VLOOKUP(A132,Config!$B$3:$C$22,2,FALSE)))</f>
        <v>...</v>
      </c>
      <c r="N132" s="45" t="str">
        <f t="shared" si="3"/>
        <v>...</v>
      </c>
      <c r="O132" s="12" t="str">
        <f>IFERROR(__xludf.DUMMYFUNCTION("if(B132=0,""..."",GOOGLEFINANCE(B132,""changepct"")/100)"),"...")</f>
        <v>...</v>
      </c>
      <c r="P132" s="10" t="str">
        <f>IFERROR(__xludf.DUMMYFUNCTION("if(B132=0,""..."",GOOGLEFINANCE(B132,""change"")*H132)"),"...")</f>
        <v>...</v>
      </c>
      <c r="Q132" s="12" t="str">
        <f t="shared" si="4"/>
        <v>...</v>
      </c>
      <c r="R132" s="47" t="str">
        <f t="shared" si="5"/>
        <v>...</v>
      </c>
      <c r="S132" s="12" t="str">
        <f t="shared" si="36"/>
        <v>...</v>
      </c>
      <c r="T132" s="47" t="str">
        <f>IF(B132=0,"...",(N132/IF(E132="ABIERTA",CCL!$E$2,VLOOKUP(F132,CCL!$A$12:$B$773,2,FALSE))-K132))</f>
        <v>...</v>
      </c>
      <c r="U132" s="2"/>
      <c r="V132" s="10"/>
      <c r="W132" s="10"/>
      <c r="X132" s="59" t="str">
        <f t="shared" si="29"/>
        <v>...</v>
      </c>
      <c r="Y132" s="45" t="str">
        <f>IFERROR(__xludf.DUMMYFUNCTION("IF(W132=0,""..."",GOOGLEFINANCE(""BCBA:""&amp;W132))"),"...")</f>
        <v>...</v>
      </c>
      <c r="Z132" s="12"/>
      <c r="AA132" s="45"/>
      <c r="AB132" s="12" t="str">
        <f t="shared" si="26"/>
        <v/>
      </c>
      <c r="AC132" s="45" t="str">
        <f t="shared" si="37"/>
        <v>...</v>
      </c>
      <c r="AD132" s="45" t="str">
        <f t="shared" si="38"/>
        <v>...</v>
      </c>
      <c r="AE132" s="12" t="str">
        <f t="shared" si="11"/>
        <v>...</v>
      </c>
      <c r="AF132" s="45" t="str">
        <f t="shared" si="39"/>
        <v>...</v>
      </c>
      <c r="AG132" s="45" t="str">
        <f t="shared" si="27"/>
        <v>...</v>
      </c>
      <c r="AH132" s="12" t="str">
        <f t="shared" si="13"/>
        <v>...</v>
      </c>
      <c r="AI132" s="46" t="str">
        <f t="shared" si="40"/>
        <v>...</v>
      </c>
      <c r="AJ132" s="2"/>
      <c r="AK132" s="2"/>
      <c r="AL132" s="2"/>
      <c r="AM132" s="2"/>
      <c r="AN132" s="2"/>
      <c r="AO132" s="2"/>
    </row>
    <row r="133" ht="24.0" customHeight="1">
      <c r="A133" s="4"/>
      <c r="B133" s="30"/>
      <c r="C133" s="5" t="str">
        <f>IFERROR(__xludf.DUMMYFUNCTION("if(B133=0,""..."", sparkline(query(GOOGLEFINANCE(""BCBA:""&amp;B133,""price"",today()-$AM$47,today()),""select Col2"",0),{""charttype"",$AM$46}))"),"...")</f>
        <v>...</v>
      </c>
      <c r="D133" s="17"/>
      <c r="E133" s="31"/>
      <c r="F133" s="7"/>
      <c r="G133" s="8" t="str">
        <f t="shared" si="1"/>
        <v>...</v>
      </c>
      <c r="H133" s="31"/>
      <c r="I133" s="52"/>
      <c r="J133" s="45" t="str">
        <f t="shared" si="2"/>
        <v>...</v>
      </c>
      <c r="K133" s="47" t="str">
        <f t="array" ref="K133">IF(B133=0,"...",J133/VLOOKUP(D133,{CCL!M:N;CCL!$P:$Q},2,FALSE))</f>
        <v>...</v>
      </c>
      <c r="L133" s="45" t="str">
        <f t="shared" si="41"/>
        <v>...</v>
      </c>
      <c r="M133" s="45" t="str">
        <f>if(B133=0,"...",L133*(1-VLOOKUP(A133,Config!$B$3:$C$22,2,FALSE)))</f>
        <v>...</v>
      </c>
      <c r="N133" s="45" t="str">
        <f t="shared" si="3"/>
        <v>...</v>
      </c>
      <c r="O133" s="12" t="str">
        <f>IFERROR(__xludf.DUMMYFUNCTION("if(B133=0,""..."",GOOGLEFINANCE(B133,""changepct"")/100)"),"...")</f>
        <v>...</v>
      </c>
      <c r="P133" s="10" t="str">
        <f>IFERROR(__xludf.DUMMYFUNCTION("if(B133=0,""..."",GOOGLEFINANCE(B133,""change"")*H133)"),"...")</f>
        <v>...</v>
      </c>
      <c r="Q133" s="12" t="str">
        <f t="shared" si="4"/>
        <v>...</v>
      </c>
      <c r="R133" s="47" t="str">
        <f t="shared" si="5"/>
        <v>...</v>
      </c>
      <c r="S133" s="12" t="str">
        <f t="shared" si="36"/>
        <v>...</v>
      </c>
      <c r="T133" s="47" t="str">
        <f>IF(B133=0,"...",(N133/IF(E133="ABIERTA",CCL!$E$2,VLOOKUP(F133,CCL!$A$12:$B$773,2,FALSE))-K133))</f>
        <v>...</v>
      </c>
      <c r="U133" s="2"/>
      <c r="V133" s="10"/>
      <c r="W133" s="10"/>
      <c r="X133" s="59" t="str">
        <f t="shared" si="29"/>
        <v>...</v>
      </c>
      <c r="Y133" s="45" t="str">
        <f>IFERROR(__xludf.DUMMYFUNCTION("IF(W133=0,""..."",GOOGLEFINANCE(""BCBA:""&amp;W133))"),"...")</f>
        <v>...</v>
      </c>
      <c r="Z133" s="12"/>
      <c r="AA133" s="45"/>
      <c r="AB133" s="12" t="str">
        <f t="shared" si="26"/>
        <v/>
      </c>
      <c r="AC133" s="45" t="str">
        <f t="shared" si="37"/>
        <v>...</v>
      </c>
      <c r="AD133" s="45" t="str">
        <f t="shared" si="38"/>
        <v>...</v>
      </c>
      <c r="AE133" s="12" t="str">
        <f t="shared" si="11"/>
        <v>...</v>
      </c>
      <c r="AF133" s="45" t="str">
        <f t="shared" si="39"/>
        <v>...</v>
      </c>
      <c r="AG133" s="45" t="str">
        <f t="shared" si="27"/>
        <v>...</v>
      </c>
      <c r="AH133" s="12" t="str">
        <f t="shared" si="13"/>
        <v>...</v>
      </c>
      <c r="AI133" s="46" t="str">
        <f t="shared" si="40"/>
        <v>...</v>
      </c>
      <c r="AJ133" s="2"/>
      <c r="AK133" s="2"/>
      <c r="AL133" s="2"/>
      <c r="AM133" s="2"/>
      <c r="AN133" s="2"/>
      <c r="AO133" s="2"/>
    </row>
    <row r="134" ht="24.0" customHeight="1">
      <c r="A134" s="4"/>
      <c r="B134" s="30"/>
      <c r="C134" s="5" t="str">
        <f>IFERROR(__xludf.DUMMYFUNCTION("if(B134=0,""..."", sparkline(query(GOOGLEFINANCE(""BCBA:""&amp;B134,""price"",today()-$AM$47,today()),""select Col2"",0),{""charttype"",$AM$46}))"),"...")</f>
        <v>...</v>
      </c>
      <c r="D134" s="17"/>
      <c r="E134" s="31"/>
      <c r="F134" s="7"/>
      <c r="G134" s="8" t="str">
        <f t="shared" si="1"/>
        <v>...</v>
      </c>
      <c r="H134" s="31"/>
      <c r="I134" s="52"/>
      <c r="J134" s="45" t="str">
        <f t="shared" si="2"/>
        <v>...</v>
      </c>
      <c r="K134" s="47" t="str">
        <f t="array" ref="K134">IF(B134=0,"...",J134/VLOOKUP(D134,{CCL!M:N;CCL!$P:$Q},2,FALSE))</f>
        <v>...</v>
      </c>
      <c r="L134" s="45" t="str">
        <f t="shared" si="41"/>
        <v>...</v>
      </c>
      <c r="M134" s="45" t="str">
        <f>if(B134=0,"...",L134*(1-VLOOKUP(A134,Config!$B$3:$C$22,2,FALSE)))</f>
        <v>...</v>
      </c>
      <c r="N134" s="45" t="str">
        <f t="shared" si="3"/>
        <v>...</v>
      </c>
      <c r="O134" s="12" t="str">
        <f>IFERROR(__xludf.DUMMYFUNCTION("if(B134=0,""..."",GOOGLEFINANCE(B134,""changepct"")/100)"),"...")</f>
        <v>...</v>
      </c>
      <c r="P134" s="10" t="str">
        <f>IFERROR(__xludf.DUMMYFUNCTION("if(B134=0,""..."",GOOGLEFINANCE(B134,""change"")*H134)"),"...")</f>
        <v>...</v>
      </c>
      <c r="Q134" s="12" t="str">
        <f t="shared" si="4"/>
        <v>...</v>
      </c>
      <c r="R134" s="47" t="str">
        <f t="shared" si="5"/>
        <v>...</v>
      </c>
      <c r="S134" s="12" t="str">
        <f t="shared" si="36"/>
        <v>...</v>
      </c>
      <c r="T134" s="47" t="str">
        <f>IF(B134=0,"...",(N134/IF(E134="ABIERTA",CCL!$E$2,VLOOKUP(F134,CCL!$A$12:$B$773,2,FALSE))-K134))</f>
        <v>...</v>
      </c>
      <c r="U134" s="2"/>
      <c r="V134" s="10"/>
      <c r="W134" s="10"/>
      <c r="X134" s="59" t="str">
        <f t="shared" si="29"/>
        <v>...</v>
      </c>
      <c r="Y134" s="45" t="str">
        <f>IFERROR(__xludf.DUMMYFUNCTION("IF(W134=0,""..."",GOOGLEFINANCE(""BCBA:""&amp;W134))"),"...")</f>
        <v>...</v>
      </c>
      <c r="Z134" s="12"/>
      <c r="AA134" s="45"/>
      <c r="AB134" s="12" t="str">
        <f t="shared" si="26"/>
        <v/>
      </c>
      <c r="AC134" s="45" t="str">
        <f t="shared" si="37"/>
        <v>...</v>
      </c>
      <c r="AD134" s="45" t="str">
        <f t="shared" si="38"/>
        <v>...</v>
      </c>
      <c r="AE134" s="12" t="str">
        <f t="shared" si="11"/>
        <v>...</v>
      </c>
      <c r="AF134" s="45" t="str">
        <f t="shared" si="39"/>
        <v>...</v>
      </c>
      <c r="AG134" s="45" t="str">
        <f t="shared" si="27"/>
        <v>...</v>
      </c>
      <c r="AH134" s="12" t="str">
        <f t="shared" si="13"/>
        <v>...</v>
      </c>
      <c r="AI134" s="46" t="str">
        <f t="shared" si="40"/>
        <v>...</v>
      </c>
      <c r="AJ134" s="2"/>
      <c r="AK134" s="2"/>
      <c r="AL134" s="2"/>
      <c r="AM134" s="2"/>
      <c r="AN134" s="2"/>
      <c r="AO134" s="2"/>
    </row>
    <row r="135" ht="24.0" customHeight="1">
      <c r="A135" s="4"/>
      <c r="B135" s="30"/>
      <c r="C135" s="5" t="str">
        <f>IFERROR(__xludf.DUMMYFUNCTION("if(B135=0,""..."", sparkline(query(GOOGLEFINANCE(""BCBA:""&amp;B135,""price"",today()-$AM$47,today()),""select Col2"",0),{""charttype"",$AM$46}))"),"...")</f>
        <v>...</v>
      </c>
      <c r="D135" s="17"/>
      <c r="E135" s="31"/>
      <c r="F135" s="7"/>
      <c r="G135" s="8" t="str">
        <f t="shared" si="1"/>
        <v>...</v>
      </c>
      <c r="H135" s="31"/>
      <c r="I135" s="52"/>
      <c r="J135" s="45" t="str">
        <f t="shared" si="2"/>
        <v>...</v>
      </c>
      <c r="K135" s="47" t="str">
        <f t="array" ref="K135">IF(B135=0,"...",J135/VLOOKUP(D135,{CCL!M:N;CCL!$P:$Q},2,FALSE))</f>
        <v>...</v>
      </c>
      <c r="L135" s="45" t="str">
        <f t="shared" si="41"/>
        <v>...</v>
      </c>
      <c r="M135" s="45" t="str">
        <f>if(B135=0,"...",L135*(1-VLOOKUP(A135,Config!$B$3:$C$22,2,FALSE)))</f>
        <v>...</v>
      </c>
      <c r="N135" s="45" t="str">
        <f t="shared" si="3"/>
        <v>...</v>
      </c>
      <c r="O135" s="12" t="str">
        <f>IFERROR(__xludf.DUMMYFUNCTION("if(B135=0,""..."",GOOGLEFINANCE(B135,""changepct"")/100)"),"...")</f>
        <v>...</v>
      </c>
      <c r="P135" s="10" t="str">
        <f>IFERROR(__xludf.DUMMYFUNCTION("if(B135=0,""..."",GOOGLEFINANCE(B135,""change"")*H135)"),"...")</f>
        <v>...</v>
      </c>
      <c r="Q135" s="12" t="str">
        <f t="shared" si="4"/>
        <v>...</v>
      </c>
      <c r="R135" s="47" t="str">
        <f t="shared" si="5"/>
        <v>...</v>
      </c>
      <c r="S135" s="12" t="str">
        <f t="shared" si="36"/>
        <v>...</v>
      </c>
      <c r="T135" s="47" t="str">
        <f>IF(B135=0,"...",(N135/IF(E135="ABIERTA",CCL!$E$2,VLOOKUP(F135,CCL!$A$12:$B$773,2,FALSE))-K135))</f>
        <v>...</v>
      </c>
      <c r="U135" s="2"/>
      <c r="V135" s="10"/>
      <c r="W135" s="10"/>
      <c r="X135" s="59" t="str">
        <f t="shared" si="29"/>
        <v>...</v>
      </c>
      <c r="Y135" s="45" t="str">
        <f>IFERROR(__xludf.DUMMYFUNCTION("IF(W135=0,""..."",GOOGLEFINANCE(""BCBA:""&amp;W135))"),"...")</f>
        <v>...</v>
      </c>
      <c r="Z135" s="12"/>
      <c r="AA135" s="45"/>
      <c r="AB135" s="12" t="str">
        <f t="shared" si="26"/>
        <v/>
      </c>
      <c r="AC135" s="45" t="str">
        <f t="shared" si="37"/>
        <v>...</v>
      </c>
      <c r="AD135" s="45" t="str">
        <f t="shared" si="38"/>
        <v>...</v>
      </c>
      <c r="AE135" s="12" t="str">
        <f t="shared" si="11"/>
        <v>...</v>
      </c>
      <c r="AF135" s="45" t="str">
        <f t="shared" si="39"/>
        <v>...</v>
      </c>
      <c r="AG135" s="45" t="str">
        <f t="shared" si="27"/>
        <v>...</v>
      </c>
      <c r="AH135" s="12" t="str">
        <f t="shared" si="13"/>
        <v>...</v>
      </c>
      <c r="AI135" s="46" t="str">
        <f t="shared" si="40"/>
        <v>...</v>
      </c>
      <c r="AJ135" s="2"/>
      <c r="AK135" s="2"/>
      <c r="AL135" s="2"/>
      <c r="AM135" s="2"/>
      <c r="AN135" s="2"/>
      <c r="AO135" s="2"/>
    </row>
    <row r="136" ht="24.0" customHeight="1">
      <c r="A136" s="4"/>
      <c r="B136" s="30"/>
      <c r="C136" s="5" t="str">
        <f>IFERROR(__xludf.DUMMYFUNCTION("if(B136=0,""..."", sparkline(query(GOOGLEFINANCE(""BCBA:""&amp;B136,""price"",today()-$AM$47,today()),""select Col2"",0),{""charttype"",$AM$46}))"),"...")</f>
        <v>...</v>
      </c>
      <c r="D136" s="17"/>
      <c r="E136" s="31"/>
      <c r="F136" s="7"/>
      <c r="G136" s="8" t="str">
        <f t="shared" si="1"/>
        <v>...</v>
      </c>
      <c r="H136" s="31"/>
      <c r="I136" s="52"/>
      <c r="J136" s="45" t="str">
        <f t="shared" si="2"/>
        <v>...</v>
      </c>
      <c r="K136" s="47" t="str">
        <f t="array" ref="K136">IF(B136=0,"...",J136/VLOOKUP(D136,{CCL!M:N;CCL!$P:$Q},2,FALSE))</f>
        <v>...</v>
      </c>
      <c r="L136" s="45" t="str">
        <f t="shared" si="41"/>
        <v>...</v>
      </c>
      <c r="M136" s="45" t="str">
        <f>if(B136=0,"...",L136*(1-VLOOKUP(A136,Config!$B$3:$C$22,2,FALSE)))</f>
        <v>...</v>
      </c>
      <c r="N136" s="45" t="str">
        <f t="shared" si="3"/>
        <v>...</v>
      </c>
      <c r="O136" s="12" t="str">
        <f>IFERROR(__xludf.DUMMYFUNCTION("if(B136=0,""..."",GOOGLEFINANCE(B136,""changepct"")/100)"),"...")</f>
        <v>...</v>
      </c>
      <c r="P136" s="10" t="str">
        <f>IFERROR(__xludf.DUMMYFUNCTION("if(B136=0,""..."",GOOGLEFINANCE(B136,""change"")*H136)"),"...")</f>
        <v>...</v>
      </c>
      <c r="Q136" s="12" t="str">
        <f t="shared" si="4"/>
        <v>...</v>
      </c>
      <c r="R136" s="47" t="str">
        <f t="shared" si="5"/>
        <v>...</v>
      </c>
      <c r="S136" s="12" t="str">
        <f t="shared" si="36"/>
        <v>...</v>
      </c>
      <c r="T136" s="47" t="str">
        <f>IF(B136=0,"...",(N136/IF(E136="ABIERTA",CCL!$E$2,VLOOKUP(F136,CCL!$A$12:$B$773,2,FALSE))-K136))</f>
        <v>...</v>
      </c>
      <c r="U136" s="2"/>
      <c r="V136" s="10"/>
      <c r="W136" s="10"/>
      <c r="X136" s="59" t="str">
        <f t="shared" si="29"/>
        <v>...</v>
      </c>
      <c r="Y136" s="45" t="str">
        <f>IFERROR(__xludf.DUMMYFUNCTION("IF(W136=0,""..."",GOOGLEFINANCE(""BCBA:""&amp;W136))"),"...")</f>
        <v>...</v>
      </c>
      <c r="Z136" s="12"/>
      <c r="AA136" s="45"/>
      <c r="AB136" s="12" t="str">
        <f t="shared" si="26"/>
        <v/>
      </c>
      <c r="AC136" s="45" t="str">
        <f t="shared" si="37"/>
        <v>...</v>
      </c>
      <c r="AD136" s="45" t="str">
        <f t="shared" si="38"/>
        <v>...</v>
      </c>
      <c r="AE136" s="12" t="str">
        <f t="shared" si="11"/>
        <v>...</v>
      </c>
      <c r="AF136" s="45" t="str">
        <f t="shared" si="39"/>
        <v>...</v>
      </c>
      <c r="AG136" s="45" t="str">
        <f t="shared" si="27"/>
        <v>...</v>
      </c>
      <c r="AH136" s="12" t="str">
        <f t="shared" si="13"/>
        <v>...</v>
      </c>
      <c r="AI136" s="46" t="str">
        <f t="shared" si="40"/>
        <v>...</v>
      </c>
      <c r="AJ136" s="2"/>
      <c r="AK136" s="2"/>
      <c r="AL136" s="2"/>
      <c r="AM136" s="2"/>
      <c r="AN136" s="2"/>
      <c r="AO136" s="2"/>
    </row>
    <row r="137" ht="24.0" customHeight="1">
      <c r="A137" s="4"/>
      <c r="B137" s="30"/>
      <c r="C137" s="5" t="str">
        <f>IFERROR(__xludf.DUMMYFUNCTION("if(B137=0,""..."", sparkline(query(GOOGLEFINANCE(""BCBA:""&amp;B137,""price"",today()-$AM$47,today()),""select Col2"",0),{""charttype"",$AM$46}))"),"...")</f>
        <v>...</v>
      </c>
      <c r="D137" s="17"/>
      <c r="E137" s="31"/>
      <c r="F137" s="7"/>
      <c r="G137" s="8" t="str">
        <f t="shared" si="1"/>
        <v>...</v>
      </c>
      <c r="H137" s="31"/>
      <c r="I137" s="52"/>
      <c r="J137" s="45" t="str">
        <f t="shared" si="2"/>
        <v>...</v>
      </c>
      <c r="K137" s="47" t="str">
        <f t="array" ref="K137">IF(B137=0,"...",J137/VLOOKUP(D137,{CCL!M:N;CCL!$P:$Q},2,FALSE))</f>
        <v>...</v>
      </c>
      <c r="L137" s="45" t="str">
        <f t="shared" si="41"/>
        <v>...</v>
      </c>
      <c r="M137" s="45" t="str">
        <f>if(B137=0,"...",L137*(1-VLOOKUP(A137,Config!$B$3:$C$22,2,FALSE)))</f>
        <v>...</v>
      </c>
      <c r="N137" s="45" t="str">
        <f t="shared" si="3"/>
        <v>...</v>
      </c>
      <c r="O137" s="12" t="str">
        <f>IFERROR(__xludf.DUMMYFUNCTION("if(B137=0,""..."",GOOGLEFINANCE(B137,""changepct"")/100)"),"...")</f>
        <v>...</v>
      </c>
      <c r="P137" s="10" t="str">
        <f>IFERROR(__xludf.DUMMYFUNCTION("if(B137=0,""..."",GOOGLEFINANCE(B137,""change"")*H137)"),"...")</f>
        <v>...</v>
      </c>
      <c r="Q137" s="12" t="str">
        <f t="shared" si="4"/>
        <v>...</v>
      </c>
      <c r="R137" s="47" t="str">
        <f t="shared" si="5"/>
        <v>...</v>
      </c>
      <c r="S137" s="12" t="str">
        <f t="shared" si="36"/>
        <v>...</v>
      </c>
      <c r="T137" s="47" t="str">
        <f>IF(B137=0,"...",(N137/IF(E137="ABIERTA",CCL!$E$2,VLOOKUP(F137,CCL!$A$12:$B$773,2,FALSE))-K137))</f>
        <v>...</v>
      </c>
      <c r="U137" s="2"/>
      <c r="V137" s="10"/>
      <c r="W137" s="10"/>
      <c r="X137" s="59" t="str">
        <f t="shared" si="29"/>
        <v>...</v>
      </c>
      <c r="Y137" s="45" t="str">
        <f>IFERROR(__xludf.DUMMYFUNCTION("IF(W137=0,""..."",GOOGLEFINANCE(""BCBA:""&amp;W137))"),"...")</f>
        <v>...</v>
      </c>
      <c r="Z137" s="12"/>
      <c r="AA137" s="45"/>
      <c r="AB137" s="12" t="str">
        <f t="shared" si="26"/>
        <v/>
      </c>
      <c r="AC137" s="45" t="str">
        <f t="shared" si="37"/>
        <v>...</v>
      </c>
      <c r="AD137" s="45" t="str">
        <f t="shared" si="38"/>
        <v>...</v>
      </c>
      <c r="AE137" s="12" t="str">
        <f t="shared" si="11"/>
        <v>...</v>
      </c>
      <c r="AF137" s="45" t="str">
        <f t="shared" si="39"/>
        <v>...</v>
      </c>
      <c r="AG137" s="45" t="str">
        <f t="shared" si="27"/>
        <v>...</v>
      </c>
      <c r="AH137" s="12" t="str">
        <f t="shared" si="13"/>
        <v>...</v>
      </c>
      <c r="AI137" s="46" t="str">
        <f t="shared" si="40"/>
        <v>...</v>
      </c>
      <c r="AJ137" s="2"/>
      <c r="AK137" s="2"/>
      <c r="AL137" s="2"/>
      <c r="AM137" s="2"/>
      <c r="AN137" s="2"/>
      <c r="AO137" s="2"/>
    </row>
    <row r="138" ht="24.0" customHeight="1">
      <c r="A138" s="4"/>
      <c r="B138" s="30"/>
      <c r="C138" s="5" t="str">
        <f>IFERROR(__xludf.DUMMYFUNCTION("if(B138=0,""..."", sparkline(query(GOOGLEFINANCE(""BCBA:""&amp;B138,""price"",today()-$AM$47,today()),""select Col2"",0),{""charttype"",$AM$46}))"),"...")</f>
        <v>...</v>
      </c>
      <c r="D138" s="17"/>
      <c r="E138" s="31"/>
      <c r="F138" s="7"/>
      <c r="G138" s="8" t="str">
        <f t="shared" si="1"/>
        <v>...</v>
      </c>
      <c r="H138" s="31"/>
      <c r="I138" s="52"/>
      <c r="J138" s="45" t="str">
        <f t="shared" si="2"/>
        <v>...</v>
      </c>
      <c r="K138" s="47" t="str">
        <f t="array" ref="K138">IF(B138=0,"...",J138/VLOOKUP(D138,{CCL!M:N;CCL!$P:$Q},2,FALSE))</f>
        <v>...</v>
      </c>
      <c r="L138" s="45" t="str">
        <f t="shared" si="41"/>
        <v>...</v>
      </c>
      <c r="M138" s="45" t="str">
        <f>if(B138=0,"...",L138*(1-VLOOKUP(A138,Config!$B$3:$C$22,2,FALSE)))</f>
        <v>...</v>
      </c>
      <c r="N138" s="45" t="str">
        <f t="shared" si="3"/>
        <v>...</v>
      </c>
      <c r="O138" s="12" t="str">
        <f>IFERROR(__xludf.DUMMYFUNCTION("if(B138=0,""..."",GOOGLEFINANCE(B138,""changepct"")/100)"),"...")</f>
        <v>...</v>
      </c>
      <c r="P138" s="10" t="str">
        <f>IFERROR(__xludf.DUMMYFUNCTION("if(B138=0,""..."",GOOGLEFINANCE(B138,""change"")*H138)"),"...")</f>
        <v>...</v>
      </c>
      <c r="Q138" s="12" t="str">
        <f t="shared" si="4"/>
        <v>...</v>
      </c>
      <c r="R138" s="47" t="str">
        <f t="shared" si="5"/>
        <v>...</v>
      </c>
      <c r="S138" s="12" t="str">
        <f t="shared" si="36"/>
        <v>...</v>
      </c>
      <c r="T138" s="47" t="str">
        <f>IF(B138=0,"...",(N138/IF(E138="ABIERTA",CCL!$E$2,VLOOKUP(F138,CCL!$A$12:$B$773,2,FALSE))-K138))</f>
        <v>...</v>
      </c>
      <c r="U138" s="2"/>
      <c r="V138" s="10"/>
      <c r="W138" s="10"/>
      <c r="X138" s="59" t="str">
        <f t="shared" si="29"/>
        <v>...</v>
      </c>
      <c r="Y138" s="45" t="str">
        <f>IFERROR(__xludf.DUMMYFUNCTION("IF(W138=0,""..."",GOOGLEFINANCE(""BCBA:""&amp;W138))"),"...")</f>
        <v>...</v>
      </c>
      <c r="Z138" s="12"/>
      <c r="AA138" s="45"/>
      <c r="AB138" s="12" t="str">
        <f t="shared" si="26"/>
        <v/>
      </c>
      <c r="AC138" s="45" t="str">
        <f t="shared" si="37"/>
        <v>...</v>
      </c>
      <c r="AD138" s="45" t="str">
        <f t="shared" si="38"/>
        <v>...</v>
      </c>
      <c r="AE138" s="12" t="str">
        <f t="shared" si="11"/>
        <v>...</v>
      </c>
      <c r="AF138" s="45" t="str">
        <f t="shared" si="39"/>
        <v>...</v>
      </c>
      <c r="AG138" s="45" t="str">
        <f t="shared" si="27"/>
        <v>...</v>
      </c>
      <c r="AH138" s="12" t="str">
        <f t="shared" si="13"/>
        <v>...</v>
      </c>
      <c r="AI138" s="46" t="str">
        <f t="shared" si="40"/>
        <v>...</v>
      </c>
      <c r="AJ138" s="2"/>
      <c r="AK138" s="2"/>
      <c r="AL138" s="2"/>
      <c r="AM138" s="2"/>
      <c r="AN138" s="2"/>
      <c r="AO138" s="2"/>
    </row>
    <row r="139" ht="24.0" customHeight="1">
      <c r="A139" s="4"/>
      <c r="B139" s="30"/>
      <c r="C139" s="5" t="str">
        <f>IFERROR(__xludf.DUMMYFUNCTION("if(B139=0,""..."", sparkline(query(GOOGLEFINANCE(""BCBA:""&amp;B139,""price"",today()-$AM$47,today()),""select Col2"",0),{""charttype"",$AM$46}))"),"...")</f>
        <v>...</v>
      </c>
      <c r="D139" s="17"/>
      <c r="E139" s="31"/>
      <c r="F139" s="7"/>
      <c r="G139" s="8" t="str">
        <f t="shared" si="1"/>
        <v>...</v>
      </c>
      <c r="H139" s="31"/>
      <c r="I139" s="52"/>
      <c r="J139" s="45" t="str">
        <f t="shared" si="2"/>
        <v>...</v>
      </c>
      <c r="K139" s="47" t="str">
        <f t="array" ref="K139">IF(B139=0,"...",J139/VLOOKUP(D139,{CCL!M:N;CCL!$P:$Q},2,FALSE))</f>
        <v>...</v>
      </c>
      <c r="L139" s="45" t="str">
        <f t="shared" si="41"/>
        <v>...</v>
      </c>
      <c r="M139" s="45" t="str">
        <f>if(B139=0,"...",L139*(1-VLOOKUP(A139,Config!$B$3:$C$22,2,FALSE)))</f>
        <v>...</v>
      </c>
      <c r="N139" s="45" t="str">
        <f t="shared" si="3"/>
        <v>...</v>
      </c>
      <c r="O139" s="12" t="str">
        <f>IFERROR(__xludf.DUMMYFUNCTION("if(B139=0,""..."",GOOGLEFINANCE(B139,""changepct"")/100)"),"...")</f>
        <v>...</v>
      </c>
      <c r="P139" s="10" t="str">
        <f>IFERROR(__xludf.DUMMYFUNCTION("if(B139=0,""..."",GOOGLEFINANCE(B139,""change"")*H139)"),"...")</f>
        <v>...</v>
      </c>
      <c r="Q139" s="12" t="str">
        <f t="shared" si="4"/>
        <v>...</v>
      </c>
      <c r="R139" s="47" t="str">
        <f t="shared" si="5"/>
        <v>...</v>
      </c>
      <c r="S139" s="12" t="str">
        <f t="shared" si="36"/>
        <v>...</v>
      </c>
      <c r="T139" s="47" t="str">
        <f>IF(B139=0,"...",(N139/IF(E139="ABIERTA",CCL!$E$2,VLOOKUP(F139,CCL!$A$12:$B$773,2,FALSE))-K139))</f>
        <v>...</v>
      </c>
      <c r="U139" s="2"/>
      <c r="V139" s="10"/>
      <c r="W139" s="10"/>
      <c r="X139" s="59" t="str">
        <f t="shared" si="29"/>
        <v>...</v>
      </c>
      <c r="Y139" s="45" t="str">
        <f>IFERROR(__xludf.DUMMYFUNCTION("IF(W139=0,""..."",GOOGLEFINANCE(""BCBA:""&amp;W139))"),"...")</f>
        <v>...</v>
      </c>
      <c r="Z139" s="12"/>
      <c r="AA139" s="45"/>
      <c r="AB139" s="12" t="str">
        <f t="shared" si="26"/>
        <v/>
      </c>
      <c r="AC139" s="45" t="str">
        <f t="shared" si="37"/>
        <v>...</v>
      </c>
      <c r="AD139" s="45" t="str">
        <f t="shared" si="38"/>
        <v>...</v>
      </c>
      <c r="AE139" s="12" t="str">
        <f t="shared" si="11"/>
        <v>...</v>
      </c>
      <c r="AF139" s="45" t="str">
        <f t="shared" si="39"/>
        <v>...</v>
      </c>
      <c r="AG139" s="45" t="str">
        <f t="shared" si="27"/>
        <v>...</v>
      </c>
      <c r="AH139" s="12" t="str">
        <f t="shared" si="13"/>
        <v>...</v>
      </c>
      <c r="AI139" s="46" t="str">
        <f t="shared" si="40"/>
        <v>...</v>
      </c>
      <c r="AJ139" s="2"/>
      <c r="AK139" s="2"/>
      <c r="AL139" s="2"/>
      <c r="AM139" s="2"/>
      <c r="AN139" s="2"/>
      <c r="AO139" s="2"/>
    </row>
    <row r="140" ht="24.0" customHeight="1">
      <c r="A140" s="4"/>
      <c r="B140" s="30"/>
      <c r="C140" s="5" t="str">
        <f>IFERROR(__xludf.DUMMYFUNCTION("if(B140=0,""..."", sparkline(query(GOOGLEFINANCE(""BCBA:""&amp;B140,""price"",today()-$AM$47,today()),""select Col2"",0),{""charttype"",$AM$46}))"),"...")</f>
        <v>...</v>
      </c>
      <c r="D140" s="17"/>
      <c r="E140" s="31"/>
      <c r="F140" s="7"/>
      <c r="G140" s="8" t="str">
        <f t="shared" si="1"/>
        <v>...</v>
      </c>
      <c r="H140" s="31"/>
      <c r="I140" s="52"/>
      <c r="J140" s="45" t="str">
        <f t="shared" si="2"/>
        <v>...</v>
      </c>
      <c r="K140" s="47" t="str">
        <f t="array" ref="K140">IF(B140=0,"...",J140/VLOOKUP(D140,{CCL!M:N;CCL!$P:$Q},2,FALSE))</f>
        <v>...</v>
      </c>
      <c r="L140" s="45" t="str">
        <f t="shared" si="41"/>
        <v>...</v>
      </c>
      <c r="M140" s="45" t="str">
        <f>if(B140=0,"...",L140*(1-VLOOKUP(A140,Config!$B$3:$C$22,2,FALSE)))</f>
        <v>...</v>
      </c>
      <c r="N140" s="45" t="str">
        <f t="shared" si="3"/>
        <v>...</v>
      </c>
      <c r="O140" s="12" t="str">
        <f>IFERROR(__xludf.DUMMYFUNCTION("if(B140=0,""..."",GOOGLEFINANCE(B140,""changepct"")/100)"),"...")</f>
        <v>...</v>
      </c>
      <c r="P140" s="10" t="str">
        <f>IFERROR(__xludf.DUMMYFUNCTION("if(B140=0,""..."",GOOGLEFINANCE(B140,""change"")*H140)"),"...")</f>
        <v>...</v>
      </c>
      <c r="Q140" s="12" t="str">
        <f t="shared" si="4"/>
        <v>...</v>
      </c>
      <c r="R140" s="47" t="str">
        <f t="shared" si="5"/>
        <v>...</v>
      </c>
      <c r="S140" s="12" t="str">
        <f t="shared" si="36"/>
        <v>...</v>
      </c>
      <c r="T140" s="47" t="str">
        <f>IF(B140=0,"...",(N140/IF(E140="ABIERTA",CCL!$E$2,VLOOKUP(F140,CCL!$A$12:$B$773,2,FALSE))-K140))</f>
        <v>...</v>
      </c>
      <c r="U140" s="2"/>
      <c r="V140" s="10"/>
      <c r="W140" s="10"/>
      <c r="X140" s="59" t="str">
        <f t="shared" si="29"/>
        <v>...</v>
      </c>
      <c r="Y140" s="45" t="str">
        <f>IFERROR(__xludf.DUMMYFUNCTION("IF(W140=0,""..."",GOOGLEFINANCE(""BCBA:""&amp;W140))"),"...")</f>
        <v>...</v>
      </c>
      <c r="Z140" s="12"/>
      <c r="AA140" s="45"/>
      <c r="AB140" s="12" t="str">
        <f t="shared" si="26"/>
        <v/>
      </c>
      <c r="AC140" s="45" t="str">
        <f t="shared" si="37"/>
        <v>...</v>
      </c>
      <c r="AD140" s="45" t="str">
        <f t="shared" si="38"/>
        <v>...</v>
      </c>
      <c r="AE140" s="12" t="str">
        <f t="shared" si="11"/>
        <v>...</v>
      </c>
      <c r="AF140" s="45" t="str">
        <f t="shared" si="39"/>
        <v>...</v>
      </c>
      <c r="AG140" s="45" t="str">
        <f t="shared" si="27"/>
        <v>...</v>
      </c>
      <c r="AH140" s="12" t="str">
        <f t="shared" si="13"/>
        <v>...</v>
      </c>
      <c r="AI140" s="46" t="str">
        <f t="shared" si="40"/>
        <v>...</v>
      </c>
      <c r="AJ140" s="2"/>
      <c r="AK140" s="2"/>
      <c r="AL140" s="2"/>
      <c r="AM140" s="2"/>
      <c r="AN140" s="2"/>
      <c r="AO140" s="2"/>
    </row>
    <row r="141" ht="24.0" customHeight="1">
      <c r="A141" s="4"/>
      <c r="B141" s="30"/>
      <c r="C141" s="5" t="str">
        <f>IFERROR(__xludf.DUMMYFUNCTION("if(B141=0,""..."", sparkline(query(GOOGLEFINANCE(""BCBA:""&amp;B141,""price"",today()-$AM$47,today()),""select Col2"",0),{""charttype"",$AM$46}))"),"...")</f>
        <v>...</v>
      </c>
      <c r="D141" s="17"/>
      <c r="E141" s="31"/>
      <c r="F141" s="7"/>
      <c r="G141" s="8" t="str">
        <f t="shared" si="1"/>
        <v>...</v>
      </c>
      <c r="H141" s="31"/>
      <c r="I141" s="52"/>
      <c r="J141" s="45" t="str">
        <f t="shared" si="2"/>
        <v>...</v>
      </c>
      <c r="K141" s="47" t="str">
        <f t="array" ref="K141">IF(B141=0,"...",J141/VLOOKUP(D141,{CCL!M:N;CCL!$P:$Q},2,FALSE))</f>
        <v>...</v>
      </c>
      <c r="L141" s="45" t="str">
        <f t="shared" si="41"/>
        <v>...</v>
      </c>
      <c r="M141" s="45" t="str">
        <f>if(B141=0,"...",L141*(1-VLOOKUP(A141,Config!$B$3:$C$22,2,FALSE)))</f>
        <v>...</v>
      </c>
      <c r="N141" s="45" t="str">
        <f t="shared" si="3"/>
        <v>...</v>
      </c>
      <c r="O141" s="12" t="str">
        <f>IFERROR(__xludf.DUMMYFUNCTION("if(B141=0,""..."",GOOGLEFINANCE(B141,""changepct"")/100)"),"...")</f>
        <v>...</v>
      </c>
      <c r="P141" s="10" t="str">
        <f>IFERROR(__xludf.DUMMYFUNCTION("if(B141=0,""..."",GOOGLEFINANCE(B141,""change"")*H141)"),"...")</f>
        <v>...</v>
      </c>
      <c r="Q141" s="12" t="str">
        <f t="shared" si="4"/>
        <v>...</v>
      </c>
      <c r="R141" s="47" t="str">
        <f t="shared" si="5"/>
        <v>...</v>
      </c>
      <c r="S141" s="12" t="str">
        <f t="shared" si="36"/>
        <v>...</v>
      </c>
      <c r="T141" s="47" t="str">
        <f>IF(B141=0,"...",(N141/IF(E141="ABIERTA",CCL!$E$2,VLOOKUP(F141,CCL!$A$12:$B$773,2,FALSE))-K141))</f>
        <v>...</v>
      </c>
      <c r="U141" s="2"/>
      <c r="V141" s="10"/>
      <c r="W141" s="10"/>
      <c r="X141" s="59" t="str">
        <f t="shared" si="29"/>
        <v>...</v>
      </c>
      <c r="Y141" s="45" t="str">
        <f>IFERROR(__xludf.DUMMYFUNCTION("IF(W141=0,""..."",GOOGLEFINANCE(""BCBA:""&amp;W141))"),"...")</f>
        <v>...</v>
      </c>
      <c r="Z141" s="12"/>
      <c r="AA141" s="45"/>
      <c r="AB141" s="12" t="str">
        <f t="shared" si="26"/>
        <v/>
      </c>
      <c r="AC141" s="45" t="str">
        <f t="shared" si="37"/>
        <v>...</v>
      </c>
      <c r="AD141" s="45" t="str">
        <f t="shared" si="38"/>
        <v>...</v>
      </c>
      <c r="AE141" s="12" t="str">
        <f t="shared" si="11"/>
        <v>...</v>
      </c>
      <c r="AF141" s="45" t="str">
        <f t="shared" si="39"/>
        <v>...</v>
      </c>
      <c r="AG141" s="45" t="str">
        <f t="shared" si="27"/>
        <v>...</v>
      </c>
      <c r="AH141" s="12" t="str">
        <f t="shared" si="13"/>
        <v>...</v>
      </c>
      <c r="AI141" s="46" t="str">
        <f t="shared" si="40"/>
        <v>...</v>
      </c>
      <c r="AJ141" s="2"/>
      <c r="AK141" s="2"/>
      <c r="AL141" s="2"/>
      <c r="AM141" s="2"/>
      <c r="AN141" s="2"/>
      <c r="AO141" s="2"/>
    </row>
    <row r="142" ht="24.0" customHeight="1">
      <c r="A142" s="4"/>
      <c r="B142" s="30"/>
      <c r="C142" s="5" t="str">
        <f>IFERROR(__xludf.DUMMYFUNCTION("if(B142=0,""..."", sparkline(query(GOOGLEFINANCE(""BCBA:""&amp;B142,""price"",today()-$AM$47,today()),""select Col2"",0),{""charttype"",$AM$46}))"),"...")</f>
        <v>...</v>
      </c>
      <c r="D142" s="17"/>
      <c r="E142" s="31"/>
      <c r="F142" s="7"/>
      <c r="G142" s="8" t="str">
        <f t="shared" si="1"/>
        <v>...</v>
      </c>
      <c r="H142" s="31"/>
      <c r="I142" s="52"/>
      <c r="J142" s="45" t="str">
        <f t="shared" si="2"/>
        <v>...</v>
      </c>
      <c r="K142" s="47" t="str">
        <f t="array" ref="K142">IF(B142=0,"...",J142/VLOOKUP(D142,{CCL!M:N;CCL!$P:$Q},2,FALSE))</f>
        <v>...</v>
      </c>
      <c r="L142" s="45" t="str">
        <f t="shared" si="41"/>
        <v>...</v>
      </c>
      <c r="M142" s="45" t="str">
        <f>if(B142=0,"...",L142*(1-VLOOKUP(A142,Config!$B$3:$C$22,2,FALSE)))</f>
        <v>...</v>
      </c>
      <c r="N142" s="45" t="str">
        <f t="shared" si="3"/>
        <v>...</v>
      </c>
      <c r="O142" s="12" t="str">
        <f>IFERROR(__xludf.DUMMYFUNCTION("if(B142=0,""..."",GOOGLEFINANCE(B142,""changepct"")/100)"),"...")</f>
        <v>...</v>
      </c>
      <c r="P142" s="10" t="str">
        <f>IFERROR(__xludf.DUMMYFUNCTION("if(B142=0,""..."",GOOGLEFINANCE(B142,""change"")*H142)"),"...")</f>
        <v>...</v>
      </c>
      <c r="Q142" s="12" t="str">
        <f t="shared" si="4"/>
        <v>...</v>
      </c>
      <c r="R142" s="47" t="str">
        <f t="shared" si="5"/>
        <v>...</v>
      </c>
      <c r="S142" s="12" t="str">
        <f t="shared" si="36"/>
        <v>...</v>
      </c>
      <c r="T142" s="47" t="str">
        <f>IF(B142=0,"...",(N142/IF(E142="ABIERTA",CCL!$E$2,VLOOKUP(F142,CCL!$A$12:$B$773,2,FALSE))-K142))</f>
        <v>...</v>
      </c>
      <c r="U142" s="2"/>
      <c r="V142" s="10"/>
      <c r="W142" s="10"/>
      <c r="X142" s="59" t="str">
        <f t="shared" si="29"/>
        <v>...</v>
      </c>
      <c r="Y142" s="45" t="str">
        <f>IFERROR(__xludf.DUMMYFUNCTION("IF(W142=0,""..."",GOOGLEFINANCE(""BCBA:""&amp;W142))"),"...")</f>
        <v>...</v>
      </c>
      <c r="Z142" s="12"/>
      <c r="AA142" s="45"/>
      <c r="AB142" s="12" t="str">
        <f t="shared" si="26"/>
        <v/>
      </c>
      <c r="AC142" s="45" t="str">
        <f t="shared" si="37"/>
        <v>...</v>
      </c>
      <c r="AD142" s="45" t="str">
        <f t="shared" si="38"/>
        <v>...</v>
      </c>
      <c r="AE142" s="12" t="str">
        <f t="shared" si="11"/>
        <v>...</v>
      </c>
      <c r="AF142" s="45" t="str">
        <f t="shared" si="39"/>
        <v>...</v>
      </c>
      <c r="AG142" s="45" t="str">
        <f t="shared" si="27"/>
        <v>...</v>
      </c>
      <c r="AH142" s="12" t="str">
        <f t="shared" si="13"/>
        <v>...</v>
      </c>
      <c r="AI142" s="46" t="str">
        <f t="shared" si="40"/>
        <v>...</v>
      </c>
      <c r="AJ142" s="2"/>
      <c r="AK142" s="2"/>
      <c r="AL142" s="2"/>
      <c r="AM142" s="2"/>
      <c r="AN142" s="2"/>
      <c r="AO142" s="2"/>
    </row>
    <row r="143" ht="24.0" customHeight="1">
      <c r="A143" s="4"/>
      <c r="B143" s="30"/>
      <c r="C143" s="5" t="str">
        <f>IFERROR(__xludf.DUMMYFUNCTION("if(B143=0,""..."", sparkline(query(GOOGLEFINANCE(""BCBA:""&amp;B143,""price"",today()-$AM$47,today()),""select Col2"",0),{""charttype"",$AM$46}))"),"...")</f>
        <v>...</v>
      </c>
      <c r="D143" s="17"/>
      <c r="E143" s="31"/>
      <c r="F143" s="7"/>
      <c r="G143" s="8" t="str">
        <f t="shared" si="1"/>
        <v>...</v>
      </c>
      <c r="H143" s="31"/>
      <c r="I143" s="52"/>
      <c r="J143" s="45" t="str">
        <f t="shared" si="2"/>
        <v>...</v>
      </c>
      <c r="K143" s="47" t="str">
        <f t="array" ref="K143">IF(B143=0,"...",J143/VLOOKUP(D143,{CCL!M:N;CCL!$P:$Q},2,FALSE))</f>
        <v>...</v>
      </c>
      <c r="L143" s="45" t="str">
        <f t="shared" si="41"/>
        <v>...</v>
      </c>
      <c r="M143" s="45" t="str">
        <f>if(B143=0,"...",L143*(1-VLOOKUP(A143,Config!$B$3:$C$22,2,FALSE)))</f>
        <v>...</v>
      </c>
      <c r="N143" s="45" t="str">
        <f t="shared" si="3"/>
        <v>...</v>
      </c>
      <c r="O143" s="12" t="str">
        <f>IFERROR(__xludf.DUMMYFUNCTION("if(B143=0,""..."",GOOGLEFINANCE(B143,""changepct"")/100)"),"...")</f>
        <v>...</v>
      </c>
      <c r="P143" s="10" t="str">
        <f>IFERROR(__xludf.DUMMYFUNCTION("if(B143=0,""..."",GOOGLEFINANCE(B143,""change"")*H143)"),"...")</f>
        <v>...</v>
      </c>
      <c r="Q143" s="12" t="str">
        <f t="shared" si="4"/>
        <v>...</v>
      </c>
      <c r="R143" s="47" t="str">
        <f t="shared" si="5"/>
        <v>...</v>
      </c>
      <c r="S143" s="12" t="str">
        <f t="shared" si="36"/>
        <v>...</v>
      </c>
      <c r="T143" s="47" t="str">
        <f>IF(B143=0,"...",(N143/IF(E143="ABIERTA",CCL!$E$2,VLOOKUP(F143,CCL!$A$12:$B$773,2,FALSE))-K143))</f>
        <v>...</v>
      </c>
      <c r="U143" s="2"/>
      <c r="V143" s="10"/>
      <c r="W143" s="10"/>
      <c r="X143" s="59" t="str">
        <f t="shared" si="29"/>
        <v>...</v>
      </c>
      <c r="Y143" s="45" t="str">
        <f>IFERROR(__xludf.DUMMYFUNCTION("IF(W143=0,""..."",GOOGLEFINANCE(""BCBA:""&amp;W143))"),"...")</f>
        <v>...</v>
      </c>
      <c r="Z143" s="12"/>
      <c r="AA143" s="45"/>
      <c r="AB143" s="12" t="str">
        <f t="shared" si="26"/>
        <v/>
      </c>
      <c r="AC143" s="45" t="str">
        <f t="shared" si="37"/>
        <v>...</v>
      </c>
      <c r="AD143" s="45" t="str">
        <f t="shared" si="38"/>
        <v>...</v>
      </c>
      <c r="AE143" s="12" t="str">
        <f t="shared" si="11"/>
        <v>...</v>
      </c>
      <c r="AF143" s="45" t="str">
        <f t="shared" si="39"/>
        <v>...</v>
      </c>
      <c r="AG143" s="45" t="str">
        <f t="shared" si="27"/>
        <v>...</v>
      </c>
      <c r="AH143" s="12" t="str">
        <f t="shared" si="13"/>
        <v>...</v>
      </c>
      <c r="AI143" s="46" t="str">
        <f t="shared" si="40"/>
        <v>...</v>
      </c>
      <c r="AJ143" s="2"/>
      <c r="AK143" s="2"/>
      <c r="AL143" s="2"/>
      <c r="AM143" s="2"/>
      <c r="AN143" s="2"/>
      <c r="AO143" s="2"/>
    </row>
    <row r="144" ht="24.0" customHeight="1">
      <c r="A144" s="4"/>
      <c r="B144" s="30"/>
      <c r="C144" s="5" t="str">
        <f>IFERROR(__xludf.DUMMYFUNCTION("if(B144=0,""..."", sparkline(query(GOOGLEFINANCE(""BCBA:""&amp;B144,""price"",today()-$AM$47,today()),""select Col2"",0),{""charttype"",$AM$46}))"),"...")</f>
        <v>...</v>
      </c>
      <c r="D144" s="17"/>
      <c r="E144" s="31"/>
      <c r="F144" s="7"/>
      <c r="G144" s="8" t="str">
        <f t="shared" si="1"/>
        <v>...</v>
      </c>
      <c r="H144" s="31"/>
      <c r="I144" s="52"/>
      <c r="J144" s="45" t="str">
        <f t="shared" si="2"/>
        <v>...</v>
      </c>
      <c r="K144" s="47" t="str">
        <f t="array" ref="K144">IF(B144=0,"...",J144/VLOOKUP(D144,{CCL!M:N;CCL!$P:$Q},2,FALSE))</f>
        <v>...</v>
      </c>
      <c r="L144" s="45" t="str">
        <f t="shared" si="41"/>
        <v>...</v>
      </c>
      <c r="M144" s="45" t="str">
        <f>if(B144=0,"...",L144*(1-VLOOKUP(A144,Config!$B$3:$C$22,2,FALSE)))</f>
        <v>...</v>
      </c>
      <c r="N144" s="45" t="str">
        <f t="shared" si="3"/>
        <v>...</v>
      </c>
      <c r="O144" s="12" t="str">
        <f>IFERROR(__xludf.DUMMYFUNCTION("if(B144=0,""..."",GOOGLEFINANCE(B144,""changepct"")/100)"),"...")</f>
        <v>...</v>
      </c>
      <c r="P144" s="10" t="str">
        <f>IFERROR(__xludf.DUMMYFUNCTION("if(B144=0,""..."",GOOGLEFINANCE(B144,""change"")*H144)"),"...")</f>
        <v>...</v>
      </c>
      <c r="Q144" s="12" t="str">
        <f t="shared" si="4"/>
        <v>...</v>
      </c>
      <c r="R144" s="47" t="str">
        <f t="shared" si="5"/>
        <v>...</v>
      </c>
      <c r="S144" s="12" t="str">
        <f t="shared" si="36"/>
        <v>...</v>
      </c>
      <c r="T144" s="47" t="str">
        <f>IF(B144=0,"...",(N144/IF(E144="ABIERTA",CCL!$E$2,VLOOKUP(F144,CCL!$A$12:$B$773,2,FALSE))-K144))</f>
        <v>...</v>
      </c>
      <c r="U144" s="2"/>
      <c r="V144" s="10"/>
      <c r="W144" s="10"/>
      <c r="X144" s="59" t="str">
        <f t="shared" si="29"/>
        <v>...</v>
      </c>
      <c r="Y144" s="45" t="str">
        <f>IFERROR(__xludf.DUMMYFUNCTION("IF(W144=0,""..."",GOOGLEFINANCE(""BCBA:""&amp;W144))"),"...")</f>
        <v>...</v>
      </c>
      <c r="Z144" s="12"/>
      <c r="AA144" s="45"/>
      <c r="AB144" s="12" t="str">
        <f t="shared" si="26"/>
        <v/>
      </c>
      <c r="AC144" s="45" t="str">
        <f t="shared" si="37"/>
        <v>...</v>
      </c>
      <c r="AD144" s="45" t="str">
        <f t="shared" si="38"/>
        <v>...</v>
      </c>
      <c r="AE144" s="12" t="str">
        <f t="shared" si="11"/>
        <v>...</v>
      </c>
      <c r="AF144" s="45" t="str">
        <f t="shared" si="39"/>
        <v>...</v>
      </c>
      <c r="AG144" s="45" t="str">
        <f t="shared" si="27"/>
        <v>...</v>
      </c>
      <c r="AH144" s="12" t="str">
        <f t="shared" si="13"/>
        <v>...</v>
      </c>
      <c r="AI144" s="46" t="str">
        <f t="shared" si="40"/>
        <v>...</v>
      </c>
      <c r="AJ144" s="2"/>
      <c r="AK144" s="2"/>
      <c r="AL144" s="2"/>
      <c r="AM144" s="2"/>
      <c r="AN144" s="2"/>
      <c r="AO144" s="2"/>
    </row>
    <row r="145" ht="24.0" customHeight="1">
      <c r="A145" s="4"/>
      <c r="B145" s="30"/>
      <c r="C145" s="5" t="str">
        <f>IFERROR(__xludf.DUMMYFUNCTION("if(B145=0,""..."", sparkline(query(GOOGLEFINANCE(""BCBA:""&amp;B145,""price"",today()-$AM$47,today()),""select Col2"",0),{""charttype"",$AM$46}))"),"...")</f>
        <v>...</v>
      </c>
      <c r="D145" s="17"/>
      <c r="E145" s="31"/>
      <c r="F145" s="7"/>
      <c r="G145" s="8" t="str">
        <f t="shared" si="1"/>
        <v>...</v>
      </c>
      <c r="H145" s="31"/>
      <c r="I145" s="52"/>
      <c r="J145" s="45" t="str">
        <f t="shared" si="2"/>
        <v>...</v>
      </c>
      <c r="K145" s="47" t="str">
        <f t="array" ref="K145">IF(B145=0,"...",J145/VLOOKUP(D145,{CCL!M:N;CCL!$P:$Q},2,FALSE))</f>
        <v>...</v>
      </c>
      <c r="L145" s="45" t="str">
        <f t="shared" si="41"/>
        <v>...</v>
      </c>
      <c r="M145" s="45" t="str">
        <f>if(B145=0,"...",L145*(1-VLOOKUP(A145,Config!$B$3:$C$22,2,FALSE)))</f>
        <v>...</v>
      </c>
      <c r="N145" s="45" t="str">
        <f t="shared" si="3"/>
        <v>...</v>
      </c>
      <c r="O145" s="12" t="str">
        <f>IFERROR(__xludf.DUMMYFUNCTION("if(B145=0,""..."",GOOGLEFINANCE(B145,""changepct"")/100)"),"...")</f>
        <v>...</v>
      </c>
      <c r="P145" s="10" t="str">
        <f>IFERROR(__xludf.DUMMYFUNCTION("if(B145=0,""..."",GOOGLEFINANCE(B145,""change"")*H145)"),"...")</f>
        <v>...</v>
      </c>
      <c r="Q145" s="12" t="str">
        <f t="shared" si="4"/>
        <v>...</v>
      </c>
      <c r="R145" s="47" t="str">
        <f t="shared" si="5"/>
        <v>...</v>
      </c>
      <c r="S145" s="12" t="str">
        <f t="shared" si="36"/>
        <v>...</v>
      </c>
      <c r="T145" s="47" t="str">
        <f>IF(B145=0,"...",(N145/IF(E145="ABIERTA",CCL!$E$2,VLOOKUP(F145,CCL!$A$12:$B$773,2,FALSE))-K145))</f>
        <v>...</v>
      </c>
      <c r="U145" s="2"/>
      <c r="V145" s="10"/>
      <c r="W145" s="10"/>
      <c r="X145" s="59" t="str">
        <f t="shared" si="29"/>
        <v>...</v>
      </c>
      <c r="Y145" s="45" t="str">
        <f>IFERROR(__xludf.DUMMYFUNCTION("IF(W145=0,""..."",GOOGLEFINANCE(""BCBA:""&amp;W145))"),"...")</f>
        <v>...</v>
      </c>
      <c r="Z145" s="12"/>
      <c r="AA145" s="45"/>
      <c r="AB145" s="12" t="str">
        <f t="shared" si="26"/>
        <v/>
      </c>
      <c r="AC145" s="45" t="str">
        <f t="shared" si="37"/>
        <v>...</v>
      </c>
      <c r="AD145" s="45" t="str">
        <f t="shared" si="38"/>
        <v>...</v>
      </c>
      <c r="AE145" s="12" t="str">
        <f t="shared" si="11"/>
        <v>...</v>
      </c>
      <c r="AF145" s="45" t="str">
        <f t="shared" si="39"/>
        <v>...</v>
      </c>
      <c r="AG145" s="45" t="str">
        <f t="shared" si="27"/>
        <v>...</v>
      </c>
      <c r="AH145" s="12" t="str">
        <f t="shared" si="13"/>
        <v>...</v>
      </c>
      <c r="AI145" s="46" t="str">
        <f t="shared" si="40"/>
        <v>...</v>
      </c>
      <c r="AJ145" s="2"/>
      <c r="AK145" s="2"/>
      <c r="AL145" s="2"/>
      <c r="AM145" s="2"/>
      <c r="AN145" s="2"/>
      <c r="AO145" s="2"/>
    </row>
    <row r="146" ht="24.0" customHeight="1">
      <c r="A146" s="4"/>
      <c r="B146" s="30"/>
      <c r="C146" s="5" t="str">
        <f>IFERROR(__xludf.DUMMYFUNCTION("if(B146=0,""..."", sparkline(query(GOOGLEFINANCE(""BCBA:""&amp;B146,""price"",today()-$AM$47,today()),""select Col2"",0),{""charttype"",$AM$46}))"),"...")</f>
        <v>...</v>
      </c>
      <c r="D146" s="17"/>
      <c r="E146" s="31"/>
      <c r="F146" s="7"/>
      <c r="G146" s="8" t="str">
        <f t="shared" si="1"/>
        <v>...</v>
      </c>
      <c r="H146" s="31"/>
      <c r="I146" s="52"/>
      <c r="J146" s="45" t="str">
        <f t="shared" si="2"/>
        <v>...</v>
      </c>
      <c r="K146" s="47" t="str">
        <f t="array" ref="K146">IF(B146=0,"...",J146/VLOOKUP(D146,{CCL!M:N;CCL!$P:$Q},2,FALSE))</f>
        <v>...</v>
      </c>
      <c r="L146" s="45" t="str">
        <f t="shared" si="41"/>
        <v>...</v>
      </c>
      <c r="M146" s="45" t="str">
        <f>if(B146=0,"...",L146*(1-VLOOKUP(A146,Config!$B$3:$C$22,2,FALSE)))</f>
        <v>...</v>
      </c>
      <c r="N146" s="45" t="str">
        <f t="shared" si="3"/>
        <v>...</v>
      </c>
      <c r="O146" s="12" t="str">
        <f>IFERROR(__xludf.DUMMYFUNCTION("if(B146=0,""..."",GOOGLEFINANCE(B146,""changepct"")/100)"),"...")</f>
        <v>...</v>
      </c>
      <c r="P146" s="10" t="str">
        <f>IFERROR(__xludf.DUMMYFUNCTION("if(B146=0,""..."",GOOGLEFINANCE(B146,""change"")*H146)"),"...")</f>
        <v>...</v>
      </c>
      <c r="Q146" s="12" t="str">
        <f t="shared" si="4"/>
        <v>...</v>
      </c>
      <c r="R146" s="47" t="str">
        <f t="shared" si="5"/>
        <v>...</v>
      </c>
      <c r="S146" s="12" t="str">
        <f t="shared" si="36"/>
        <v>...</v>
      </c>
      <c r="T146" s="47" t="str">
        <f>IF(B146=0,"...",(N146/IF(E146="ABIERTA",CCL!$E$2,VLOOKUP(F146,CCL!$A$12:$B$773,2,FALSE))-K146))</f>
        <v>...</v>
      </c>
      <c r="U146" s="2"/>
      <c r="V146" s="10"/>
      <c r="W146" s="10"/>
      <c r="X146" s="59" t="str">
        <f t="shared" si="29"/>
        <v>...</v>
      </c>
      <c r="Y146" s="45" t="str">
        <f>IFERROR(__xludf.DUMMYFUNCTION("IF(W146=0,""..."",GOOGLEFINANCE(""BCBA:""&amp;W146))"),"...")</f>
        <v>...</v>
      </c>
      <c r="Z146" s="12"/>
      <c r="AA146" s="45"/>
      <c r="AB146" s="12" t="str">
        <f t="shared" si="26"/>
        <v/>
      </c>
      <c r="AC146" s="45" t="str">
        <f t="shared" si="37"/>
        <v>...</v>
      </c>
      <c r="AD146" s="45" t="str">
        <f t="shared" si="38"/>
        <v>...</v>
      </c>
      <c r="AE146" s="12" t="str">
        <f t="shared" si="11"/>
        <v>...</v>
      </c>
      <c r="AF146" s="45" t="str">
        <f t="shared" si="39"/>
        <v>...</v>
      </c>
      <c r="AG146" s="45" t="str">
        <f t="shared" si="27"/>
        <v>...</v>
      </c>
      <c r="AH146" s="12" t="str">
        <f t="shared" si="13"/>
        <v>...</v>
      </c>
      <c r="AI146" s="46" t="str">
        <f t="shared" si="40"/>
        <v>...</v>
      </c>
      <c r="AJ146" s="2"/>
      <c r="AK146" s="2"/>
      <c r="AL146" s="2"/>
      <c r="AM146" s="2"/>
      <c r="AN146" s="2"/>
      <c r="AO146" s="2"/>
    </row>
    <row r="147" ht="24.0" customHeight="1">
      <c r="A147" s="4"/>
      <c r="B147" s="30"/>
      <c r="C147" s="5" t="str">
        <f>IFERROR(__xludf.DUMMYFUNCTION("if(B147=0,""..."", sparkline(query(GOOGLEFINANCE(""BCBA:""&amp;B147,""price"",today()-$AM$47,today()),""select Col2"",0),{""charttype"",$AM$46}))"),"...")</f>
        <v>...</v>
      </c>
      <c r="D147" s="17"/>
      <c r="E147" s="31"/>
      <c r="F147" s="7"/>
      <c r="G147" s="8" t="str">
        <f t="shared" si="1"/>
        <v>...</v>
      </c>
      <c r="H147" s="31"/>
      <c r="I147" s="52"/>
      <c r="J147" s="45" t="str">
        <f t="shared" si="2"/>
        <v>...</v>
      </c>
      <c r="K147" s="47" t="str">
        <f t="array" ref="K147">IF(B147=0,"...",J147/VLOOKUP(D147,{CCL!M:N;CCL!$P:$Q},2,FALSE))</f>
        <v>...</v>
      </c>
      <c r="L147" s="45" t="str">
        <f t="shared" si="41"/>
        <v>...</v>
      </c>
      <c r="M147" s="45" t="str">
        <f>if(B147=0,"...",L147*(1-VLOOKUP(A147,Config!$B$3:$C$22,2,FALSE)))</f>
        <v>...</v>
      </c>
      <c r="N147" s="45" t="str">
        <f t="shared" si="3"/>
        <v>...</v>
      </c>
      <c r="O147" s="12" t="str">
        <f>IFERROR(__xludf.DUMMYFUNCTION("if(B147=0,""..."",GOOGLEFINANCE(B147,""changepct"")/100)"),"...")</f>
        <v>...</v>
      </c>
      <c r="P147" s="10" t="str">
        <f>IFERROR(__xludf.DUMMYFUNCTION("if(B147=0,""..."",GOOGLEFINANCE(B147,""change"")*H147)"),"...")</f>
        <v>...</v>
      </c>
      <c r="Q147" s="12" t="str">
        <f t="shared" si="4"/>
        <v>...</v>
      </c>
      <c r="R147" s="47" t="str">
        <f t="shared" si="5"/>
        <v>...</v>
      </c>
      <c r="S147" s="12" t="str">
        <f t="shared" si="36"/>
        <v>...</v>
      </c>
      <c r="T147" s="47" t="str">
        <f>IF(B147=0,"...",(N147/IF(E147="ABIERTA",CCL!$E$2,VLOOKUP(F147,CCL!$A$12:$B$773,2,FALSE))-K147))</f>
        <v>...</v>
      </c>
      <c r="U147" s="2"/>
      <c r="V147" s="10"/>
      <c r="W147" s="10"/>
      <c r="X147" s="59" t="str">
        <f t="shared" si="29"/>
        <v>...</v>
      </c>
      <c r="Y147" s="45" t="str">
        <f>IFERROR(__xludf.DUMMYFUNCTION("IF(W147=0,""..."",GOOGLEFINANCE(""BCBA:""&amp;W147))"),"...")</f>
        <v>...</v>
      </c>
      <c r="Z147" s="12"/>
      <c r="AA147" s="45"/>
      <c r="AB147" s="12" t="str">
        <f t="shared" si="26"/>
        <v/>
      </c>
      <c r="AC147" s="45" t="str">
        <f t="shared" si="37"/>
        <v>...</v>
      </c>
      <c r="AD147" s="45" t="str">
        <f t="shared" si="38"/>
        <v>...</v>
      </c>
      <c r="AE147" s="12" t="str">
        <f t="shared" si="11"/>
        <v>...</v>
      </c>
      <c r="AF147" s="45" t="str">
        <f t="shared" si="39"/>
        <v>...</v>
      </c>
      <c r="AG147" s="45" t="str">
        <f t="shared" si="27"/>
        <v>...</v>
      </c>
      <c r="AH147" s="12" t="str">
        <f t="shared" si="13"/>
        <v>...</v>
      </c>
      <c r="AI147" s="46" t="str">
        <f t="shared" si="40"/>
        <v>...</v>
      </c>
      <c r="AJ147" s="2"/>
      <c r="AK147" s="2"/>
      <c r="AL147" s="2"/>
      <c r="AM147" s="2"/>
      <c r="AN147" s="2"/>
      <c r="AO147" s="2"/>
    </row>
    <row r="148" ht="24.0" customHeight="1">
      <c r="A148" s="4"/>
      <c r="B148" s="30"/>
      <c r="C148" s="5" t="str">
        <f>IFERROR(__xludf.DUMMYFUNCTION("if(B148=0,""..."", sparkline(query(GOOGLEFINANCE(""BCBA:""&amp;B148,""price"",today()-$AM$47,today()),""select Col2"",0),{""charttype"",$AM$46}))"),"...")</f>
        <v>...</v>
      </c>
      <c r="D148" s="17"/>
      <c r="E148" s="31"/>
      <c r="F148" s="7"/>
      <c r="G148" s="8" t="str">
        <f t="shared" si="1"/>
        <v>...</v>
      </c>
      <c r="H148" s="31"/>
      <c r="I148" s="52"/>
      <c r="J148" s="45" t="str">
        <f t="shared" si="2"/>
        <v>...</v>
      </c>
      <c r="K148" s="47" t="str">
        <f t="array" ref="K148">IF(B148=0,"...",J148/VLOOKUP(D148,{CCL!M:N;CCL!$P:$Q},2,FALSE))</f>
        <v>...</v>
      </c>
      <c r="L148" s="45" t="str">
        <f t="shared" si="41"/>
        <v>...</v>
      </c>
      <c r="M148" s="45" t="str">
        <f>if(B148=0,"...",L148*(1-VLOOKUP(A148,Config!$B$3:$C$22,2,FALSE)))</f>
        <v>...</v>
      </c>
      <c r="N148" s="45" t="str">
        <f t="shared" si="3"/>
        <v>...</v>
      </c>
      <c r="O148" s="12" t="str">
        <f>IFERROR(__xludf.DUMMYFUNCTION("if(B148=0,""..."",GOOGLEFINANCE(B148,""changepct"")/100)"),"...")</f>
        <v>...</v>
      </c>
      <c r="P148" s="10" t="str">
        <f>IFERROR(__xludf.DUMMYFUNCTION("if(B148=0,""..."",GOOGLEFINANCE(B148,""change"")*H148)"),"...")</f>
        <v>...</v>
      </c>
      <c r="Q148" s="12" t="str">
        <f t="shared" si="4"/>
        <v>...</v>
      </c>
      <c r="R148" s="47" t="str">
        <f t="shared" si="5"/>
        <v>...</v>
      </c>
      <c r="S148" s="12" t="str">
        <f t="shared" si="36"/>
        <v>...</v>
      </c>
      <c r="T148" s="47" t="str">
        <f>IF(B148=0,"...",(N148/IF(E148="ABIERTA",CCL!$E$2,VLOOKUP(F148,CCL!$A$12:$B$773,2,FALSE))-K148))</f>
        <v>...</v>
      </c>
      <c r="U148" s="2"/>
      <c r="V148" s="10"/>
      <c r="W148" s="10"/>
      <c r="X148" s="59" t="str">
        <f t="shared" si="29"/>
        <v>...</v>
      </c>
      <c r="Y148" s="45" t="str">
        <f>IFERROR(__xludf.DUMMYFUNCTION("IF(W148=0,""..."",GOOGLEFINANCE(""BCBA:""&amp;W148))"),"...")</f>
        <v>...</v>
      </c>
      <c r="Z148" s="12"/>
      <c r="AA148" s="45"/>
      <c r="AB148" s="12" t="str">
        <f t="shared" si="26"/>
        <v/>
      </c>
      <c r="AC148" s="45" t="str">
        <f t="shared" si="37"/>
        <v>...</v>
      </c>
      <c r="AD148" s="45" t="str">
        <f t="shared" si="38"/>
        <v>...</v>
      </c>
      <c r="AE148" s="12" t="str">
        <f t="shared" si="11"/>
        <v>...</v>
      </c>
      <c r="AF148" s="45" t="str">
        <f t="shared" si="39"/>
        <v>...</v>
      </c>
      <c r="AG148" s="45" t="str">
        <f t="shared" si="27"/>
        <v>...</v>
      </c>
      <c r="AH148" s="12" t="str">
        <f t="shared" si="13"/>
        <v>...</v>
      </c>
      <c r="AI148" s="46" t="str">
        <f t="shared" si="40"/>
        <v>...</v>
      </c>
      <c r="AJ148" s="2"/>
      <c r="AK148" s="2"/>
      <c r="AL148" s="2"/>
      <c r="AM148" s="2"/>
      <c r="AN148" s="2"/>
      <c r="AO148" s="2"/>
    </row>
    <row r="149" ht="24.0" customHeight="1">
      <c r="A149" s="4"/>
      <c r="B149" s="30"/>
      <c r="C149" s="5" t="str">
        <f>IFERROR(__xludf.DUMMYFUNCTION("if(B149=0,""..."", sparkline(query(GOOGLEFINANCE(""BCBA:""&amp;B149,""price"",today()-$AM$47,today()),""select Col2"",0),{""charttype"",$AM$46}))"),"...")</f>
        <v>...</v>
      </c>
      <c r="D149" s="17"/>
      <c r="E149" s="31"/>
      <c r="F149" s="7"/>
      <c r="G149" s="8" t="str">
        <f t="shared" si="1"/>
        <v>...</v>
      </c>
      <c r="H149" s="31"/>
      <c r="I149" s="52"/>
      <c r="J149" s="45" t="str">
        <f t="shared" si="2"/>
        <v>...</v>
      </c>
      <c r="K149" s="47" t="str">
        <f t="array" ref="K149">IF(B149=0,"...",J149/VLOOKUP(D149,{CCL!M:N;CCL!$P:$Q},2,FALSE))</f>
        <v>...</v>
      </c>
      <c r="L149" s="45" t="str">
        <f t="shared" si="41"/>
        <v>...</v>
      </c>
      <c r="M149" s="45" t="str">
        <f>if(B149=0,"...",L149*(1-VLOOKUP(A149,Config!$B$3:$C$22,2,FALSE)))</f>
        <v>...</v>
      </c>
      <c r="N149" s="45" t="str">
        <f t="shared" si="3"/>
        <v>...</v>
      </c>
      <c r="O149" s="12" t="str">
        <f>IFERROR(__xludf.DUMMYFUNCTION("if(B149=0,""..."",GOOGLEFINANCE(B149,""changepct"")/100)"),"...")</f>
        <v>...</v>
      </c>
      <c r="P149" s="10" t="str">
        <f>IFERROR(__xludf.DUMMYFUNCTION("if(B149=0,""..."",GOOGLEFINANCE(B149,""change"")*H149)"),"...")</f>
        <v>...</v>
      </c>
      <c r="Q149" s="12" t="str">
        <f t="shared" si="4"/>
        <v>...</v>
      </c>
      <c r="R149" s="47" t="str">
        <f t="shared" si="5"/>
        <v>...</v>
      </c>
      <c r="S149" s="12" t="str">
        <f t="shared" si="36"/>
        <v>...</v>
      </c>
      <c r="T149" s="47" t="str">
        <f>IF(B149=0,"...",(N149/IF(E149="ABIERTA",CCL!$E$2,VLOOKUP(F149,CCL!$A$12:$B$773,2,FALSE))-K149))</f>
        <v>...</v>
      </c>
      <c r="U149" s="2"/>
      <c r="V149" s="10"/>
      <c r="W149" s="10"/>
      <c r="X149" s="59" t="str">
        <f t="shared" si="29"/>
        <v>...</v>
      </c>
      <c r="Y149" s="45" t="str">
        <f>IFERROR(__xludf.DUMMYFUNCTION("IF(W149=0,""..."",GOOGLEFINANCE(""BCBA:""&amp;W149))"),"...")</f>
        <v>...</v>
      </c>
      <c r="Z149" s="12"/>
      <c r="AA149" s="45"/>
      <c r="AB149" s="12" t="str">
        <f t="shared" si="26"/>
        <v/>
      </c>
      <c r="AC149" s="45" t="str">
        <f t="shared" si="37"/>
        <v>...</v>
      </c>
      <c r="AD149" s="45" t="str">
        <f t="shared" si="38"/>
        <v>...</v>
      </c>
      <c r="AE149" s="12" t="str">
        <f t="shared" si="11"/>
        <v>...</v>
      </c>
      <c r="AF149" s="45" t="str">
        <f t="shared" si="39"/>
        <v>...</v>
      </c>
      <c r="AG149" s="45" t="str">
        <f t="shared" si="27"/>
        <v>...</v>
      </c>
      <c r="AH149" s="12" t="str">
        <f t="shared" si="13"/>
        <v>...</v>
      </c>
      <c r="AI149" s="46" t="str">
        <f t="shared" si="40"/>
        <v>...</v>
      </c>
      <c r="AJ149" s="2"/>
      <c r="AK149" s="2"/>
      <c r="AL149" s="2"/>
      <c r="AM149" s="2"/>
      <c r="AN149" s="2"/>
      <c r="AO149" s="2"/>
    </row>
    <row r="150" ht="24.0" customHeight="1">
      <c r="A150" s="4"/>
      <c r="B150" s="30"/>
      <c r="C150" s="5" t="str">
        <f>IFERROR(__xludf.DUMMYFUNCTION("if(B150=0,""..."", sparkline(query(GOOGLEFINANCE(""BCBA:""&amp;B150,""price"",today()-$AM$47,today()),""select Col2"",0),{""charttype"",$AM$46}))"),"...")</f>
        <v>...</v>
      </c>
      <c r="D150" s="17"/>
      <c r="E150" s="31"/>
      <c r="F150" s="7"/>
      <c r="G150" s="8" t="str">
        <f t="shared" si="1"/>
        <v>...</v>
      </c>
      <c r="H150" s="31"/>
      <c r="I150" s="52"/>
      <c r="J150" s="45" t="str">
        <f t="shared" si="2"/>
        <v>...</v>
      </c>
      <c r="K150" s="47" t="str">
        <f t="array" ref="K150">IF(B150=0,"...",J150/VLOOKUP(D150,{CCL!M:N;CCL!$P:$Q},2,FALSE))</f>
        <v>...</v>
      </c>
      <c r="L150" s="45" t="str">
        <f t="shared" si="41"/>
        <v>...</v>
      </c>
      <c r="M150" s="45" t="str">
        <f>if(B150=0,"...",L150*(1-VLOOKUP(A150,Config!$B$3:$C$22,2,FALSE)))</f>
        <v>...</v>
      </c>
      <c r="N150" s="45" t="str">
        <f t="shared" si="3"/>
        <v>...</v>
      </c>
      <c r="O150" s="12" t="str">
        <f>IFERROR(__xludf.DUMMYFUNCTION("if(B150=0,""..."",GOOGLEFINANCE(B150,""changepct"")/100)"),"...")</f>
        <v>...</v>
      </c>
      <c r="P150" s="10" t="str">
        <f>IFERROR(__xludf.DUMMYFUNCTION("if(B150=0,""..."",GOOGLEFINANCE(B150,""change"")*H150)"),"...")</f>
        <v>...</v>
      </c>
      <c r="Q150" s="12" t="str">
        <f t="shared" si="4"/>
        <v>...</v>
      </c>
      <c r="R150" s="47" t="str">
        <f t="shared" si="5"/>
        <v>...</v>
      </c>
      <c r="S150" s="12" t="str">
        <f t="shared" si="36"/>
        <v>...</v>
      </c>
      <c r="T150" s="47" t="str">
        <f>IF(B150=0,"...",(N150/IF(E150="ABIERTA",CCL!$E$2,VLOOKUP(F150,CCL!$A$12:$B$773,2,FALSE))-K150))</f>
        <v>...</v>
      </c>
      <c r="U150" s="2"/>
      <c r="V150" s="10"/>
      <c r="W150" s="10"/>
      <c r="X150" s="59" t="str">
        <f t="shared" si="29"/>
        <v>...</v>
      </c>
      <c r="Y150" s="45" t="str">
        <f>IFERROR(__xludf.DUMMYFUNCTION("IF(W150=0,""..."",GOOGLEFINANCE(""BCBA:""&amp;W150))"),"...")</f>
        <v>...</v>
      </c>
      <c r="Z150" s="12"/>
      <c r="AA150" s="45"/>
      <c r="AB150" s="12" t="str">
        <f t="shared" si="26"/>
        <v/>
      </c>
      <c r="AC150" s="45" t="str">
        <f t="shared" si="37"/>
        <v>...</v>
      </c>
      <c r="AD150" s="45" t="str">
        <f t="shared" si="38"/>
        <v>...</v>
      </c>
      <c r="AE150" s="12" t="str">
        <f t="shared" si="11"/>
        <v>...</v>
      </c>
      <c r="AF150" s="45" t="str">
        <f t="shared" si="39"/>
        <v>...</v>
      </c>
      <c r="AG150" s="45" t="str">
        <f t="shared" si="27"/>
        <v>...</v>
      </c>
      <c r="AH150" s="12" t="str">
        <f t="shared" si="13"/>
        <v>...</v>
      </c>
      <c r="AI150" s="46" t="str">
        <f t="shared" si="40"/>
        <v>...</v>
      </c>
      <c r="AJ150" s="2"/>
      <c r="AK150" s="2"/>
      <c r="AL150" s="2"/>
      <c r="AM150" s="2"/>
      <c r="AN150" s="2"/>
      <c r="AO150" s="2"/>
    </row>
    <row r="151" ht="24.0" customHeight="1">
      <c r="A151" s="4"/>
      <c r="B151" s="30"/>
      <c r="C151" s="5" t="str">
        <f>IFERROR(__xludf.DUMMYFUNCTION("if(B151=0,""..."", sparkline(query(GOOGLEFINANCE(""BCBA:""&amp;B151,""price"",today()-$AM$47,today()),""select Col2"",0),{""charttype"",$AM$46}))"),"...")</f>
        <v>...</v>
      </c>
      <c r="D151" s="17"/>
      <c r="E151" s="31"/>
      <c r="F151" s="7"/>
      <c r="G151" s="8" t="str">
        <f t="shared" si="1"/>
        <v>...</v>
      </c>
      <c r="H151" s="31"/>
      <c r="I151" s="52"/>
      <c r="J151" s="45" t="str">
        <f t="shared" si="2"/>
        <v>...</v>
      </c>
      <c r="K151" s="47" t="str">
        <f t="array" ref="K151">IF(B151=0,"...",J151/VLOOKUP(D151,{CCL!M:N;CCL!$P:$Q},2,FALSE))</f>
        <v>...</v>
      </c>
      <c r="L151" s="45" t="str">
        <f t="shared" si="41"/>
        <v>...</v>
      </c>
      <c r="M151" s="45" t="str">
        <f>if(B151=0,"...",L151*(1-VLOOKUP(A151,Config!$B$3:$C$22,2,FALSE)))</f>
        <v>...</v>
      </c>
      <c r="N151" s="45" t="str">
        <f t="shared" si="3"/>
        <v>...</v>
      </c>
      <c r="O151" s="12" t="str">
        <f>IFERROR(__xludf.DUMMYFUNCTION("if(B151=0,""..."",GOOGLEFINANCE(B151,""changepct"")/100)"),"...")</f>
        <v>...</v>
      </c>
      <c r="P151" s="10" t="str">
        <f>IFERROR(__xludf.DUMMYFUNCTION("if(B151=0,""..."",GOOGLEFINANCE(B151,""change"")*H151)"),"...")</f>
        <v>...</v>
      </c>
      <c r="Q151" s="12" t="str">
        <f t="shared" si="4"/>
        <v>...</v>
      </c>
      <c r="R151" s="47" t="str">
        <f t="shared" si="5"/>
        <v>...</v>
      </c>
      <c r="S151" s="12" t="str">
        <f t="shared" si="36"/>
        <v>...</v>
      </c>
      <c r="T151" s="47" t="str">
        <f>IF(B151=0,"...",(N151/IF(E151="ABIERTA",CCL!$E$2,VLOOKUP(F151,CCL!$A$12:$B$773,2,FALSE))-K151))</f>
        <v>...</v>
      </c>
      <c r="U151" s="2"/>
      <c r="V151" s="10"/>
      <c r="W151" s="10"/>
      <c r="X151" s="59" t="str">
        <f t="shared" si="29"/>
        <v>...</v>
      </c>
      <c r="Y151" s="45" t="str">
        <f>IFERROR(__xludf.DUMMYFUNCTION("IF(W151=0,""..."",GOOGLEFINANCE(""BCBA:""&amp;W151))"),"...")</f>
        <v>...</v>
      </c>
      <c r="Z151" s="12"/>
      <c r="AA151" s="45"/>
      <c r="AB151" s="12" t="str">
        <f t="shared" si="26"/>
        <v/>
      </c>
      <c r="AC151" s="45" t="str">
        <f t="shared" si="37"/>
        <v>...</v>
      </c>
      <c r="AD151" s="45" t="str">
        <f t="shared" si="38"/>
        <v>...</v>
      </c>
      <c r="AE151" s="12" t="str">
        <f t="shared" si="11"/>
        <v>...</v>
      </c>
      <c r="AF151" s="45" t="str">
        <f t="shared" si="39"/>
        <v>...</v>
      </c>
      <c r="AG151" s="45" t="str">
        <f t="shared" si="27"/>
        <v>...</v>
      </c>
      <c r="AH151" s="12" t="str">
        <f t="shared" si="13"/>
        <v>...</v>
      </c>
      <c r="AI151" s="46" t="str">
        <f t="shared" si="40"/>
        <v>...</v>
      </c>
      <c r="AJ151" s="2"/>
      <c r="AK151" s="2"/>
      <c r="AL151" s="2"/>
      <c r="AM151" s="2"/>
      <c r="AN151" s="2"/>
      <c r="AO151" s="2"/>
    </row>
    <row r="152" ht="24.0" customHeight="1">
      <c r="A152" s="4"/>
      <c r="B152" s="30"/>
      <c r="C152" s="5" t="str">
        <f>IFERROR(__xludf.DUMMYFUNCTION("if(B152=0,""..."", sparkline(query(GOOGLEFINANCE(""BCBA:""&amp;B152,""price"",today()-$AM$47,today()),""select Col2"",0),{""charttype"",$AM$46}))"),"...")</f>
        <v>...</v>
      </c>
      <c r="D152" s="17"/>
      <c r="E152" s="31"/>
      <c r="F152" s="7"/>
      <c r="G152" s="8" t="str">
        <f t="shared" si="1"/>
        <v>...</v>
      </c>
      <c r="H152" s="31"/>
      <c r="I152" s="52"/>
      <c r="J152" s="45" t="str">
        <f t="shared" si="2"/>
        <v>...</v>
      </c>
      <c r="K152" s="47" t="str">
        <f t="array" ref="K152">IF(B152=0,"...",J152/VLOOKUP(D152,{CCL!M:N;CCL!$P:$Q},2,FALSE))</f>
        <v>...</v>
      </c>
      <c r="L152" s="45" t="str">
        <f t="shared" si="41"/>
        <v>...</v>
      </c>
      <c r="M152" s="45" t="str">
        <f>if(B152=0,"...",L152*(1-VLOOKUP(A152,Config!$B$3:$C$22,2,FALSE)))</f>
        <v>...</v>
      </c>
      <c r="N152" s="45" t="str">
        <f t="shared" si="3"/>
        <v>...</v>
      </c>
      <c r="O152" s="12" t="str">
        <f>IFERROR(__xludf.DUMMYFUNCTION("if(B152=0,""..."",GOOGLEFINANCE(B152,""changepct"")/100)"),"...")</f>
        <v>...</v>
      </c>
      <c r="P152" s="10" t="str">
        <f>IFERROR(__xludf.DUMMYFUNCTION("if(B152=0,""..."",GOOGLEFINANCE(B152,""change"")*H152)"),"...")</f>
        <v>...</v>
      </c>
      <c r="Q152" s="12" t="str">
        <f t="shared" si="4"/>
        <v>...</v>
      </c>
      <c r="R152" s="47" t="str">
        <f t="shared" si="5"/>
        <v>...</v>
      </c>
      <c r="S152" s="12" t="str">
        <f t="shared" si="36"/>
        <v>...</v>
      </c>
      <c r="T152" s="47" t="str">
        <f>IF(B152=0,"...",(N152/IF(E152="ABIERTA",CCL!$E$2,VLOOKUP(F152,CCL!$A$12:$B$773,2,FALSE))-K152))</f>
        <v>...</v>
      </c>
      <c r="U152" s="2"/>
      <c r="V152" s="10"/>
      <c r="W152" s="10"/>
      <c r="X152" s="59" t="str">
        <f t="shared" si="29"/>
        <v>...</v>
      </c>
      <c r="Y152" s="45" t="str">
        <f>IFERROR(__xludf.DUMMYFUNCTION("IF(W152=0,""..."",GOOGLEFINANCE(""BCBA:""&amp;W152))"),"...")</f>
        <v>...</v>
      </c>
      <c r="Z152" s="12"/>
      <c r="AA152" s="45"/>
      <c r="AB152" s="12" t="str">
        <f t="shared" si="26"/>
        <v/>
      </c>
      <c r="AC152" s="45" t="str">
        <f t="shared" si="37"/>
        <v>...</v>
      </c>
      <c r="AD152" s="45" t="str">
        <f t="shared" si="38"/>
        <v>...</v>
      </c>
      <c r="AE152" s="12" t="str">
        <f t="shared" si="11"/>
        <v>...</v>
      </c>
      <c r="AF152" s="45" t="str">
        <f t="shared" si="39"/>
        <v>...</v>
      </c>
      <c r="AG152" s="45" t="str">
        <f t="shared" si="27"/>
        <v>...</v>
      </c>
      <c r="AH152" s="12" t="str">
        <f t="shared" si="13"/>
        <v>...</v>
      </c>
      <c r="AI152" s="46" t="str">
        <f t="shared" si="40"/>
        <v>...</v>
      </c>
      <c r="AJ152" s="2"/>
      <c r="AK152" s="2"/>
      <c r="AL152" s="2"/>
      <c r="AM152" s="2"/>
      <c r="AN152" s="2"/>
      <c r="AO152" s="2"/>
    </row>
    <row r="153" ht="24.0" customHeight="1">
      <c r="A153" s="4"/>
      <c r="B153" s="30"/>
      <c r="C153" s="5" t="str">
        <f>IFERROR(__xludf.DUMMYFUNCTION("if(B153=0,""..."", sparkline(query(GOOGLEFINANCE(""BCBA:""&amp;B153,""price"",today()-$AM$47,today()),""select Col2"",0),{""charttype"",$AM$46}))"),"...")</f>
        <v>...</v>
      </c>
      <c r="D153" s="17"/>
      <c r="E153" s="31"/>
      <c r="F153" s="7"/>
      <c r="G153" s="8" t="str">
        <f t="shared" si="1"/>
        <v>...</v>
      </c>
      <c r="H153" s="31"/>
      <c r="I153" s="52"/>
      <c r="J153" s="45" t="str">
        <f t="shared" si="2"/>
        <v>...</v>
      </c>
      <c r="K153" s="47" t="str">
        <f t="array" ref="K153">IF(B153=0,"...",J153/VLOOKUP(D153,{CCL!M:N;CCL!$P:$Q},2,FALSE))</f>
        <v>...</v>
      </c>
      <c r="L153" s="45" t="str">
        <f t="shared" si="41"/>
        <v>...</v>
      </c>
      <c r="M153" s="45" t="str">
        <f>if(B153=0,"...",L153*(1-VLOOKUP(A153,Config!$B$3:$C$22,2,FALSE)))</f>
        <v>...</v>
      </c>
      <c r="N153" s="45" t="str">
        <f t="shared" si="3"/>
        <v>...</v>
      </c>
      <c r="O153" s="12" t="str">
        <f>IFERROR(__xludf.DUMMYFUNCTION("if(B153=0,""..."",GOOGLEFINANCE(B153,""changepct"")/100)"),"...")</f>
        <v>...</v>
      </c>
      <c r="P153" s="10" t="str">
        <f>IFERROR(__xludf.DUMMYFUNCTION("if(B153=0,""..."",GOOGLEFINANCE(B153,""change"")*H153)"),"...")</f>
        <v>...</v>
      </c>
      <c r="Q153" s="12" t="str">
        <f t="shared" si="4"/>
        <v>...</v>
      </c>
      <c r="R153" s="47" t="str">
        <f t="shared" si="5"/>
        <v>...</v>
      </c>
      <c r="S153" s="12" t="str">
        <f t="shared" si="36"/>
        <v>...</v>
      </c>
      <c r="T153" s="47" t="str">
        <f>IF(B153=0,"...",(N153/IF(E153="ABIERTA",CCL!$E$2,VLOOKUP(F153,CCL!$A$12:$B$773,2,FALSE))-K153))</f>
        <v>...</v>
      </c>
      <c r="U153" s="2"/>
      <c r="V153" s="10"/>
      <c r="W153" s="10"/>
      <c r="X153" s="59" t="str">
        <f t="shared" si="29"/>
        <v>...</v>
      </c>
      <c r="Y153" s="45" t="str">
        <f>IFERROR(__xludf.DUMMYFUNCTION("IF(W153=0,""..."",GOOGLEFINANCE(""BCBA:""&amp;W153))"),"...")</f>
        <v>...</v>
      </c>
      <c r="Z153" s="12"/>
      <c r="AA153" s="45"/>
      <c r="AB153" s="12" t="str">
        <f t="shared" si="26"/>
        <v/>
      </c>
      <c r="AC153" s="45" t="str">
        <f t="shared" si="37"/>
        <v>...</v>
      </c>
      <c r="AD153" s="45" t="str">
        <f t="shared" si="38"/>
        <v>...</v>
      </c>
      <c r="AE153" s="12" t="str">
        <f t="shared" si="11"/>
        <v>...</v>
      </c>
      <c r="AF153" s="45" t="str">
        <f t="shared" si="39"/>
        <v>...</v>
      </c>
      <c r="AG153" s="45" t="str">
        <f t="shared" si="27"/>
        <v>...</v>
      </c>
      <c r="AH153" s="12" t="str">
        <f t="shared" si="13"/>
        <v>...</v>
      </c>
      <c r="AI153" s="46" t="str">
        <f t="shared" si="40"/>
        <v>...</v>
      </c>
      <c r="AJ153" s="2"/>
      <c r="AK153" s="2"/>
      <c r="AL153" s="2"/>
      <c r="AM153" s="2"/>
      <c r="AN153" s="2"/>
      <c r="AO153" s="2"/>
    </row>
    <row r="154" ht="24.0" customHeight="1">
      <c r="A154" s="4"/>
      <c r="B154" s="30"/>
      <c r="C154" s="5" t="str">
        <f>IFERROR(__xludf.DUMMYFUNCTION("if(B154=0,""..."", sparkline(query(GOOGLEFINANCE(""BCBA:""&amp;B154,""price"",today()-$AM$47,today()),""select Col2"",0),{""charttype"",$AM$46}))"),"...")</f>
        <v>...</v>
      </c>
      <c r="D154" s="17"/>
      <c r="E154" s="31"/>
      <c r="F154" s="7"/>
      <c r="G154" s="8" t="str">
        <f t="shared" si="1"/>
        <v>...</v>
      </c>
      <c r="H154" s="31"/>
      <c r="I154" s="52"/>
      <c r="J154" s="45" t="str">
        <f t="shared" si="2"/>
        <v>...</v>
      </c>
      <c r="K154" s="47" t="str">
        <f t="array" ref="K154">IF(B154=0,"...",J154/VLOOKUP(D154,{CCL!M:N;CCL!$P:$Q},2,FALSE))</f>
        <v>...</v>
      </c>
      <c r="L154" s="45" t="str">
        <f t="shared" si="41"/>
        <v>...</v>
      </c>
      <c r="M154" s="45" t="str">
        <f>if(B154=0,"...",L154*(1-VLOOKUP(A154,Config!$B$3:$C$22,2,FALSE)))</f>
        <v>...</v>
      </c>
      <c r="N154" s="45" t="str">
        <f t="shared" si="3"/>
        <v>...</v>
      </c>
      <c r="O154" s="12" t="str">
        <f>IFERROR(__xludf.DUMMYFUNCTION("if(B154=0,""..."",GOOGLEFINANCE(B154,""changepct"")/100)"),"...")</f>
        <v>...</v>
      </c>
      <c r="P154" s="10" t="str">
        <f>IFERROR(__xludf.DUMMYFUNCTION("if(B154=0,""..."",GOOGLEFINANCE(B154,""change"")*H154)"),"...")</f>
        <v>...</v>
      </c>
      <c r="Q154" s="12" t="str">
        <f t="shared" si="4"/>
        <v>...</v>
      </c>
      <c r="R154" s="47" t="str">
        <f t="shared" si="5"/>
        <v>...</v>
      </c>
      <c r="S154" s="12" t="str">
        <f t="shared" si="36"/>
        <v>...</v>
      </c>
      <c r="T154" s="47" t="str">
        <f>IF(B154=0,"...",(N154/IF(E154="ABIERTA",CCL!$E$2,VLOOKUP(F154,CCL!$A$12:$B$773,2,FALSE))-K154))</f>
        <v>...</v>
      </c>
      <c r="U154" s="2"/>
      <c r="V154" s="10"/>
      <c r="W154" s="10"/>
      <c r="X154" s="59" t="str">
        <f t="shared" si="29"/>
        <v>...</v>
      </c>
      <c r="Y154" s="45" t="str">
        <f>IFERROR(__xludf.DUMMYFUNCTION("IF(W154=0,""..."",GOOGLEFINANCE(""BCBA:""&amp;W154))"),"...")</f>
        <v>...</v>
      </c>
      <c r="Z154" s="12"/>
      <c r="AA154" s="45"/>
      <c r="AB154" s="12" t="str">
        <f t="shared" si="26"/>
        <v/>
      </c>
      <c r="AC154" s="45" t="str">
        <f t="shared" si="37"/>
        <v>...</v>
      </c>
      <c r="AD154" s="45" t="str">
        <f t="shared" si="38"/>
        <v>...</v>
      </c>
      <c r="AE154" s="12" t="str">
        <f t="shared" si="11"/>
        <v>...</v>
      </c>
      <c r="AF154" s="45" t="str">
        <f t="shared" si="39"/>
        <v>...</v>
      </c>
      <c r="AG154" s="45" t="str">
        <f t="shared" si="27"/>
        <v>...</v>
      </c>
      <c r="AH154" s="12" t="str">
        <f t="shared" si="13"/>
        <v>...</v>
      </c>
      <c r="AI154" s="46" t="str">
        <f t="shared" si="40"/>
        <v>...</v>
      </c>
      <c r="AJ154" s="2"/>
      <c r="AK154" s="2"/>
      <c r="AL154" s="2"/>
      <c r="AM154" s="2"/>
      <c r="AN154" s="2"/>
      <c r="AO154" s="2"/>
    </row>
    <row r="155" ht="24.0" customHeight="1">
      <c r="A155" s="4"/>
      <c r="B155" s="30"/>
      <c r="C155" s="5" t="str">
        <f>IFERROR(__xludf.DUMMYFUNCTION("if(B155=0,""..."", sparkline(query(GOOGLEFINANCE(""BCBA:""&amp;B155,""price"",today()-$AM$47,today()),""select Col2"",0),{""charttype"",$AM$46}))"),"...")</f>
        <v>...</v>
      </c>
      <c r="D155" s="17"/>
      <c r="E155" s="31"/>
      <c r="F155" s="7"/>
      <c r="G155" s="8" t="str">
        <f t="shared" si="1"/>
        <v>...</v>
      </c>
      <c r="H155" s="31"/>
      <c r="I155" s="52"/>
      <c r="J155" s="45" t="str">
        <f t="shared" si="2"/>
        <v>...</v>
      </c>
      <c r="K155" s="47" t="str">
        <f t="array" ref="K155">IF(B155=0,"...",J155/VLOOKUP(D155,{CCL!M:N;CCL!$P:$Q},2,FALSE))</f>
        <v>...</v>
      </c>
      <c r="L155" s="45" t="str">
        <f t="shared" si="41"/>
        <v>...</v>
      </c>
      <c r="M155" s="45" t="str">
        <f>if(B155=0,"...",L155*(1-VLOOKUP(A155,Config!$B$3:$C$22,2,FALSE)))</f>
        <v>...</v>
      </c>
      <c r="N155" s="45" t="str">
        <f t="shared" si="3"/>
        <v>...</v>
      </c>
      <c r="O155" s="12" t="str">
        <f>IFERROR(__xludf.DUMMYFUNCTION("if(B155=0,""..."",GOOGLEFINANCE(B155,""changepct"")/100)"),"...")</f>
        <v>...</v>
      </c>
      <c r="P155" s="10" t="str">
        <f>IFERROR(__xludf.DUMMYFUNCTION("if(B155=0,""..."",GOOGLEFINANCE(B155,""change"")*H155)"),"...")</f>
        <v>...</v>
      </c>
      <c r="Q155" s="12" t="str">
        <f t="shared" si="4"/>
        <v>...</v>
      </c>
      <c r="R155" s="47" t="str">
        <f t="shared" si="5"/>
        <v>...</v>
      </c>
      <c r="S155" s="12" t="str">
        <f t="shared" si="36"/>
        <v>...</v>
      </c>
      <c r="T155" s="47" t="str">
        <f>IF(B155=0,"...",(N155/IF(E155="ABIERTA",CCL!$E$2,VLOOKUP(F155,CCL!$A$12:$B$773,2,FALSE))-K155))</f>
        <v>...</v>
      </c>
      <c r="U155" s="2"/>
      <c r="V155" s="10"/>
      <c r="W155" s="10"/>
      <c r="X155" s="59" t="str">
        <f t="shared" si="29"/>
        <v>...</v>
      </c>
      <c r="Y155" s="45" t="str">
        <f>IFERROR(__xludf.DUMMYFUNCTION("IF(W155=0,""..."",GOOGLEFINANCE(""BCBA:""&amp;W155))"),"...")</f>
        <v>...</v>
      </c>
      <c r="Z155" s="12"/>
      <c r="AA155" s="45"/>
      <c r="AB155" s="12" t="str">
        <f t="shared" si="26"/>
        <v/>
      </c>
      <c r="AC155" s="45" t="str">
        <f t="shared" si="37"/>
        <v>...</v>
      </c>
      <c r="AD155" s="45" t="str">
        <f t="shared" si="38"/>
        <v>...</v>
      </c>
      <c r="AE155" s="12" t="str">
        <f t="shared" si="11"/>
        <v>...</v>
      </c>
      <c r="AF155" s="45" t="str">
        <f t="shared" si="39"/>
        <v>...</v>
      </c>
      <c r="AG155" s="45" t="str">
        <f t="shared" si="27"/>
        <v>...</v>
      </c>
      <c r="AH155" s="12" t="str">
        <f t="shared" si="13"/>
        <v>...</v>
      </c>
      <c r="AI155" s="46" t="str">
        <f t="shared" si="40"/>
        <v>...</v>
      </c>
      <c r="AJ155" s="2"/>
      <c r="AK155" s="2"/>
      <c r="AL155" s="2"/>
      <c r="AM155" s="2"/>
      <c r="AN155" s="2"/>
      <c r="AO155" s="2"/>
    </row>
    <row r="156" ht="24.0" customHeight="1">
      <c r="A156" s="4"/>
      <c r="B156" s="30"/>
      <c r="C156" s="5" t="str">
        <f>IFERROR(__xludf.DUMMYFUNCTION("if(B156=0,""..."", sparkline(query(GOOGLEFINANCE(""BCBA:""&amp;B156,""price"",today()-$AM$47,today()),""select Col2"",0),{""charttype"",$AM$46}))"),"...")</f>
        <v>...</v>
      </c>
      <c r="D156" s="17"/>
      <c r="E156" s="31"/>
      <c r="F156" s="7"/>
      <c r="G156" s="8" t="str">
        <f t="shared" si="1"/>
        <v>...</v>
      </c>
      <c r="H156" s="31"/>
      <c r="I156" s="52"/>
      <c r="J156" s="45" t="str">
        <f t="shared" si="2"/>
        <v>...</v>
      </c>
      <c r="K156" s="47" t="str">
        <f t="array" ref="K156">IF(B156=0,"...",J156/VLOOKUP(D156,{CCL!M:N;CCL!$P:$Q},2,FALSE))</f>
        <v>...</v>
      </c>
      <c r="L156" s="45" t="str">
        <f t="shared" si="41"/>
        <v>...</v>
      </c>
      <c r="M156" s="45" t="str">
        <f>if(B156=0,"...",L156*(1-VLOOKUP(A156,Config!$B$3:$C$22,2,FALSE)))</f>
        <v>...</v>
      </c>
      <c r="N156" s="45" t="str">
        <f t="shared" si="3"/>
        <v>...</v>
      </c>
      <c r="O156" s="12" t="str">
        <f>IFERROR(__xludf.DUMMYFUNCTION("if(B156=0,""..."",GOOGLEFINANCE(B156,""changepct"")/100)"),"...")</f>
        <v>...</v>
      </c>
      <c r="P156" s="10" t="str">
        <f>IFERROR(__xludf.DUMMYFUNCTION("if(B156=0,""..."",GOOGLEFINANCE(B156,""change"")*H156)"),"...")</f>
        <v>...</v>
      </c>
      <c r="Q156" s="12" t="str">
        <f t="shared" si="4"/>
        <v>...</v>
      </c>
      <c r="R156" s="47" t="str">
        <f t="shared" si="5"/>
        <v>...</v>
      </c>
      <c r="S156" s="12" t="str">
        <f t="shared" si="36"/>
        <v>...</v>
      </c>
      <c r="T156" s="47" t="str">
        <f>IF(B156=0,"...",(N156/IF(E156="ABIERTA",CCL!$E$2,VLOOKUP(F156,CCL!$A$12:$B$773,2,FALSE))-K156))</f>
        <v>...</v>
      </c>
      <c r="U156" s="2"/>
      <c r="V156" s="10"/>
      <c r="W156" s="10"/>
      <c r="X156" s="59" t="str">
        <f t="shared" si="29"/>
        <v>...</v>
      </c>
      <c r="Y156" s="45" t="str">
        <f>IFERROR(__xludf.DUMMYFUNCTION("IF(W156=0,""..."",GOOGLEFINANCE(""BCBA:""&amp;W156))"),"...")</f>
        <v>...</v>
      </c>
      <c r="Z156" s="12"/>
      <c r="AA156" s="45"/>
      <c r="AB156" s="12" t="str">
        <f t="shared" si="26"/>
        <v/>
      </c>
      <c r="AC156" s="45" t="str">
        <f t="shared" si="37"/>
        <v>...</v>
      </c>
      <c r="AD156" s="45" t="str">
        <f t="shared" si="38"/>
        <v>...</v>
      </c>
      <c r="AE156" s="12" t="str">
        <f t="shared" si="11"/>
        <v>...</v>
      </c>
      <c r="AF156" s="45" t="str">
        <f t="shared" si="39"/>
        <v>...</v>
      </c>
      <c r="AG156" s="45" t="str">
        <f t="shared" si="27"/>
        <v>...</v>
      </c>
      <c r="AH156" s="12" t="str">
        <f t="shared" si="13"/>
        <v>...</v>
      </c>
      <c r="AI156" s="46" t="str">
        <f t="shared" si="40"/>
        <v>...</v>
      </c>
      <c r="AJ156" s="2"/>
      <c r="AK156" s="2"/>
      <c r="AL156" s="2"/>
      <c r="AM156" s="2"/>
      <c r="AN156" s="2"/>
      <c r="AO156" s="2"/>
    </row>
    <row r="157" ht="24.0" customHeight="1">
      <c r="A157" s="4"/>
      <c r="B157" s="30"/>
      <c r="C157" s="5" t="str">
        <f>IFERROR(__xludf.DUMMYFUNCTION("if(B157=0,""..."", sparkline(query(GOOGLEFINANCE(""BCBA:""&amp;B157,""price"",today()-$AM$47,today()),""select Col2"",0),{""charttype"",$AM$46}))"),"...")</f>
        <v>...</v>
      </c>
      <c r="D157" s="17"/>
      <c r="E157" s="31"/>
      <c r="F157" s="7"/>
      <c r="G157" s="8" t="str">
        <f t="shared" si="1"/>
        <v>...</v>
      </c>
      <c r="H157" s="31"/>
      <c r="I157" s="52"/>
      <c r="J157" s="45" t="str">
        <f t="shared" si="2"/>
        <v>...</v>
      </c>
      <c r="K157" s="47" t="str">
        <f t="array" ref="K157">IF(B157=0,"...",J157/VLOOKUP(D157,{CCL!M:N;CCL!$P:$Q},2,FALSE))</f>
        <v>...</v>
      </c>
      <c r="L157" s="45" t="str">
        <f t="shared" si="41"/>
        <v>...</v>
      </c>
      <c r="M157" s="45" t="str">
        <f>if(B157=0,"...",L157*(1-VLOOKUP(A157,Config!$B$3:$C$22,2,FALSE)))</f>
        <v>...</v>
      </c>
      <c r="N157" s="45" t="str">
        <f t="shared" si="3"/>
        <v>...</v>
      </c>
      <c r="O157" s="12" t="str">
        <f>IFERROR(__xludf.DUMMYFUNCTION("if(B157=0,""..."",GOOGLEFINANCE(B157,""changepct"")/100)"),"...")</f>
        <v>...</v>
      </c>
      <c r="P157" s="10" t="str">
        <f>IFERROR(__xludf.DUMMYFUNCTION("if(B157=0,""..."",GOOGLEFINANCE(B157,""change"")*H157)"),"...")</f>
        <v>...</v>
      </c>
      <c r="Q157" s="12" t="str">
        <f t="shared" si="4"/>
        <v>...</v>
      </c>
      <c r="R157" s="47" t="str">
        <f t="shared" si="5"/>
        <v>...</v>
      </c>
      <c r="S157" s="12" t="str">
        <f t="shared" si="36"/>
        <v>...</v>
      </c>
      <c r="T157" s="47" t="str">
        <f>IF(B157=0,"...",(N157/IF(E157="ABIERTA",CCL!$E$2,VLOOKUP(F157,CCL!$A$12:$B$773,2,FALSE))-K157))</f>
        <v>...</v>
      </c>
      <c r="U157" s="2"/>
      <c r="V157" s="10"/>
      <c r="W157" s="10"/>
      <c r="X157" s="59" t="str">
        <f t="shared" si="29"/>
        <v>...</v>
      </c>
      <c r="Y157" s="45" t="str">
        <f>IFERROR(__xludf.DUMMYFUNCTION("IF(W157=0,""..."",GOOGLEFINANCE(""BCBA:""&amp;W157))"),"...")</f>
        <v>...</v>
      </c>
      <c r="Z157" s="12"/>
      <c r="AA157" s="45"/>
      <c r="AB157" s="12" t="str">
        <f t="shared" si="26"/>
        <v/>
      </c>
      <c r="AC157" s="45" t="str">
        <f t="shared" si="37"/>
        <v>...</v>
      </c>
      <c r="AD157" s="45" t="str">
        <f t="shared" si="38"/>
        <v>...</v>
      </c>
      <c r="AE157" s="12" t="str">
        <f t="shared" si="11"/>
        <v>...</v>
      </c>
      <c r="AF157" s="45" t="str">
        <f t="shared" si="39"/>
        <v>...</v>
      </c>
      <c r="AG157" s="45" t="str">
        <f t="shared" si="27"/>
        <v>...</v>
      </c>
      <c r="AH157" s="12" t="str">
        <f t="shared" si="13"/>
        <v>...</v>
      </c>
      <c r="AI157" s="46" t="str">
        <f t="shared" si="40"/>
        <v>...</v>
      </c>
      <c r="AJ157" s="2"/>
      <c r="AK157" s="2"/>
      <c r="AL157" s="2"/>
      <c r="AM157" s="2"/>
      <c r="AN157" s="2"/>
      <c r="AO157" s="2"/>
    </row>
    <row r="158" ht="24.0" customHeight="1">
      <c r="A158" s="4"/>
      <c r="B158" s="30"/>
      <c r="C158" s="5" t="str">
        <f>IFERROR(__xludf.DUMMYFUNCTION("if(B158=0,""..."", sparkline(query(GOOGLEFINANCE(""BCBA:""&amp;B158,""price"",today()-$AM$47,today()),""select Col2"",0),{""charttype"",$AM$46}))"),"...")</f>
        <v>...</v>
      </c>
      <c r="D158" s="17"/>
      <c r="E158" s="31"/>
      <c r="F158" s="7"/>
      <c r="G158" s="8" t="str">
        <f t="shared" si="1"/>
        <v>...</v>
      </c>
      <c r="H158" s="31"/>
      <c r="I158" s="52"/>
      <c r="J158" s="45" t="str">
        <f t="shared" si="2"/>
        <v>...</v>
      </c>
      <c r="K158" s="47" t="str">
        <f t="array" ref="K158">IF(B158=0,"...",J158/VLOOKUP(D158,{CCL!M:N;CCL!$P:$Q},2,FALSE))</f>
        <v>...</v>
      </c>
      <c r="L158" s="45" t="str">
        <f t="shared" si="41"/>
        <v>...</v>
      </c>
      <c r="M158" s="45" t="str">
        <f>if(B158=0,"...",L158*(1-VLOOKUP(A158,Config!$B$3:$C$22,2,FALSE)))</f>
        <v>...</v>
      </c>
      <c r="N158" s="45" t="str">
        <f t="shared" si="3"/>
        <v>...</v>
      </c>
      <c r="O158" s="12" t="str">
        <f>IFERROR(__xludf.DUMMYFUNCTION("if(B158=0,""..."",GOOGLEFINANCE(B158,""changepct"")/100)"),"...")</f>
        <v>...</v>
      </c>
      <c r="P158" s="10" t="str">
        <f>IFERROR(__xludf.DUMMYFUNCTION("if(B158=0,""..."",GOOGLEFINANCE(B158,""change"")*H158)"),"...")</f>
        <v>...</v>
      </c>
      <c r="Q158" s="12" t="str">
        <f t="shared" si="4"/>
        <v>...</v>
      </c>
      <c r="R158" s="47" t="str">
        <f t="shared" si="5"/>
        <v>...</v>
      </c>
      <c r="S158" s="12" t="str">
        <f t="shared" si="36"/>
        <v>...</v>
      </c>
      <c r="T158" s="47" t="str">
        <f>IF(B158=0,"...",(N158/IF(E158="ABIERTA",CCL!$E$2,VLOOKUP(F158,CCL!$A$12:$B$773,2,FALSE))-K158))</f>
        <v>...</v>
      </c>
      <c r="U158" s="2"/>
      <c r="V158" s="10"/>
      <c r="W158" s="10"/>
      <c r="X158" s="59" t="str">
        <f t="shared" si="29"/>
        <v>...</v>
      </c>
      <c r="Y158" s="45" t="str">
        <f>IFERROR(__xludf.DUMMYFUNCTION("IF(W158=0,""..."",GOOGLEFINANCE(""BCBA:""&amp;W158))"),"...")</f>
        <v>...</v>
      </c>
      <c r="Z158" s="12"/>
      <c r="AA158" s="45"/>
      <c r="AB158" s="12" t="str">
        <f t="shared" si="26"/>
        <v/>
      </c>
      <c r="AC158" s="45" t="str">
        <f t="shared" si="37"/>
        <v>...</v>
      </c>
      <c r="AD158" s="45" t="str">
        <f t="shared" si="38"/>
        <v>...</v>
      </c>
      <c r="AE158" s="12" t="str">
        <f t="shared" si="11"/>
        <v>...</v>
      </c>
      <c r="AF158" s="45" t="str">
        <f t="shared" si="39"/>
        <v>...</v>
      </c>
      <c r="AG158" s="45" t="str">
        <f t="shared" si="27"/>
        <v>...</v>
      </c>
      <c r="AH158" s="12" t="str">
        <f t="shared" si="13"/>
        <v>...</v>
      </c>
      <c r="AI158" s="46" t="str">
        <f t="shared" si="40"/>
        <v>...</v>
      </c>
      <c r="AJ158" s="2"/>
      <c r="AK158" s="2"/>
      <c r="AL158" s="2"/>
      <c r="AM158" s="2"/>
      <c r="AN158" s="2"/>
      <c r="AO158" s="2"/>
    </row>
    <row r="159" ht="24.0" customHeight="1">
      <c r="A159" s="4"/>
      <c r="B159" s="30"/>
      <c r="C159" s="5" t="str">
        <f>IFERROR(__xludf.DUMMYFUNCTION("if(B159=0,""..."", sparkline(query(GOOGLEFINANCE(""BCBA:""&amp;B159,""price"",today()-$AM$47,today()),""select Col2"",0),{""charttype"",$AM$46}))"),"...")</f>
        <v>...</v>
      </c>
      <c r="D159" s="17"/>
      <c r="E159" s="31"/>
      <c r="F159" s="7"/>
      <c r="G159" s="8" t="str">
        <f t="shared" si="1"/>
        <v>...</v>
      </c>
      <c r="H159" s="31"/>
      <c r="I159" s="52"/>
      <c r="J159" s="45" t="str">
        <f t="shared" si="2"/>
        <v>...</v>
      </c>
      <c r="K159" s="47" t="str">
        <f t="array" ref="K159">IF(B159=0,"...",J159/VLOOKUP(D159,{CCL!M:N;CCL!$P:$Q},2,FALSE))</f>
        <v>...</v>
      </c>
      <c r="L159" s="45" t="str">
        <f t="shared" si="41"/>
        <v>...</v>
      </c>
      <c r="M159" s="45" t="str">
        <f>if(B159=0,"...",L159*(1-VLOOKUP(A159,Config!$B$3:$C$22,2,FALSE)))</f>
        <v>...</v>
      </c>
      <c r="N159" s="45" t="str">
        <f t="shared" si="3"/>
        <v>...</v>
      </c>
      <c r="O159" s="12" t="str">
        <f>IFERROR(__xludf.DUMMYFUNCTION("if(B159=0,""..."",GOOGLEFINANCE(B159,""changepct"")/100)"),"...")</f>
        <v>...</v>
      </c>
      <c r="P159" s="10" t="str">
        <f>IFERROR(__xludf.DUMMYFUNCTION("if(B159=0,""..."",GOOGLEFINANCE(B159,""change"")*H159)"),"...")</f>
        <v>...</v>
      </c>
      <c r="Q159" s="12" t="str">
        <f t="shared" si="4"/>
        <v>...</v>
      </c>
      <c r="R159" s="47" t="str">
        <f t="shared" si="5"/>
        <v>...</v>
      </c>
      <c r="S159" s="12" t="str">
        <f t="shared" si="36"/>
        <v>...</v>
      </c>
      <c r="T159" s="47" t="str">
        <f>IF(B159=0,"...",(N159/IF(E159="ABIERTA",CCL!$E$2,VLOOKUP(F159,CCL!$A$12:$B$773,2,FALSE))-K159))</f>
        <v>...</v>
      </c>
      <c r="U159" s="2"/>
      <c r="V159" s="10"/>
      <c r="W159" s="10"/>
      <c r="X159" s="59" t="str">
        <f t="shared" si="29"/>
        <v>...</v>
      </c>
      <c r="Y159" s="45" t="str">
        <f>IFERROR(__xludf.DUMMYFUNCTION("IF(W159=0,""..."",GOOGLEFINANCE(""BCBA:""&amp;W159))"),"...")</f>
        <v>...</v>
      </c>
      <c r="Z159" s="12"/>
      <c r="AA159" s="45"/>
      <c r="AB159" s="12" t="str">
        <f t="shared" si="26"/>
        <v/>
      </c>
      <c r="AC159" s="45" t="str">
        <f t="shared" si="37"/>
        <v>...</v>
      </c>
      <c r="AD159" s="45" t="str">
        <f t="shared" si="38"/>
        <v>...</v>
      </c>
      <c r="AE159" s="12" t="str">
        <f t="shared" si="11"/>
        <v>...</v>
      </c>
      <c r="AF159" s="45" t="str">
        <f t="shared" si="39"/>
        <v>...</v>
      </c>
      <c r="AG159" s="45" t="str">
        <f t="shared" si="27"/>
        <v>...</v>
      </c>
      <c r="AH159" s="12" t="str">
        <f t="shared" si="13"/>
        <v>...</v>
      </c>
      <c r="AI159" s="46" t="str">
        <f t="shared" si="40"/>
        <v>...</v>
      </c>
      <c r="AJ159" s="2"/>
      <c r="AK159" s="2"/>
      <c r="AL159" s="2"/>
      <c r="AM159" s="2"/>
      <c r="AN159" s="2"/>
      <c r="AO159" s="2"/>
    </row>
    <row r="160" ht="24.0" customHeight="1">
      <c r="A160" s="4"/>
      <c r="B160" s="30"/>
      <c r="C160" s="5" t="str">
        <f>IFERROR(__xludf.DUMMYFUNCTION("if(B160=0,""..."", sparkline(query(GOOGLEFINANCE(""BCBA:""&amp;B160,""price"",today()-$AM$47,today()),""select Col2"",0),{""charttype"",$AM$46}))"),"...")</f>
        <v>...</v>
      </c>
      <c r="D160" s="17"/>
      <c r="E160" s="31"/>
      <c r="F160" s="7"/>
      <c r="G160" s="8" t="str">
        <f t="shared" si="1"/>
        <v>...</v>
      </c>
      <c r="H160" s="31"/>
      <c r="I160" s="52"/>
      <c r="J160" s="45" t="str">
        <f t="shared" si="2"/>
        <v>...</v>
      </c>
      <c r="K160" s="47" t="str">
        <f t="array" ref="K160">IF(B160=0,"...",J160/VLOOKUP(D160,{CCL!M:N;CCL!$P:$Q},2,FALSE))</f>
        <v>...</v>
      </c>
      <c r="L160" s="45" t="str">
        <f t="shared" si="41"/>
        <v>...</v>
      </c>
      <c r="M160" s="45" t="str">
        <f>if(B160=0,"...",L160*(1-VLOOKUP(A160,Config!$B$3:$C$22,2,FALSE)))</f>
        <v>...</v>
      </c>
      <c r="N160" s="45" t="str">
        <f t="shared" si="3"/>
        <v>...</v>
      </c>
      <c r="O160" s="12" t="str">
        <f>IFERROR(__xludf.DUMMYFUNCTION("if(B160=0,""..."",GOOGLEFINANCE(B160,""changepct"")/100)"),"...")</f>
        <v>...</v>
      </c>
      <c r="P160" s="10" t="str">
        <f>IFERROR(__xludf.DUMMYFUNCTION("if(B160=0,""..."",GOOGLEFINANCE(B160,""change"")*H160)"),"...")</f>
        <v>...</v>
      </c>
      <c r="Q160" s="12" t="str">
        <f t="shared" si="4"/>
        <v>...</v>
      </c>
      <c r="R160" s="47" t="str">
        <f t="shared" si="5"/>
        <v>...</v>
      </c>
      <c r="S160" s="12" t="str">
        <f t="shared" si="36"/>
        <v>...</v>
      </c>
      <c r="T160" s="47" t="str">
        <f>IF(B160=0,"...",(N160/IF(E160="ABIERTA",CCL!$E$2,VLOOKUP(F160,CCL!$A$12:$B$773,2,FALSE))-K160))</f>
        <v>...</v>
      </c>
      <c r="U160" s="2"/>
      <c r="V160" s="10"/>
      <c r="W160" s="10"/>
      <c r="X160" s="59" t="str">
        <f t="shared" si="29"/>
        <v>...</v>
      </c>
      <c r="Y160" s="45" t="str">
        <f>IFERROR(__xludf.DUMMYFUNCTION("IF(W160=0,""..."",GOOGLEFINANCE(""BCBA:""&amp;W160))"),"...")</f>
        <v>...</v>
      </c>
      <c r="Z160" s="12"/>
      <c r="AA160" s="45"/>
      <c r="AB160" s="12" t="str">
        <f t="shared" si="26"/>
        <v/>
      </c>
      <c r="AC160" s="45" t="str">
        <f t="shared" si="37"/>
        <v>...</v>
      </c>
      <c r="AD160" s="45" t="str">
        <f t="shared" si="38"/>
        <v>...</v>
      </c>
      <c r="AE160" s="12" t="str">
        <f t="shared" si="11"/>
        <v>...</v>
      </c>
      <c r="AF160" s="45" t="str">
        <f t="shared" si="39"/>
        <v>...</v>
      </c>
      <c r="AG160" s="45" t="str">
        <f t="shared" si="27"/>
        <v>...</v>
      </c>
      <c r="AH160" s="12" t="str">
        <f t="shared" si="13"/>
        <v>...</v>
      </c>
      <c r="AI160" s="46" t="str">
        <f t="shared" si="40"/>
        <v>...</v>
      </c>
      <c r="AJ160" s="2"/>
      <c r="AK160" s="2"/>
      <c r="AL160" s="2"/>
      <c r="AM160" s="2"/>
      <c r="AN160" s="2"/>
      <c r="AO160" s="2"/>
    </row>
    <row r="161" ht="24.0" customHeight="1">
      <c r="A161" s="4"/>
      <c r="B161" s="30"/>
      <c r="C161" s="5" t="str">
        <f>IFERROR(__xludf.DUMMYFUNCTION("if(B161=0,""..."", sparkline(query(GOOGLEFINANCE(""BCBA:""&amp;B161,""price"",today()-$AM$47,today()),""select Col2"",0),{""charttype"",$AM$46}))"),"...")</f>
        <v>...</v>
      </c>
      <c r="D161" s="17"/>
      <c r="E161" s="31"/>
      <c r="F161" s="7"/>
      <c r="G161" s="8" t="str">
        <f t="shared" si="1"/>
        <v>...</v>
      </c>
      <c r="H161" s="31"/>
      <c r="I161" s="52"/>
      <c r="J161" s="45" t="str">
        <f t="shared" si="2"/>
        <v>...</v>
      </c>
      <c r="K161" s="47" t="str">
        <f t="array" ref="K161">IF(B161=0,"...",J161/VLOOKUP(D161,{CCL!M:N;CCL!$P:$Q},2,FALSE))</f>
        <v>...</v>
      </c>
      <c r="L161" s="45" t="str">
        <f t="shared" si="41"/>
        <v>...</v>
      </c>
      <c r="M161" s="45" t="str">
        <f>if(B161=0,"...",L161*(1-VLOOKUP(A161,Config!$B$3:$C$22,2,FALSE)))</f>
        <v>...</v>
      </c>
      <c r="N161" s="45" t="str">
        <f t="shared" si="3"/>
        <v>...</v>
      </c>
      <c r="O161" s="12" t="str">
        <f>IFERROR(__xludf.DUMMYFUNCTION("if(B161=0,""..."",GOOGLEFINANCE(B161,""changepct"")/100)"),"...")</f>
        <v>...</v>
      </c>
      <c r="P161" s="10" t="str">
        <f>IFERROR(__xludf.DUMMYFUNCTION("if(B161=0,""..."",GOOGLEFINANCE(B161,""change"")*H161)"),"...")</f>
        <v>...</v>
      </c>
      <c r="Q161" s="12" t="str">
        <f t="shared" si="4"/>
        <v>...</v>
      </c>
      <c r="R161" s="47" t="str">
        <f t="shared" si="5"/>
        <v>...</v>
      </c>
      <c r="S161" s="12" t="str">
        <f t="shared" si="36"/>
        <v>...</v>
      </c>
      <c r="T161" s="47" t="str">
        <f>IF(B161=0,"...",(N161/IF(E161="ABIERTA",CCL!$E$2,VLOOKUP(F161,CCL!$A$12:$B$773,2,FALSE))-K161))</f>
        <v>...</v>
      </c>
      <c r="U161" s="2"/>
      <c r="V161" s="10"/>
      <c r="W161" s="10"/>
      <c r="X161" s="59" t="str">
        <f t="shared" si="29"/>
        <v>...</v>
      </c>
      <c r="Y161" s="45" t="str">
        <f>IFERROR(__xludf.DUMMYFUNCTION("IF(W161=0,""..."",GOOGLEFINANCE(""BCBA:""&amp;W161))"),"...")</f>
        <v>...</v>
      </c>
      <c r="Z161" s="12"/>
      <c r="AA161" s="45"/>
      <c r="AB161" s="12" t="str">
        <f t="shared" si="26"/>
        <v/>
      </c>
      <c r="AC161" s="45" t="str">
        <f t="shared" si="37"/>
        <v>...</v>
      </c>
      <c r="AD161" s="45" t="str">
        <f t="shared" si="38"/>
        <v>...</v>
      </c>
      <c r="AE161" s="12" t="str">
        <f t="shared" si="11"/>
        <v>...</v>
      </c>
      <c r="AF161" s="45" t="str">
        <f t="shared" si="39"/>
        <v>...</v>
      </c>
      <c r="AG161" s="45" t="str">
        <f t="shared" si="27"/>
        <v>...</v>
      </c>
      <c r="AH161" s="12" t="str">
        <f t="shared" si="13"/>
        <v>...</v>
      </c>
      <c r="AI161" s="46" t="str">
        <f t="shared" si="40"/>
        <v>...</v>
      </c>
      <c r="AJ161" s="2"/>
      <c r="AK161" s="2"/>
      <c r="AL161" s="2"/>
      <c r="AM161" s="2"/>
      <c r="AN161" s="2"/>
      <c r="AO161" s="2"/>
    </row>
    <row r="162" ht="24.0" customHeight="1">
      <c r="A162" s="4"/>
      <c r="B162" s="30"/>
      <c r="C162" s="5" t="str">
        <f>IFERROR(__xludf.DUMMYFUNCTION("if(B162=0,""..."", sparkline(query(GOOGLEFINANCE(""BCBA:""&amp;B162,""price"",today()-$AM$47,today()),""select Col2"",0),{""charttype"",$AM$46}))"),"...")</f>
        <v>...</v>
      </c>
      <c r="D162" s="17"/>
      <c r="E162" s="31"/>
      <c r="F162" s="7"/>
      <c r="G162" s="8" t="str">
        <f t="shared" si="1"/>
        <v>...</v>
      </c>
      <c r="H162" s="31"/>
      <c r="I162" s="52"/>
      <c r="J162" s="45" t="str">
        <f t="shared" si="2"/>
        <v>...</v>
      </c>
      <c r="K162" s="47" t="str">
        <f t="array" ref="K162">IF(B162=0,"...",J162/VLOOKUP(D162,{CCL!M:N;CCL!$P:$Q},2,FALSE))</f>
        <v>...</v>
      </c>
      <c r="L162" s="45" t="str">
        <f t="shared" si="41"/>
        <v>...</v>
      </c>
      <c r="M162" s="45" t="str">
        <f>if(B162=0,"...",L162*(1-VLOOKUP(A162,Config!$B$3:$C$22,2,FALSE)))</f>
        <v>...</v>
      </c>
      <c r="N162" s="45" t="str">
        <f t="shared" si="3"/>
        <v>...</v>
      </c>
      <c r="O162" s="12" t="str">
        <f>IFERROR(__xludf.DUMMYFUNCTION("if(B162=0,""..."",GOOGLEFINANCE(B162,""changepct"")/100)"),"...")</f>
        <v>...</v>
      </c>
      <c r="P162" s="10" t="str">
        <f>IFERROR(__xludf.DUMMYFUNCTION("if(B162=0,""..."",GOOGLEFINANCE(B162,""change"")*H162)"),"...")</f>
        <v>...</v>
      </c>
      <c r="Q162" s="12" t="str">
        <f t="shared" si="4"/>
        <v>...</v>
      </c>
      <c r="R162" s="47" t="str">
        <f t="shared" si="5"/>
        <v>...</v>
      </c>
      <c r="S162" s="12" t="str">
        <f t="shared" si="36"/>
        <v>...</v>
      </c>
      <c r="T162" s="47" t="str">
        <f>IF(B162=0,"...",(N162/IF(E162="ABIERTA",CCL!$E$2,VLOOKUP(F162,CCL!$A$12:$B$773,2,FALSE))-K162))</f>
        <v>...</v>
      </c>
      <c r="U162" s="2"/>
      <c r="V162" s="10"/>
      <c r="W162" s="10"/>
      <c r="X162" s="59" t="str">
        <f t="shared" si="29"/>
        <v>...</v>
      </c>
      <c r="Y162" s="45" t="str">
        <f>IFERROR(__xludf.DUMMYFUNCTION("IF(W162=0,""..."",GOOGLEFINANCE(""BCBA:""&amp;W162))"),"...")</f>
        <v>...</v>
      </c>
      <c r="Z162" s="12"/>
      <c r="AA162" s="45"/>
      <c r="AB162" s="12" t="str">
        <f t="shared" si="26"/>
        <v/>
      </c>
      <c r="AC162" s="45" t="str">
        <f t="shared" si="37"/>
        <v>...</v>
      </c>
      <c r="AD162" s="45" t="str">
        <f t="shared" si="38"/>
        <v>...</v>
      </c>
      <c r="AE162" s="12" t="str">
        <f t="shared" si="11"/>
        <v>...</v>
      </c>
      <c r="AF162" s="45" t="str">
        <f t="shared" si="39"/>
        <v>...</v>
      </c>
      <c r="AG162" s="45" t="str">
        <f t="shared" si="27"/>
        <v>...</v>
      </c>
      <c r="AH162" s="12" t="str">
        <f t="shared" si="13"/>
        <v>...</v>
      </c>
      <c r="AI162" s="46" t="str">
        <f t="shared" si="40"/>
        <v>...</v>
      </c>
      <c r="AJ162" s="2"/>
      <c r="AK162" s="2"/>
      <c r="AL162" s="2"/>
      <c r="AM162" s="2"/>
      <c r="AN162" s="2"/>
      <c r="AO162" s="2"/>
    </row>
    <row r="163" ht="24.0" customHeight="1">
      <c r="A163" s="4"/>
      <c r="B163" s="30"/>
      <c r="C163" s="5" t="str">
        <f>IFERROR(__xludf.DUMMYFUNCTION("if(B163=0,""..."", sparkline(query(GOOGLEFINANCE(""BCBA:""&amp;B163,""price"",today()-$AM$47,today()),""select Col2"",0),{""charttype"",$AM$46}))"),"...")</f>
        <v>...</v>
      </c>
      <c r="D163" s="17"/>
      <c r="E163" s="31"/>
      <c r="F163" s="7"/>
      <c r="G163" s="8" t="str">
        <f t="shared" si="1"/>
        <v>...</v>
      </c>
      <c r="H163" s="31"/>
      <c r="I163" s="52"/>
      <c r="J163" s="45" t="str">
        <f t="shared" si="2"/>
        <v>...</v>
      </c>
      <c r="K163" s="47" t="str">
        <f t="array" ref="K163">IF(B163=0,"...",J163/VLOOKUP(D163,{CCL!M:N;CCL!$P:$Q},2,FALSE))</f>
        <v>...</v>
      </c>
      <c r="L163" s="45" t="str">
        <f t="shared" si="41"/>
        <v>...</v>
      </c>
      <c r="M163" s="45" t="str">
        <f>if(B163=0,"...",L163*(1-VLOOKUP(A163,Config!$B$3:$C$22,2,FALSE)))</f>
        <v>...</v>
      </c>
      <c r="N163" s="45" t="str">
        <f t="shared" si="3"/>
        <v>...</v>
      </c>
      <c r="O163" s="12" t="str">
        <f>IFERROR(__xludf.DUMMYFUNCTION("if(B163=0,""..."",GOOGLEFINANCE(B163,""changepct"")/100)"),"...")</f>
        <v>...</v>
      </c>
      <c r="P163" s="10" t="str">
        <f>IFERROR(__xludf.DUMMYFUNCTION("if(B163=0,""..."",GOOGLEFINANCE(B163,""change"")*H163)"),"...")</f>
        <v>...</v>
      </c>
      <c r="Q163" s="12" t="str">
        <f t="shared" si="4"/>
        <v>...</v>
      </c>
      <c r="R163" s="47" t="str">
        <f t="shared" si="5"/>
        <v>...</v>
      </c>
      <c r="S163" s="12" t="str">
        <f t="shared" si="36"/>
        <v>...</v>
      </c>
      <c r="T163" s="47" t="str">
        <f>IF(B163=0,"...",(N163/IF(E163="ABIERTA",CCL!$E$2,VLOOKUP(F163,CCL!$A$12:$B$773,2,FALSE))-K163))</f>
        <v>...</v>
      </c>
      <c r="U163" s="2"/>
      <c r="V163" s="10"/>
      <c r="W163" s="10"/>
      <c r="X163" s="59" t="str">
        <f t="shared" si="29"/>
        <v>...</v>
      </c>
      <c r="Y163" s="45" t="str">
        <f>IFERROR(__xludf.DUMMYFUNCTION("IF(W163=0,""..."",GOOGLEFINANCE(""BCBA:""&amp;W163))"),"...")</f>
        <v>...</v>
      </c>
      <c r="Z163" s="12"/>
      <c r="AA163" s="45"/>
      <c r="AB163" s="12" t="str">
        <f t="shared" si="26"/>
        <v/>
      </c>
      <c r="AC163" s="45" t="str">
        <f t="shared" si="37"/>
        <v>...</v>
      </c>
      <c r="AD163" s="45" t="str">
        <f t="shared" si="38"/>
        <v>...</v>
      </c>
      <c r="AE163" s="12" t="str">
        <f t="shared" si="11"/>
        <v>...</v>
      </c>
      <c r="AF163" s="45" t="str">
        <f t="shared" si="39"/>
        <v>...</v>
      </c>
      <c r="AG163" s="45" t="str">
        <f t="shared" si="27"/>
        <v>...</v>
      </c>
      <c r="AH163" s="12" t="str">
        <f t="shared" si="13"/>
        <v>...</v>
      </c>
      <c r="AI163" s="46" t="str">
        <f t="shared" si="40"/>
        <v>...</v>
      </c>
      <c r="AJ163" s="2"/>
      <c r="AK163" s="2"/>
      <c r="AL163" s="2"/>
      <c r="AM163" s="2"/>
      <c r="AN163" s="2"/>
      <c r="AO163" s="2"/>
    </row>
    <row r="164" ht="24.0" customHeight="1">
      <c r="A164" s="4"/>
      <c r="B164" s="30"/>
      <c r="C164" s="5" t="str">
        <f>IFERROR(__xludf.DUMMYFUNCTION("if(B164=0,""..."", sparkline(query(GOOGLEFINANCE(""BCBA:""&amp;B164,""price"",today()-$AM$47,today()),""select Col2"",0),{""charttype"",$AM$46}))"),"...")</f>
        <v>...</v>
      </c>
      <c r="D164" s="17"/>
      <c r="E164" s="31"/>
      <c r="F164" s="7"/>
      <c r="G164" s="8" t="str">
        <f t="shared" si="1"/>
        <v>...</v>
      </c>
      <c r="H164" s="31"/>
      <c r="I164" s="52"/>
      <c r="J164" s="45" t="str">
        <f t="shared" si="2"/>
        <v>...</v>
      </c>
      <c r="K164" s="47" t="str">
        <f t="array" ref="K164">IF(B164=0,"...",J164/VLOOKUP(D164,{CCL!M:N;CCL!$P:$Q},2,FALSE))</f>
        <v>...</v>
      </c>
      <c r="L164" s="45" t="str">
        <f t="shared" si="41"/>
        <v>...</v>
      </c>
      <c r="M164" s="45" t="str">
        <f>if(B164=0,"...",L164*(1-VLOOKUP(A164,Config!$B$3:$C$22,2,FALSE)))</f>
        <v>...</v>
      </c>
      <c r="N164" s="45" t="str">
        <f t="shared" si="3"/>
        <v>...</v>
      </c>
      <c r="O164" s="12" t="str">
        <f>IFERROR(__xludf.DUMMYFUNCTION("if(B164=0,""..."",GOOGLEFINANCE(B164,""changepct"")/100)"),"...")</f>
        <v>...</v>
      </c>
      <c r="P164" s="10" t="str">
        <f>IFERROR(__xludf.DUMMYFUNCTION("if(B164=0,""..."",GOOGLEFINANCE(B164,""change"")*H164)"),"...")</f>
        <v>...</v>
      </c>
      <c r="Q164" s="12" t="str">
        <f t="shared" si="4"/>
        <v>...</v>
      </c>
      <c r="R164" s="47" t="str">
        <f t="shared" si="5"/>
        <v>...</v>
      </c>
      <c r="S164" s="12" t="str">
        <f t="shared" si="36"/>
        <v>...</v>
      </c>
      <c r="T164" s="47" t="str">
        <f>IF(B164=0,"...",(N164/IF(E164="ABIERTA",CCL!$E$2,VLOOKUP(F164,CCL!$A$12:$B$773,2,FALSE))-K164))</f>
        <v>...</v>
      </c>
      <c r="U164" s="2"/>
      <c r="V164" s="10"/>
      <c r="W164" s="10"/>
      <c r="X164" s="59" t="str">
        <f t="shared" si="29"/>
        <v>...</v>
      </c>
      <c r="Y164" s="45" t="str">
        <f>IFERROR(__xludf.DUMMYFUNCTION("IF(W164=0,""..."",GOOGLEFINANCE(""BCBA:""&amp;W164))"),"...")</f>
        <v>...</v>
      </c>
      <c r="Z164" s="12"/>
      <c r="AA164" s="45"/>
      <c r="AB164" s="12" t="str">
        <f t="shared" si="26"/>
        <v/>
      </c>
      <c r="AC164" s="45" t="str">
        <f t="shared" si="37"/>
        <v>...</v>
      </c>
      <c r="AD164" s="45" t="str">
        <f t="shared" si="38"/>
        <v>...</v>
      </c>
      <c r="AE164" s="12" t="str">
        <f t="shared" si="11"/>
        <v>...</v>
      </c>
      <c r="AF164" s="45" t="str">
        <f t="shared" si="39"/>
        <v>...</v>
      </c>
      <c r="AG164" s="45" t="str">
        <f t="shared" si="27"/>
        <v>...</v>
      </c>
      <c r="AH164" s="12" t="str">
        <f t="shared" si="13"/>
        <v>...</v>
      </c>
      <c r="AI164" s="46" t="str">
        <f t="shared" si="40"/>
        <v>...</v>
      </c>
      <c r="AJ164" s="2"/>
      <c r="AK164" s="2"/>
      <c r="AL164" s="2"/>
      <c r="AM164" s="2"/>
      <c r="AN164" s="2"/>
      <c r="AO164" s="2"/>
    </row>
    <row r="165" ht="24.0" customHeight="1">
      <c r="A165" s="4"/>
      <c r="B165" s="30"/>
      <c r="C165" s="5" t="str">
        <f>IFERROR(__xludf.DUMMYFUNCTION("if(B165=0,""..."", sparkline(query(GOOGLEFINANCE(""BCBA:""&amp;B165,""price"",today()-$AM$47,today()),""select Col2"",0),{""charttype"",$AM$46}))"),"...")</f>
        <v>...</v>
      </c>
      <c r="D165" s="17"/>
      <c r="E165" s="31"/>
      <c r="F165" s="7"/>
      <c r="G165" s="8" t="str">
        <f t="shared" si="1"/>
        <v>...</v>
      </c>
      <c r="H165" s="31"/>
      <c r="I165" s="52"/>
      <c r="J165" s="45" t="str">
        <f t="shared" si="2"/>
        <v>...</v>
      </c>
      <c r="K165" s="47" t="str">
        <f t="array" ref="K165">IF(B165=0,"...",J165/VLOOKUP(D165,{CCL!M:N;CCL!$P:$Q},2,FALSE))</f>
        <v>...</v>
      </c>
      <c r="L165" s="45" t="str">
        <f t="shared" si="41"/>
        <v>...</v>
      </c>
      <c r="M165" s="45" t="str">
        <f>if(B165=0,"...",L165*(1-VLOOKUP(A165,Config!$B$3:$C$22,2,FALSE)))</f>
        <v>...</v>
      </c>
      <c r="N165" s="45" t="str">
        <f t="shared" si="3"/>
        <v>...</v>
      </c>
      <c r="O165" s="12" t="str">
        <f>IFERROR(__xludf.DUMMYFUNCTION("if(B165=0,""..."",GOOGLEFINANCE(B165,""changepct"")/100)"),"...")</f>
        <v>...</v>
      </c>
      <c r="P165" s="10" t="str">
        <f>IFERROR(__xludf.DUMMYFUNCTION("if(B165=0,""..."",GOOGLEFINANCE(B165,""change"")*H165)"),"...")</f>
        <v>...</v>
      </c>
      <c r="Q165" s="12" t="str">
        <f t="shared" si="4"/>
        <v>...</v>
      </c>
      <c r="R165" s="47" t="str">
        <f t="shared" si="5"/>
        <v>...</v>
      </c>
      <c r="S165" s="12" t="str">
        <f t="shared" si="36"/>
        <v>...</v>
      </c>
      <c r="T165" s="47" t="str">
        <f>IF(B165=0,"...",(N165/IF(E165="ABIERTA",CCL!$E$2,VLOOKUP(F165,CCL!$A$12:$B$773,2,FALSE))-K165))</f>
        <v>...</v>
      </c>
      <c r="U165" s="2"/>
      <c r="V165" s="10"/>
      <c r="W165" s="10"/>
      <c r="X165" s="59" t="str">
        <f t="shared" si="29"/>
        <v>...</v>
      </c>
      <c r="Y165" s="45" t="str">
        <f>IFERROR(__xludf.DUMMYFUNCTION("IF(W165=0,""..."",GOOGLEFINANCE(""BCBA:""&amp;W165))"),"...")</f>
        <v>...</v>
      </c>
      <c r="Z165" s="12"/>
      <c r="AA165" s="45"/>
      <c r="AB165" s="12" t="str">
        <f t="shared" si="26"/>
        <v/>
      </c>
      <c r="AC165" s="45" t="str">
        <f t="shared" si="37"/>
        <v>...</v>
      </c>
      <c r="AD165" s="45" t="str">
        <f t="shared" si="38"/>
        <v>...</v>
      </c>
      <c r="AE165" s="12" t="str">
        <f t="shared" si="11"/>
        <v>...</v>
      </c>
      <c r="AF165" s="45" t="str">
        <f t="shared" si="39"/>
        <v>...</v>
      </c>
      <c r="AG165" s="45" t="str">
        <f t="shared" si="27"/>
        <v>...</v>
      </c>
      <c r="AH165" s="12" t="str">
        <f t="shared" si="13"/>
        <v>...</v>
      </c>
      <c r="AI165" s="46" t="str">
        <f t="shared" si="40"/>
        <v>...</v>
      </c>
      <c r="AJ165" s="2"/>
      <c r="AK165" s="2"/>
      <c r="AL165" s="2"/>
      <c r="AM165" s="2"/>
      <c r="AN165" s="2"/>
      <c r="AO165" s="2"/>
    </row>
    <row r="166" ht="24.0" customHeight="1">
      <c r="A166" s="4"/>
      <c r="B166" s="30"/>
      <c r="C166" s="5" t="str">
        <f>IFERROR(__xludf.DUMMYFUNCTION("if(B166=0,""..."", sparkline(query(GOOGLEFINANCE(""BCBA:""&amp;B166,""price"",today()-$AM$47,today()),""select Col2"",0),{""charttype"",$AM$46}))"),"...")</f>
        <v>...</v>
      </c>
      <c r="D166" s="17"/>
      <c r="E166" s="31"/>
      <c r="F166" s="7"/>
      <c r="G166" s="8" t="str">
        <f t="shared" si="1"/>
        <v>...</v>
      </c>
      <c r="H166" s="31"/>
      <c r="I166" s="52"/>
      <c r="J166" s="45" t="str">
        <f t="shared" si="2"/>
        <v>...</v>
      </c>
      <c r="K166" s="47" t="str">
        <f t="array" ref="K166">IF(B166=0,"...",J166/VLOOKUP(D166,{CCL!M:N;CCL!$P:$Q},2,FALSE))</f>
        <v>...</v>
      </c>
      <c r="L166" s="45" t="str">
        <f t="shared" si="41"/>
        <v>...</v>
      </c>
      <c r="M166" s="45" t="str">
        <f>if(B166=0,"...",L166*(1-VLOOKUP(A166,Config!$B$3:$C$22,2,FALSE)))</f>
        <v>...</v>
      </c>
      <c r="N166" s="45" t="str">
        <f t="shared" si="3"/>
        <v>...</v>
      </c>
      <c r="O166" s="12" t="str">
        <f>IFERROR(__xludf.DUMMYFUNCTION("if(B166=0,""..."",GOOGLEFINANCE(B166,""changepct"")/100)"),"...")</f>
        <v>...</v>
      </c>
      <c r="P166" s="10" t="str">
        <f>IFERROR(__xludf.DUMMYFUNCTION("if(B166=0,""..."",GOOGLEFINANCE(B166,""change"")*H166)"),"...")</f>
        <v>...</v>
      </c>
      <c r="Q166" s="12" t="str">
        <f t="shared" si="4"/>
        <v>...</v>
      </c>
      <c r="R166" s="47" t="str">
        <f t="shared" si="5"/>
        <v>...</v>
      </c>
      <c r="S166" s="12" t="str">
        <f t="shared" si="36"/>
        <v>...</v>
      </c>
      <c r="T166" s="47" t="str">
        <f>IF(B166=0,"...",(N166/IF(E166="ABIERTA",CCL!$E$2,VLOOKUP(F166,CCL!$A$12:$B$773,2,FALSE))-K166))</f>
        <v>...</v>
      </c>
      <c r="U166" s="2"/>
      <c r="V166" s="10"/>
      <c r="W166" s="10"/>
      <c r="X166" s="59" t="str">
        <f t="shared" si="29"/>
        <v>...</v>
      </c>
      <c r="Y166" s="45" t="str">
        <f>IFERROR(__xludf.DUMMYFUNCTION("IF(W166=0,""..."",GOOGLEFINANCE(""BCBA:""&amp;W166))"),"...")</f>
        <v>...</v>
      </c>
      <c r="Z166" s="12"/>
      <c r="AA166" s="45"/>
      <c r="AB166" s="12" t="str">
        <f t="shared" si="26"/>
        <v/>
      </c>
      <c r="AC166" s="45" t="str">
        <f t="shared" si="37"/>
        <v>...</v>
      </c>
      <c r="AD166" s="45" t="str">
        <f t="shared" si="38"/>
        <v>...</v>
      </c>
      <c r="AE166" s="12" t="str">
        <f t="shared" si="11"/>
        <v>...</v>
      </c>
      <c r="AF166" s="45" t="str">
        <f t="shared" si="39"/>
        <v>...</v>
      </c>
      <c r="AG166" s="45" t="str">
        <f t="shared" si="27"/>
        <v>...</v>
      </c>
      <c r="AH166" s="12" t="str">
        <f t="shared" si="13"/>
        <v>...</v>
      </c>
      <c r="AI166" s="46" t="str">
        <f t="shared" si="40"/>
        <v>...</v>
      </c>
      <c r="AJ166" s="2"/>
      <c r="AK166" s="2"/>
      <c r="AL166" s="2"/>
      <c r="AM166" s="2"/>
      <c r="AN166" s="2"/>
      <c r="AO166" s="2"/>
    </row>
    <row r="167" ht="24.0" customHeight="1">
      <c r="A167" s="4"/>
      <c r="B167" s="30"/>
      <c r="C167" s="5" t="str">
        <f>IFERROR(__xludf.DUMMYFUNCTION("if(B167=0,""..."", sparkline(query(GOOGLEFINANCE(""BCBA:""&amp;B167,""price"",today()-$AM$47,today()),""select Col2"",0),{""charttype"",$AM$46}))"),"...")</f>
        <v>...</v>
      </c>
      <c r="D167" s="17"/>
      <c r="E167" s="31"/>
      <c r="F167" s="7"/>
      <c r="G167" s="8" t="str">
        <f t="shared" si="1"/>
        <v>...</v>
      </c>
      <c r="H167" s="31"/>
      <c r="I167" s="52"/>
      <c r="J167" s="45" t="str">
        <f t="shared" si="2"/>
        <v>...</v>
      </c>
      <c r="K167" s="47" t="str">
        <f t="array" ref="K167">IF(B167=0,"...",J167/VLOOKUP(D167,{CCL!M:N;CCL!$P:$Q},2,FALSE))</f>
        <v>...</v>
      </c>
      <c r="L167" s="45" t="str">
        <f t="shared" si="41"/>
        <v>...</v>
      </c>
      <c r="M167" s="45" t="str">
        <f>if(B167=0,"...",L167*(1-VLOOKUP(A167,Config!$B$3:$C$22,2,FALSE)))</f>
        <v>...</v>
      </c>
      <c r="N167" s="45" t="str">
        <f t="shared" si="3"/>
        <v>...</v>
      </c>
      <c r="O167" s="12" t="str">
        <f>IFERROR(__xludf.DUMMYFUNCTION("if(B167=0,""..."",GOOGLEFINANCE(B167,""changepct"")/100)"),"...")</f>
        <v>...</v>
      </c>
      <c r="P167" s="10" t="str">
        <f>IFERROR(__xludf.DUMMYFUNCTION("if(B167=0,""..."",GOOGLEFINANCE(B167,""change"")*H167)"),"...")</f>
        <v>...</v>
      </c>
      <c r="Q167" s="12" t="str">
        <f t="shared" si="4"/>
        <v>...</v>
      </c>
      <c r="R167" s="47" t="str">
        <f t="shared" si="5"/>
        <v>...</v>
      </c>
      <c r="S167" s="12" t="str">
        <f t="shared" si="36"/>
        <v>...</v>
      </c>
      <c r="T167" s="47" t="str">
        <f>IF(B167=0,"...",(N167/IF(E167="ABIERTA",CCL!$E$2,VLOOKUP(F167,CCL!$A$12:$B$773,2,FALSE))-K167))</f>
        <v>...</v>
      </c>
      <c r="U167" s="2"/>
      <c r="V167" s="10"/>
      <c r="W167" s="10"/>
      <c r="X167" s="59" t="str">
        <f t="shared" si="29"/>
        <v>...</v>
      </c>
      <c r="Y167" s="45" t="str">
        <f>IFERROR(__xludf.DUMMYFUNCTION("IF(W167=0,""..."",GOOGLEFINANCE(""BCBA:""&amp;W167))"),"...")</f>
        <v>...</v>
      </c>
      <c r="Z167" s="12"/>
      <c r="AA167" s="45"/>
      <c r="AB167" s="12" t="str">
        <f t="shared" si="26"/>
        <v/>
      </c>
      <c r="AC167" s="45" t="str">
        <f t="shared" si="37"/>
        <v>...</v>
      </c>
      <c r="AD167" s="45" t="str">
        <f t="shared" si="38"/>
        <v>...</v>
      </c>
      <c r="AE167" s="12" t="str">
        <f t="shared" si="11"/>
        <v>...</v>
      </c>
      <c r="AF167" s="45" t="str">
        <f t="shared" si="39"/>
        <v>...</v>
      </c>
      <c r="AG167" s="45" t="str">
        <f t="shared" si="27"/>
        <v>...</v>
      </c>
      <c r="AH167" s="12" t="str">
        <f t="shared" si="13"/>
        <v>...</v>
      </c>
      <c r="AI167" s="46" t="str">
        <f t="shared" si="40"/>
        <v>...</v>
      </c>
      <c r="AJ167" s="2"/>
      <c r="AK167" s="2"/>
      <c r="AL167" s="2"/>
      <c r="AM167" s="2"/>
      <c r="AN167" s="2"/>
      <c r="AO167" s="2"/>
    </row>
    <row r="168" ht="24.0" customHeight="1">
      <c r="A168" s="4"/>
      <c r="B168" s="30"/>
      <c r="C168" s="5" t="str">
        <f>IFERROR(__xludf.DUMMYFUNCTION("if(B168=0,""..."", sparkline(query(GOOGLEFINANCE(""BCBA:""&amp;B168,""price"",today()-$AM$47,today()),""select Col2"",0),{""charttype"",$AM$46}))"),"...")</f>
        <v>...</v>
      </c>
      <c r="D168" s="17"/>
      <c r="E168" s="31"/>
      <c r="F168" s="7"/>
      <c r="G168" s="8" t="str">
        <f t="shared" si="1"/>
        <v>...</v>
      </c>
      <c r="H168" s="31"/>
      <c r="I168" s="52"/>
      <c r="J168" s="45" t="str">
        <f t="shared" si="2"/>
        <v>...</v>
      </c>
      <c r="K168" s="47" t="str">
        <f t="array" ref="K168">IF(B168=0,"...",J168/VLOOKUP(D168,{CCL!M:N;CCL!$P:$Q},2,FALSE))</f>
        <v>...</v>
      </c>
      <c r="L168" s="45" t="str">
        <f t="shared" si="41"/>
        <v>...</v>
      </c>
      <c r="M168" s="45" t="str">
        <f>if(B168=0,"...",L168*(1-VLOOKUP(A168,Config!$B$3:$C$22,2,FALSE)))</f>
        <v>...</v>
      </c>
      <c r="N168" s="45" t="str">
        <f t="shared" si="3"/>
        <v>...</v>
      </c>
      <c r="O168" s="12" t="str">
        <f>IFERROR(__xludf.DUMMYFUNCTION("if(B168=0,""..."",GOOGLEFINANCE(B168,""changepct"")/100)"),"...")</f>
        <v>...</v>
      </c>
      <c r="P168" s="10" t="str">
        <f>IFERROR(__xludf.DUMMYFUNCTION("if(B168=0,""..."",GOOGLEFINANCE(B168,""change"")*H168)"),"...")</f>
        <v>...</v>
      </c>
      <c r="Q168" s="12" t="str">
        <f t="shared" si="4"/>
        <v>...</v>
      </c>
      <c r="R168" s="47" t="str">
        <f t="shared" si="5"/>
        <v>...</v>
      </c>
      <c r="S168" s="12" t="str">
        <f t="shared" si="36"/>
        <v>...</v>
      </c>
      <c r="T168" s="47" t="str">
        <f>IF(B168=0,"...",(N168/IF(E168="ABIERTA",CCL!$E$2,VLOOKUP(F168,CCL!$A$12:$B$773,2,FALSE))-K168))</f>
        <v>...</v>
      </c>
      <c r="U168" s="2"/>
      <c r="V168" s="10"/>
      <c r="W168" s="10"/>
      <c r="X168" s="59" t="str">
        <f t="shared" si="29"/>
        <v>...</v>
      </c>
      <c r="Y168" s="45" t="str">
        <f>IFERROR(__xludf.DUMMYFUNCTION("IF(W168=0,""..."",GOOGLEFINANCE(""BCBA:""&amp;W168))"),"...")</f>
        <v>...</v>
      </c>
      <c r="Z168" s="12"/>
      <c r="AA168" s="45"/>
      <c r="AB168" s="12" t="str">
        <f t="shared" si="26"/>
        <v/>
      </c>
      <c r="AC168" s="45" t="str">
        <f t="shared" si="37"/>
        <v>...</v>
      </c>
      <c r="AD168" s="45" t="str">
        <f t="shared" si="38"/>
        <v>...</v>
      </c>
      <c r="AE168" s="12" t="str">
        <f t="shared" si="11"/>
        <v>...</v>
      </c>
      <c r="AF168" s="45" t="str">
        <f t="shared" si="39"/>
        <v>...</v>
      </c>
      <c r="AG168" s="45" t="str">
        <f t="shared" si="27"/>
        <v>...</v>
      </c>
      <c r="AH168" s="12" t="str">
        <f t="shared" si="13"/>
        <v>...</v>
      </c>
      <c r="AI168" s="46" t="str">
        <f t="shared" si="40"/>
        <v>...</v>
      </c>
      <c r="AJ168" s="2"/>
      <c r="AK168" s="2"/>
      <c r="AL168" s="2"/>
      <c r="AM168" s="2"/>
      <c r="AN168" s="2"/>
      <c r="AO168" s="2"/>
    </row>
    <row r="169" ht="24.0" customHeight="1">
      <c r="A169" s="4"/>
      <c r="B169" s="30"/>
      <c r="C169" s="5" t="str">
        <f>IFERROR(__xludf.DUMMYFUNCTION("if(B169=0,""..."", sparkline(query(GOOGLEFINANCE(""BCBA:""&amp;B169,""price"",today()-$AM$47,today()),""select Col2"",0),{""charttype"",$AM$46}))"),"...")</f>
        <v>...</v>
      </c>
      <c r="D169" s="17"/>
      <c r="E169" s="31"/>
      <c r="F169" s="7"/>
      <c r="G169" s="8" t="str">
        <f t="shared" si="1"/>
        <v>...</v>
      </c>
      <c r="H169" s="31"/>
      <c r="I169" s="52"/>
      <c r="J169" s="45" t="str">
        <f t="shared" si="2"/>
        <v>...</v>
      </c>
      <c r="K169" s="47" t="str">
        <f t="array" ref="K169">IF(B169=0,"...",J169/VLOOKUP(D169,{CCL!M:N;CCL!$P:$Q},2,FALSE))</f>
        <v>...</v>
      </c>
      <c r="L169" s="45" t="str">
        <f t="shared" si="41"/>
        <v>...</v>
      </c>
      <c r="M169" s="45" t="str">
        <f>if(B169=0,"...",L169*(1-VLOOKUP(A169,Config!$B$3:$C$22,2,FALSE)))</f>
        <v>...</v>
      </c>
      <c r="N169" s="45" t="str">
        <f t="shared" si="3"/>
        <v>...</v>
      </c>
      <c r="O169" s="12" t="str">
        <f>IFERROR(__xludf.DUMMYFUNCTION("if(B169=0,""..."",GOOGLEFINANCE(B169,""changepct"")/100)"),"...")</f>
        <v>...</v>
      </c>
      <c r="P169" s="10" t="str">
        <f>IFERROR(__xludf.DUMMYFUNCTION("if(B169=0,""..."",GOOGLEFINANCE(B169,""change"")*H169)"),"...")</f>
        <v>...</v>
      </c>
      <c r="Q169" s="12" t="str">
        <f t="shared" si="4"/>
        <v>...</v>
      </c>
      <c r="R169" s="47" t="str">
        <f t="shared" si="5"/>
        <v>...</v>
      </c>
      <c r="S169" s="12" t="str">
        <f t="shared" si="36"/>
        <v>...</v>
      </c>
      <c r="T169" s="47" t="str">
        <f>IF(B169=0,"...",(N169/IF(E169="ABIERTA",CCL!$E$2,VLOOKUP(F169,CCL!$A$12:$B$773,2,FALSE))-K169))</f>
        <v>...</v>
      </c>
      <c r="U169" s="2"/>
      <c r="V169" s="10"/>
      <c r="W169" s="10"/>
      <c r="X169" s="59" t="str">
        <f t="shared" si="29"/>
        <v>...</v>
      </c>
      <c r="Y169" s="45" t="str">
        <f>IFERROR(__xludf.DUMMYFUNCTION("IF(W169=0,""..."",GOOGLEFINANCE(""BCBA:""&amp;W169))"),"...")</f>
        <v>...</v>
      </c>
      <c r="Z169" s="12"/>
      <c r="AA169" s="45"/>
      <c r="AB169" s="12" t="str">
        <f t="shared" si="26"/>
        <v/>
      </c>
      <c r="AC169" s="45" t="str">
        <f t="shared" si="37"/>
        <v>...</v>
      </c>
      <c r="AD169" s="45" t="str">
        <f t="shared" si="38"/>
        <v>...</v>
      </c>
      <c r="AE169" s="12" t="str">
        <f t="shared" si="11"/>
        <v>...</v>
      </c>
      <c r="AF169" s="45" t="str">
        <f t="shared" si="39"/>
        <v>...</v>
      </c>
      <c r="AG169" s="45" t="str">
        <f t="shared" si="27"/>
        <v>...</v>
      </c>
      <c r="AH169" s="12" t="str">
        <f t="shared" si="13"/>
        <v>...</v>
      </c>
      <c r="AI169" s="46" t="str">
        <f t="shared" si="40"/>
        <v>...</v>
      </c>
      <c r="AJ169" s="2"/>
      <c r="AK169" s="2"/>
      <c r="AL169" s="2"/>
      <c r="AM169" s="2"/>
      <c r="AN169" s="2"/>
      <c r="AO169" s="2"/>
    </row>
    <row r="170" ht="24.0" customHeight="1">
      <c r="A170" s="4"/>
      <c r="B170" s="30"/>
      <c r="C170" s="5" t="str">
        <f>IFERROR(__xludf.DUMMYFUNCTION("if(B170=0,""..."", sparkline(query(GOOGLEFINANCE(""BCBA:""&amp;B170,""price"",today()-$AM$47,today()),""select Col2"",0),{""charttype"",$AM$46}))"),"...")</f>
        <v>...</v>
      </c>
      <c r="D170" s="17"/>
      <c r="E170" s="31"/>
      <c r="F170" s="7"/>
      <c r="G170" s="8" t="str">
        <f t="shared" si="1"/>
        <v>...</v>
      </c>
      <c r="H170" s="31"/>
      <c r="I170" s="52"/>
      <c r="J170" s="45" t="str">
        <f t="shared" si="2"/>
        <v>...</v>
      </c>
      <c r="K170" s="47" t="str">
        <f t="array" ref="K170">IF(B170=0,"...",J170/VLOOKUP(D170,{CCL!M:N;CCL!$P:$Q},2,FALSE))</f>
        <v>...</v>
      </c>
      <c r="L170" s="45" t="str">
        <f t="shared" si="41"/>
        <v>...</v>
      </c>
      <c r="M170" s="45" t="str">
        <f>if(B170=0,"...",L170*(1-VLOOKUP(A170,Config!$B$3:$C$22,2,FALSE)))</f>
        <v>...</v>
      </c>
      <c r="N170" s="45" t="str">
        <f t="shared" si="3"/>
        <v>...</v>
      </c>
      <c r="O170" s="12" t="str">
        <f>IFERROR(__xludf.DUMMYFUNCTION("if(B170=0,""..."",GOOGLEFINANCE(B170,""changepct"")/100)"),"...")</f>
        <v>...</v>
      </c>
      <c r="P170" s="10" t="str">
        <f>IFERROR(__xludf.DUMMYFUNCTION("if(B170=0,""..."",GOOGLEFINANCE(B170,""change"")*H170)"),"...")</f>
        <v>...</v>
      </c>
      <c r="Q170" s="12" t="str">
        <f t="shared" si="4"/>
        <v>...</v>
      </c>
      <c r="R170" s="47" t="str">
        <f t="shared" si="5"/>
        <v>...</v>
      </c>
      <c r="S170" s="12" t="str">
        <f t="shared" si="36"/>
        <v>...</v>
      </c>
      <c r="T170" s="47" t="str">
        <f>IF(B170=0,"...",(N170/IF(E170="ABIERTA",CCL!$E$2,VLOOKUP(F170,CCL!$A$12:$B$773,2,FALSE))-K170))</f>
        <v>...</v>
      </c>
      <c r="U170" s="2"/>
      <c r="V170" s="10"/>
      <c r="W170" s="10"/>
      <c r="X170" s="59" t="str">
        <f t="shared" si="29"/>
        <v>...</v>
      </c>
      <c r="Y170" s="45" t="str">
        <f>IFERROR(__xludf.DUMMYFUNCTION("IF(W170=0,""..."",GOOGLEFINANCE(""BCBA:""&amp;W170))"),"...")</f>
        <v>...</v>
      </c>
      <c r="Z170" s="12"/>
      <c r="AA170" s="45"/>
      <c r="AB170" s="12" t="str">
        <f t="shared" si="26"/>
        <v/>
      </c>
      <c r="AC170" s="45" t="str">
        <f t="shared" si="37"/>
        <v>...</v>
      </c>
      <c r="AD170" s="45" t="str">
        <f t="shared" si="38"/>
        <v>...</v>
      </c>
      <c r="AE170" s="12" t="str">
        <f t="shared" si="11"/>
        <v>...</v>
      </c>
      <c r="AF170" s="45" t="str">
        <f t="shared" si="39"/>
        <v>...</v>
      </c>
      <c r="AG170" s="45" t="str">
        <f t="shared" si="27"/>
        <v>...</v>
      </c>
      <c r="AH170" s="12" t="str">
        <f t="shared" si="13"/>
        <v>...</v>
      </c>
      <c r="AI170" s="46" t="str">
        <f t="shared" si="40"/>
        <v>...</v>
      </c>
      <c r="AJ170" s="2"/>
      <c r="AK170" s="2"/>
      <c r="AL170" s="2"/>
      <c r="AM170" s="2"/>
      <c r="AN170" s="2"/>
      <c r="AO170" s="2"/>
    </row>
    <row r="171" ht="24.0" customHeight="1">
      <c r="A171" s="4"/>
      <c r="B171" s="30"/>
      <c r="C171" s="5" t="str">
        <f>IFERROR(__xludf.DUMMYFUNCTION("if(B171=0,""..."", sparkline(query(GOOGLEFINANCE(""BCBA:""&amp;B171,""price"",today()-$AM$47,today()),""select Col2"",0),{""charttype"",$AM$46}))"),"...")</f>
        <v>...</v>
      </c>
      <c r="D171" s="17"/>
      <c r="E171" s="31"/>
      <c r="F171" s="7"/>
      <c r="G171" s="8" t="str">
        <f t="shared" si="1"/>
        <v>...</v>
      </c>
      <c r="H171" s="31"/>
      <c r="I171" s="52"/>
      <c r="J171" s="45" t="str">
        <f t="shared" si="2"/>
        <v>...</v>
      </c>
      <c r="K171" s="47" t="str">
        <f t="array" ref="K171">IF(B171=0,"...",J171/VLOOKUP(D171,{CCL!M:N;CCL!$P:$Q},2,FALSE))</f>
        <v>...</v>
      </c>
      <c r="L171" s="45" t="str">
        <f t="shared" si="41"/>
        <v>...</v>
      </c>
      <c r="M171" s="45" t="str">
        <f>if(B171=0,"...",L171*(1-VLOOKUP(A171,Config!$B$3:$C$22,2,FALSE)))</f>
        <v>...</v>
      </c>
      <c r="N171" s="45" t="str">
        <f t="shared" si="3"/>
        <v>...</v>
      </c>
      <c r="O171" s="12" t="str">
        <f>IFERROR(__xludf.DUMMYFUNCTION("if(B171=0,""..."",GOOGLEFINANCE(B171,""changepct"")/100)"),"...")</f>
        <v>...</v>
      </c>
      <c r="P171" s="10" t="str">
        <f>IFERROR(__xludf.DUMMYFUNCTION("if(B171=0,""..."",GOOGLEFINANCE(B171,""change"")*H171)"),"...")</f>
        <v>...</v>
      </c>
      <c r="Q171" s="12" t="str">
        <f t="shared" si="4"/>
        <v>...</v>
      </c>
      <c r="R171" s="47" t="str">
        <f t="shared" si="5"/>
        <v>...</v>
      </c>
      <c r="S171" s="12" t="str">
        <f t="shared" si="36"/>
        <v>...</v>
      </c>
      <c r="T171" s="47" t="str">
        <f>IF(B171=0,"...",(N171/IF(E171="ABIERTA",CCL!$E$2,VLOOKUP(F171,CCL!$A$12:$B$773,2,FALSE))-K171))</f>
        <v>...</v>
      </c>
      <c r="U171" s="2"/>
      <c r="V171" s="10"/>
      <c r="W171" s="10"/>
      <c r="X171" s="59" t="str">
        <f t="shared" si="29"/>
        <v>...</v>
      </c>
      <c r="Y171" s="45" t="str">
        <f>IFERROR(__xludf.DUMMYFUNCTION("IF(W171=0,""..."",GOOGLEFINANCE(""BCBA:""&amp;W171))"),"...")</f>
        <v>...</v>
      </c>
      <c r="Z171" s="12"/>
      <c r="AA171" s="45"/>
      <c r="AB171" s="12" t="str">
        <f t="shared" si="26"/>
        <v/>
      </c>
      <c r="AC171" s="45" t="str">
        <f t="shared" si="37"/>
        <v>...</v>
      </c>
      <c r="AD171" s="45" t="str">
        <f t="shared" si="38"/>
        <v>...</v>
      </c>
      <c r="AE171" s="12" t="str">
        <f t="shared" si="11"/>
        <v>...</v>
      </c>
      <c r="AF171" s="45" t="str">
        <f t="shared" si="39"/>
        <v>...</v>
      </c>
      <c r="AG171" s="45" t="str">
        <f t="shared" si="27"/>
        <v>...</v>
      </c>
      <c r="AH171" s="12" t="str">
        <f t="shared" si="13"/>
        <v>...</v>
      </c>
      <c r="AI171" s="46" t="str">
        <f t="shared" si="40"/>
        <v>...</v>
      </c>
      <c r="AJ171" s="2"/>
      <c r="AK171" s="2"/>
      <c r="AL171" s="2"/>
      <c r="AM171" s="2"/>
      <c r="AN171" s="2"/>
      <c r="AO171" s="2"/>
    </row>
    <row r="172" ht="24.0" customHeight="1">
      <c r="A172" s="4"/>
      <c r="B172" s="30"/>
      <c r="C172" s="5" t="str">
        <f>IFERROR(__xludf.DUMMYFUNCTION("if(B172=0,""..."", sparkline(query(GOOGLEFINANCE(""BCBA:""&amp;B172,""price"",today()-$AM$47,today()),""select Col2"",0),{""charttype"",$AM$46}))"),"...")</f>
        <v>...</v>
      </c>
      <c r="D172" s="17"/>
      <c r="E172" s="31"/>
      <c r="F172" s="7"/>
      <c r="G172" s="8" t="str">
        <f t="shared" si="1"/>
        <v>...</v>
      </c>
      <c r="H172" s="31"/>
      <c r="I172" s="52"/>
      <c r="J172" s="45" t="str">
        <f t="shared" si="2"/>
        <v>...</v>
      </c>
      <c r="K172" s="47" t="str">
        <f t="array" ref="K172">IF(B172=0,"...",J172/VLOOKUP(D172,{CCL!M:N;CCL!$P:$Q},2,FALSE))</f>
        <v>...</v>
      </c>
      <c r="L172" s="45" t="str">
        <f t="shared" si="41"/>
        <v>...</v>
      </c>
      <c r="M172" s="45" t="str">
        <f>if(B172=0,"...",L172*(1-VLOOKUP(A172,Config!$B$3:$C$22,2,FALSE)))</f>
        <v>...</v>
      </c>
      <c r="N172" s="45" t="str">
        <f t="shared" si="3"/>
        <v>...</v>
      </c>
      <c r="O172" s="12" t="str">
        <f>IFERROR(__xludf.DUMMYFUNCTION("if(B172=0,""..."",GOOGLEFINANCE(B172,""changepct"")/100)"),"...")</f>
        <v>...</v>
      </c>
      <c r="P172" s="10" t="str">
        <f>IFERROR(__xludf.DUMMYFUNCTION("if(B172=0,""..."",GOOGLEFINANCE(B172,""change"")*H172)"),"...")</f>
        <v>...</v>
      </c>
      <c r="Q172" s="12" t="str">
        <f t="shared" si="4"/>
        <v>...</v>
      </c>
      <c r="R172" s="47" t="str">
        <f t="shared" si="5"/>
        <v>...</v>
      </c>
      <c r="S172" s="12" t="str">
        <f t="shared" si="36"/>
        <v>...</v>
      </c>
      <c r="T172" s="47" t="str">
        <f>IF(B172=0,"...",(N172/IF(E172="ABIERTA",CCL!$E$2,VLOOKUP(F172,CCL!$A$12:$B$773,2,FALSE))-K172))</f>
        <v>...</v>
      </c>
      <c r="U172" s="2"/>
      <c r="V172" s="10"/>
      <c r="W172" s="10"/>
      <c r="X172" s="59" t="str">
        <f t="shared" si="29"/>
        <v>...</v>
      </c>
      <c r="Y172" s="45" t="str">
        <f>IFERROR(__xludf.DUMMYFUNCTION("IF(W172=0,""..."",GOOGLEFINANCE(""BCBA:""&amp;W172))"),"...")</f>
        <v>...</v>
      </c>
      <c r="Z172" s="12"/>
      <c r="AA172" s="45"/>
      <c r="AB172" s="12" t="str">
        <f t="shared" si="26"/>
        <v/>
      </c>
      <c r="AC172" s="45" t="str">
        <f t="shared" si="37"/>
        <v>...</v>
      </c>
      <c r="AD172" s="45" t="str">
        <f t="shared" si="38"/>
        <v>...</v>
      </c>
      <c r="AE172" s="12" t="str">
        <f t="shared" si="11"/>
        <v>...</v>
      </c>
      <c r="AF172" s="45" t="str">
        <f t="shared" si="39"/>
        <v>...</v>
      </c>
      <c r="AG172" s="45" t="str">
        <f t="shared" si="27"/>
        <v>...</v>
      </c>
      <c r="AH172" s="12" t="str">
        <f t="shared" si="13"/>
        <v>...</v>
      </c>
      <c r="AI172" s="46" t="str">
        <f t="shared" si="40"/>
        <v>...</v>
      </c>
      <c r="AJ172" s="2"/>
      <c r="AK172" s="2"/>
      <c r="AL172" s="2"/>
      <c r="AM172" s="2"/>
      <c r="AN172" s="2"/>
      <c r="AO172" s="2"/>
    </row>
    <row r="173" ht="24.0" customHeight="1">
      <c r="A173" s="4"/>
      <c r="B173" s="30"/>
      <c r="C173" s="5" t="str">
        <f>IFERROR(__xludf.DUMMYFUNCTION("if(B173=0,""..."", sparkline(query(GOOGLEFINANCE(""BCBA:""&amp;B173,""price"",today()-$AM$47,today()),""select Col2"",0),{""charttype"",$AM$46}))"),"...")</f>
        <v>...</v>
      </c>
      <c r="D173" s="17"/>
      <c r="E173" s="31"/>
      <c r="F173" s="7"/>
      <c r="G173" s="8" t="str">
        <f t="shared" si="1"/>
        <v>...</v>
      </c>
      <c r="H173" s="31"/>
      <c r="I173" s="52"/>
      <c r="J173" s="45" t="str">
        <f t="shared" si="2"/>
        <v>...</v>
      </c>
      <c r="K173" s="47" t="str">
        <f t="array" ref="K173">IF(B173=0,"...",J173/VLOOKUP(D173,{CCL!M:N;CCL!$P:$Q},2,FALSE))</f>
        <v>...</v>
      </c>
      <c r="L173" s="45" t="str">
        <f t="shared" si="41"/>
        <v>...</v>
      </c>
      <c r="M173" s="45" t="str">
        <f>if(B173=0,"...",L173*(1-VLOOKUP(A173,Config!$B$3:$C$22,2,FALSE)))</f>
        <v>...</v>
      </c>
      <c r="N173" s="45" t="str">
        <f t="shared" si="3"/>
        <v>...</v>
      </c>
      <c r="O173" s="12" t="str">
        <f>IFERROR(__xludf.DUMMYFUNCTION("if(B173=0,""..."",GOOGLEFINANCE(B173,""changepct"")/100)"),"...")</f>
        <v>...</v>
      </c>
      <c r="P173" s="10" t="str">
        <f>IFERROR(__xludf.DUMMYFUNCTION("if(B173=0,""..."",GOOGLEFINANCE(B173,""change"")*H173)"),"...")</f>
        <v>...</v>
      </c>
      <c r="Q173" s="12" t="str">
        <f t="shared" si="4"/>
        <v>...</v>
      </c>
      <c r="R173" s="47" t="str">
        <f t="shared" si="5"/>
        <v>...</v>
      </c>
      <c r="S173" s="12" t="str">
        <f t="shared" si="36"/>
        <v>...</v>
      </c>
      <c r="T173" s="47" t="str">
        <f>IF(B173=0,"...",(N173/IF(E173="ABIERTA",CCL!$E$2,VLOOKUP(F173,CCL!$A$12:$B$773,2,FALSE))-K173))</f>
        <v>...</v>
      </c>
      <c r="U173" s="2"/>
      <c r="V173" s="10"/>
      <c r="W173" s="10"/>
      <c r="X173" s="59" t="str">
        <f t="shared" si="29"/>
        <v>...</v>
      </c>
      <c r="Y173" s="45" t="str">
        <f>IFERROR(__xludf.DUMMYFUNCTION("IF(W173=0,""..."",GOOGLEFINANCE(""BCBA:""&amp;W173))"),"...")</f>
        <v>...</v>
      </c>
      <c r="Z173" s="12"/>
      <c r="AA173" s="45"/>
      <c r="AB173" s="12" t="str">
        <f t="shared" si="26"/>
        <v/>
      </c>
      <c r="AC173" s="45" t="str">
        <f t="shared" si="37"/>
        <v>...</v>
      </c>
      <c r="AD173" s="45" t="str">
        <f t="shared" si="38"/>
        <v>...</v>
      </c>
      <c r="AE173" s="12" t="str">
        <f t="shared" si="11"/>
        <v>...</v>
      </c>
      <c r="AF173" s="45" t="str">
        <f t="shared" si="39"/>
        <v>...</v>
      </c>
      <c r="AG173" s="45" t="str">
        <f t="shared" si="27"/>
        <v>...</v>
      </c>
      <c r="AH173" s="12" t="str">
        <f t="shared" si="13"/>
        <v>...</v>
      </c>
      <c r="AI173" s="46" t="str">
        <f t="shared" si="40"/>
        <v>...</v>
      </c>
      <c r="AJ173" s="2"/>
      <c r="AK173" s="2"/>
      <c r="AL173" s="2"/>
      <c r="AM173" s="2"/>
      <c r="AN173" s="2"/>
      <c r="AO173" s="2"/>
    </row>
    <row r="174" ht="24.0" customHeight="1">
      <c r="A174" s="4"/>
      <c r="B174" s="30"/>
      <c r="C174" s="5" t="str">
        <f>IFERROR(__xludf.DUMMYFUNCTION("if(B174=0,""..."", sparkline(query(GOOGLEFINANCE(""BCBA:""&amp;B174,""price"",today()-$AM$47,today()),""select Col2"",0),{""charttype"",$AM$46}))"),"...")</f>
        <v>...</v>
      </c>
      <c r="D174" s="17"/>
      <c r="E174" s="31"/>
      <c r="F174" s="7"/>
      <c r="G174" s="8" t="str">
        <f t="shared" si="1"/>
        <v>...</v>
      </c>
      <c r="H174" s="31"/>
      <c r="I174" s="52"/>
      <c r="J174" s="45" t="str">
        <f t="shared" si="2"/>
        <v>...</v>
      </c>
      <c r="K174" s="47" t="str">
        <f t="array" ref="K174">IF(B174=0,"...",J174/VLOOKUP(D174,{CCL!M:N;CCL!$P:$Q},2,FALSE))</f>
        <v>...</v>
      </c>
      <c r="L174" s="45" t="str">
        <f t="shared" si="41"/>
        <v>...</v>
      </c>
      <c r="M174" s="45" t="str">
        <f>if(B174=0,"...",L174*(1-VLOOKUP(A174,Config!$B$3:$C$22,2,FALSE)))</f>
        <v>...</v>
      </c>
      <c r="N174" s="45" t="str">
        <f t="shared" si="3"/>
        <v>...</v>
      </c>
      <c r="O174" s="12" t="str">
        <f>IFERROR(__xludf.DUMMYFUNCTION("if(B174=0,""..."",GOOGLEFINANCE(B174,""changepct"")/100)"),"...")</f>
        <v>...</v>
      </c>
      <c r="P174" s="10" t="str">
        <f>IFERROR(__xludf.DUMMYFUNCTION("if(B174=0,""..."",GOOGLEFINANCE(B174,""change"")*H174)"),"...")</f>
        <v>...</v>
      </c>
      <c r="Q174" s="12" t="str">
        <f t="shared" si="4"/>
        <v>...</v>
      </c>
      <c r="R174" s="47" t="str">
        <f t="shared" si="5"/>
        <v>...</v>
      </c>
      <c r="S174" s="12" t="str">
        <f t="shared" si="36"/>
        <v>...</v>
      </c>
      <c r="T174" s="47" t="str">
        <f>IF(B174=0,"...",(N174/IF(E174="ABIERTA",CCL!$E$2,VLOOKUP(F174,CCL!$A$12:$B$773,2,FALSE))-K174))</f>
        <v>...</v>
      </c>
      <c r="U174" s="2"/>
      <c r="V174" s="10"/>
      <c r="W174" s="10"/>
      <c r="X174" s="59" t="str">
        <f t="shared" si="29"/>
        <v>...</v>
      </c>
      <c r="Y174" s="45" t="str">
        <f>IFERROR(__xludf.DUMMYFUNCTION("IF(W174=0,""..."",GOOGLEFINANCE(""BCBA:""&amp;W174))"),"...")</f>
        <v>...</v>
      </c>
      <c r="Z174" s="12"/>
      <c r="AA174" s="45"/>
      <c r="AB174" s="12" t="str">
        <f t="shared" si="26"/>
        <v/>
      </c>
      <c r="AC174" s="45" t="str">
        <f t="shared" si="37"/>
        <v>...</v>
      </c>
      <c r="AD174" s="45" t="str">
        <f t="shared" si="38"/>
        <v>...</v>
      </c>
      <c r="AE174" s="12" t="str">
        <f t="shared" si="11"/>
        <v>...</v>
      </c>
      <c r="AF174" s="45" t="str">
        <f t="shared" si="39"/>
        <v>...</v>
      </c>
      <c r="AG174" s="45" t="str">
        <f t="shared" si="27"/>
        <v>...</v>
      </c>
      <c r="AH174" s="12" t="str">
        <f t="shared" si="13"/>
        <v>...</v>
      </c>
      <c r="AI174" s="46" t="str">
        <f t="shared" si="40"/>
        <v>...</v>
      </c>
      <c r="AJ174" s="2"/>
      <c r="AK174" s="2"/>
      <c r="AL174" s="2"/>
      <c r="AM174" s="2"/>
      <c r="AN174" s="2"/>
      <c r="AO174" s="2"/>
    </row>
    <row r="175" ht="24.0" customHeight="1">
      <c r="A175" s="4"/>
      <c r="B175" s="30"/>
      <c r="C175" s="5" t="str">
        <f>IFERROR(__xludf.DUMMYFUNCTION("if(B175=0,""..."", sparkline(query(GOOGLEFINANCE(""BCBA:""&amp;B175,""price"",today()-$AM$47,today()),""select Col2"",0),{""charttype"",$AM$46}))"),"...")</f>
        <v>...</v>
      </c>
      <c r="D175" s="17"/>
      <c r="E175" s="31"/>
      <c r="F175" s="7"/>
      <c r="G175" s="8" t="str">
        <f t="shared" si="1"/>
        <v>...</v>
      </c>
      <c r="H175" s="31"/>
      <c r="I175" s="52"/>
      <c r="J175" s="45" t="str">
        <f t="shared" si="2"/>
        <v>...</v>
      </c>
      <c r="K175" s="47" t="str">
        <f t="array" ref="K175">IF(B175=0,"...",J175/VLOOKUP(D175,{CCL!M:N;CCL!$P:$Q},2,FALSE))</f>
        <v>...</v>
      </c>
      <c r="L175" s="45" t="str">
        <f t="shared" si="41"/>
        <v>...</v>
      </c>
      <c r="M175" s="45" t="str">
        <f>if(B175=0,"...",L175*(1-VLOOKUP(A175,Config!$B$3:$C$22,2,FALSE)))</f>
        <v>...</v>
      </c>
      <c r="N175" s="45" t="str">
        <f t="shared" si="3"/>
        <v>...</v>
      </c>
      <c r="O175" s="12" t="str">
        <f>IFERROR(__xludf.DUMMYFUNCTION("if(B175=0,""..."",GOOGLEFINANCE(B175,""changepct"")/100)"),"...")</f>
        <v>...</v>
      </c>
      <c r="P175" s="10" t="str">
        <f>IFERROR(__xludf.DUMMYFUNCTION("if(B175=0,""..."",GOOGLEFINANCE(B175,""change"")*H175)"),"...")</f>
        <v>...</v>
      </c>
      <c r="Q175" s="12" t="str">
        <f t="shared" si="4"/>
        <v>...</v>
      </c>
      <c r="R175" s="47" t="str">
        <f t="shared" si="5"/>
        <v>...</v>
      </c>
      <c r="S175" s="12" t="str">
        <f t="shared" si="36"/>
        <v>...</v>
      </c>
      <c r="T175" s="47" t="str">
        <f>IF(B175=0,"...",(N175/IF(E175="ABIERTA",CCL!$E$2,VLOOKUP(F175,CCL!$A$12:$B$773,2,FALSE))-K175))</f>
        <v>...</v>
      </c>
      <c r="U175" s="2"/>
      <c r="V175" s="10"/>
      <c r="W175" s="10"/>
      <c r="X175" s="59" t="str">
        <f t="shared" si="29"/>
        <v>...</v>
      </c>
      <c r="Y175" s="45" t="str">
        <f>IFERROR(__xludf.DUMMYFUNCTION("IF(W175=0,""..."",GOOGLEFINANCE(""BCBA:""&amp;W175))"),"...")</f>
        <v>...</v>
      </c>
      <c r="Z175" s="12"/>
      <c r="AA175" s="45"/>
      <c r="AB175" s="12" t="str">
        <f t="shared" si="26"/>
        <v/>
      </c>
      <c r="AC175" s="45" t="str">
        <f t="shared" si="37"/>
        <v>...</v>
      </c>
      <c r="AD175" s="45" t="str">
        <f t="shared" si="38"/>
        <v>...</v>
      </c>
      <c r="AE175" s="12" t="str">
        <f t="shared" si="11"/>
        <v>...</v>
      </c>
      <c r="AF175" s="45" t="str">
        <f t="shared" si="39"/>
        <v>...</v>
      </c>
      <c r="AG175" s="45" t="str">
        <f t="shared" si="27"/>
        <v>...</v>
      </c>
      <c r="AH175" s="12" t="str">
        <f t="shared" si="13"/>
        <v>...</v>
      </c>
      <c r="AI175" s="46" t="str">
        <f t="shared" si="40"/>
        <v>...</v>
      </c>
      <c r="AJ175" s="2"/>
      <c r="AK175" s="2"/>
      <c r="AL175" s="2"/>
      <c r="AM175" s="2"/>
      <c r="AN175" s="2"/>
      <c r="AO175" s="2"/>
    </row>
    <row r="176" ht="24.0" customHeight="1">
      <c r="A176" s="4"/>
      <c r="B176" s="30"/>
      <c r="C176" s="5" t="str">
        <f>IFERROR(__xludf.DUMMYFUNCTION("if(B176=0,""..."", sparkline(query(GOOGLEFINANCE(""BCBA:""&amp;B176,""price"",today()-$AM$47,today()),""select Col2"",0),{""charttype"",$AM$46}))"),"...")</f>
        <v>...</v>
      </c>
      <c r="D176" s="17"/>
      <c r="E176" s="31"/>
      <c r="F176" s="7"/>
      <c r="G176" s="8" t="str">
        <f t="shared" si="1"/>
        <v>...</v>
      </c>
      <c r="H176" s="31"/>
      <c r="I176" s="52"/>
      <c r="J176" s="45" t="str">
        <f t="shared" si="2"/>
        <v>...</v>
      </c>
      <c r="K176" s="47" t="str">
        <f t="array" ref="K176">IF(B176=0,"...",J176/VLOOKUP(D176,{CCL!M:N;CCL!$P:$Q},2,FALSE))</f>
        <v>...</v>
      </c>
      <c r="L176" s="45" t="str">
        <f t="shared" si="41"/>
        <v>...</v>
      </c>
      <c r="M176" s="45" t="str">
        <f>if(B176=0,"...",L176*(1-VLOOKUP(A176,Config!$B$3:$C$22,2,FALSE)))</f>
        <v>...</v>
      </c>
      <c r="N176" s="45" t="str">
        <f t="shared" si="3"/>
        <v>...</v>
      </c>
      <c r="O176" s="12" t="str">
        <f>IFERROR(__xludf.DUMMYFUNCTION("if(B176=0,""..."",GOOGLEFINANCE(B176,""changepct"")/100)"),"...")</f>
        <v>...</v>
      </c>
      <c r="P176" s="10" t="str">
        <f>IFERROR(__xludf.DUMMYFUNCTION("if(B176=0,""..."",GOOGLEFINANCE(B176,""change"")*H176)"),"...")</f>
        <v>...</v>
      </c>
      <c r="Q176" s="12" t="str">
        <f t="shared" si="4"/>
        <v>...</v>
      </c>
      <c r="R176" s="47" t="str">
        <f t="shared" si="5"/>
        <v>...</v>
      </c>
      <c r="S176" s="12" t="str">
        <f t="shared" si="36"/>
        <v>...</v>
      </c>
      <c r="T176" s="47" t="str">
        <f>IF(B176=0,"...",(N176/IF(E176="ABIERTA",CCL!$E$2,VLOOKUP(F176,CCL!$A$12:$B$773,2,FALSE))-K176))</f>
        <v>...</v>
      </c>
      <c r="U176" s="2"/>
      <c r="V176" s="10"/>
      <c r="W176" s="10"/>
      <c r="X176" s="59" t="str">
        <f t="shared" si="29"/>
        <v>...</v>
      </c>
      <c r="Y176" s="45" t="str">
        <f>IFERROR(__xludf.DUMMYFUNCTION("IF(W176=0,""..."",GOOGLEFINANCE(""BCBA:""&amp;W176))"),"...")</f>
        <v>...</v>
      </c>
      <c r="Z176" s="12"/>
      <c r="AA176" s="45"/>
      <c r="AB176" s="12" t="str">
        <f t="shared" si="26"/>
        <v/>
      </c>
      <c r="AC176" s="45" t="str">
        <f t="shared" si="37"/>
        <v>...</v>
      </c>
      <c r="AD176" s="45" t="str">
        <f t="shared" si="38"/>
        <v>...</v>
      </c>
      <c r="AE176" s="12" t="str">
        <f t="shared" si="11"/>
        <v>...</v>
      </c>
      <c r="AF176" s="45" t="str">
        <f t="shared" si="39"/>
        <v>...</v>
      </c>
      <c r="AG176" s="45" t="str">
        <f t="shared" si="27"/>
        <v>...</v>
      </c>
      <c r="AH176" s="12" t="str">
        <f t="shared" si="13"/>
        <v>...</v>
      </c>
      <c r="AI176" s="46" t="str">
        <f t="shared" si="40"/>
        <v>...</v>
      </c>
      <c r="AJ176" s="2"/>
      <c r="AK176" s="2"/>
      <c r="AL176" s="2"/>
      <c r="AM176" s="2"/>
      <c r="AN176" s="2"/>
      <c r="AO176" s="2"/>
    </row>
    <row r="177" ht="24.0" customHeight="1">
      <c r="A177" s="4"/>
      <c r="B177" s="30"/>
      <c r="C177" s="5" t="str">
        <f>IFERROR(__xludf.DUMMYFUNCTION("if(B177=0,""..."", sparkline(query(GOOGLEFINANCE(""BCBA:""&amp;B177,""price"",today()-$AM$47,today()),""select Col2"",0),{""charttype"",$AM$46}))"),"...")</f>
        <v>...</v>
      </c>
      <c r="D177" s="17"/>
      <c r="E177" s="31"/>
      <c r="F177" s="7"/>
      <c r="G177" s="8" t="str">
        <f t="shared" si="1"/>
        <v>...</v>
      </c>
      <c r="H177" s="31"/>
      <c r="I177" s="52"/>
      <c r="J177" s="45" t="str">
        <f t="shared" si="2"/>
        <v>...</v>
      </c>
      <c r="K177" s="47" t="str">
        <f t="array" ref="K177">IF(B177=0,"...",J177/VLOOKUP(D177,{CCL!M:N;CCL!$P:$Q},2,FALSE))</f>
        <v>...</v>
      </c>
      <c r="L177" s="45" t="str">
        <f t="shared" si="41"/>
        <v>...</v>
      </c>
      <c r="M177" s="45" t="str">
        <f>if(B177=0,"...",L177*(1-VLOOKUP(A177,Config!$B$3:$C$22,2,FALSE)))</f>
        <v>...</v>
      </c>
      <c r="N177" s="45" t="str">
        <f t="shared" si="3"/>
        <v>...</v>
      </c>
      <c r="O177" s="12" t="str">
        <f>IFERROR(__xludf.DUMMYFUNCTION("if(B177=0,""..."",GOOGLEFINANCE(B177,""changepct"")/100)"),"...")</f>
        <v>...</v>
      </c>
      <c r="P177" s="10" t="str">
        <f>IFERROR(__xludf.DUMMYFUNCTION("if(B177=0,""..."",GOOGLEFINANCE(B177,""change"")*H177)"),"...")</f>
        <v>...</v>
      </c>
      <c r="Q177" s="12" t="str">
        <f t="shared" si="4"/>
        <v>...</v>
      </c>
      <c r="R177" s="47" t="str">
        <f t="shared" si="5"/>
        <v>...</v>
      </c>
      <c r="S177" s="12" t="str">
        <f t="shared" si="36"/>
        <v>...</v>
      </c>
      <c r="T177" s="47" t="str">
        <f>IF(B177=0,"...",(N177/IF(E177="ABIERTA",CCL!$E$2,VLOOKUP(F177,CCL!$A$12:$B$773,2,FALSE))-K177))</f>
        <v>...</v>
      </c>
      <c r="U177" s="2"/>
      <c r="V177" s="10"/>
      <c r="W177" s="10"/>
      <c r="X177" s="59" t="str">
        <f t="shared" si="29"/>
        <v>...</v>
      </c>
      <c r="Y177" s="45" t="str">
        <f>IFERROR(__xludf.DUMMYFUNCTION("IF(W177=0,""..."",GOOGLEFINANCE(""BCBA:""&amp;W177))"),"...")</f>
        <v>...</v>
      </c>
      <c r="Z177" s="12"/>
      <c r="AA177" s="45"/>
      <c r="AB177" s="12" t="str">
        <f t="shared" si="26"/>
        <v/>
      </c>
      <c r="AC177" s="45" t="str">
        <f t="shared" si="37"/>
        <v>...</v>
      </c>
      <c r="AD177" s="45" t="str">
        <f t="shared" si="38"/>
        <v>...</v>
      </c>
      <c r="AE177" s="12" t="str">
        <f t="shared" si="11"/>
        <v>...</v>
      </c>
      <c r="AF177" s="45" t="str">
        <f t="shared" si="39"/>
        <v>...</v>
      </c>
      <c r="AG177" s="45" t="str">
        <f t="shared" si="27"/>
        <v>...</v>
      </c>
      <c r="AH177" s="12" t="str">
        <f t="shared" si="13"/>
        <v>...</v>
      </c>
      <c r="AI177" s="46" t="str">
        <f t="shared" si="40"/>
        <v>...</v>
      </c>
      <c r="AJ177" s="2"/>
      <c r="AK177" s="2"/>
      <c r="AL177" s="2"/>
      <c r="AM177" s="2"/>
      <c r="AN177" s="2"/>
      <c r="AO177" s="2"/>
    </row>
    <row r="178" ht="24.0" customHeight="1">
      <c r="A178" s="4"/>
      <c r="B178" s="30"/>
      <c r="C178" s="5" t="str">
        <f>IFERROR(__xludf.DUMMYFUNCTION("if(B178=0,""..."", sparkline(query(GOOGLEFINANCE(""BCBA:""&amp;B178,""price"",today()-$AM$47,today()),""select Col2"",0),{""charttype"",$AM$46}))"),"...")</f>
        <v>...</v>
      </c>
      <c r="D178" s="17"/>
      <c r="E178" s="31"/>
      <c r="F178" s="7"/>
      <c r="G178" s="8" t="str">
        <f t="shared" si="1"/>
        <v>...</v>
      </c>
      <c r="H178" s="31"/>
      <c r="I178" s="52"/>
      <c r="J178" s="45" t="str">
        <f t="shared" si="2"/>
        <v>...</v>
      </c>
      <c r="K178" s="47" t="str">
        <f t="array" ref="K178">IF(B178=0,"...",J178/VLOOKUP(D178,{CCL!M:N;CCL!$P:$Q},2,FALSE))</f>
        <v>...</v>
      </c>
      <c r="L178" s="45" t="str">
        <f t="shared" si="41"/>
        <v>...</v>
      </c>
      <c r="M178" s="45" t="str">
        <f>if(B178=0,"...",L178*(1-VLOOKUP(A178,Config!$B$3:$C$22,2,FALSE)))</f>
        <v>...</v>
      </c>
      <c r="N178" s="45" t="str">
        <f t="shared" si="3"/>
        <v>...</v>
      </c>
      <c r="O178" s="12" t="str">
        <f>IFERROR(__xludf.DUMMYFUNCTION("if(B178=0,""..."",GOOGLEFINANCE(B178,""changepct"")/100)"),"...")</f>
        <v>...</v>
      </c>
      <c r="P178" s="10" t="str">
        <f>IFERROR(__xludf.DUMMYFUNCTION("if(B178=0,""..."",GOOGLEFINANCE(B178,""change"")*H178)"),"...")</f>
        <v>...</v>
      </c>
      <c r="Q178" s="12" t="str">
        <f t="shared" si="4"/>
        <v>...</v>
      </c>
      <c r="R178" s="47" t="str">
        <f t="shared" si="5"/>
        <v>...</v>
      </c>
      <c r="S178" s="12" t="str">
        <f t="shared" si="36"/>
        <v>...</v>
      </c>
      <c r="T178" s="47" t="str">
        <f>IF(B178=0,"...",(N178/IF(E178="ABIERTA",CCL!$E$2,VLOOKUP(F178,CCL!$A$12:$B$773,2,FALSE))-K178))</f>
        <v>...</v>
      </c>
      <c r="U178" s="2"/>
      <c r="V178" s="10"/>
      <c r="W178" s="10"/>
      <c r="X178" s="59" t="str">
        <f t="shared" si="29"/>
        <v>...</v>
      </c>
      <c r="Y178" s="45" t="str">
        <f>IFERROR(__xludf.DUMMYFUNCTION("IF(W178=0,""..."",GOOGLEFINANCE(""BCBA:""&amp;W178))"),"...")</f>
        <v>...</v>
      </c>
      <c r="Z178" s="12"/>
      <c r="AA178" s="45"/>
      <c r="AB178" s="12" t="str">
        <f t="shared" si="26"/>
        <v/>
      </c>
      <c r="AC178" s="45" t="str">
        <f t="shared" si="37"/>
        <v>...</v>
      </c>
      <c r="AD178" s="45" t="str">
        <f t="shared" si="38"/>
        <v>...</v>
      </c>
      <c r="AE178" s="12" t="str">
        <f t="shared" si="11"/>
        <v>...</v>
      </c>
      <c r="AF178" s="45" t="str">
        <f t="shared" si="39"/>
        <v>...</v>
      </c>
      <c r="AG178" s="45" t="str">
        <f t="shared" si="27"/>
        <v>...</v>
      </c>
      <c r="AH178" s="12" t="str">
        <f t="shared" si="13"/>
        <v>...</v>
      </c>
      <c r="AI178" s="46" t="str">
        <f t="shared" si="40"/>
        <v>...</v>
      </c>
      <c r="AJ178" s="2"/>
      <c r="AK178" s="2"/>
      <c r="AL178" s="2"/>
      <c r="AM178" s="2"/>
      <c r="AN178" s="2"/>
      <c r="AO178" s="2"/>
    </row>
    <row r="179" ht="24.0" customHeight="1">
      <c r="A179" s="4"/>
      <c r="B179" s="30"/>
      <c r="C179" s="5" t="str">
        <f>IFERROR(__xludf.DUMMYFUNCTION("if(B179=0,""..."", sparkline(query(GOOGLEFINANCE(""BCBA:""&amp;B179,""price"",today()-$AM$47,today()),""select Col2"",0),{""charttype"",$AM$46}))"),"...")</f>
        <v>...</v>
      </c>
      <c r="D179" s="17"/>
      <c r="E179" s="31"/>
      <c r="F179" s="7"/>
      <c r="G179" s="8" t="str">
        <f t="shared" si="1"/>
        <v>...</v>
      </c>
      <c r="H179" s="31"/>
      <c r="I179" s="52"/>
      <c r="J179" s="45" t="str">
        <f t="shared" si="2"/>
        <v>...</v>
      </c>
      <c r="K179" s="47" t="str">
        <f t="array" ref="K179">IF(B179=0,"...",J179/VLOOKUP(D179,{CCL!M:N;CCL!$P:$Q},2,FALSE))</f>
        <v>...</v>
      </c>
      <c r="L179" s="45" t="str">
        <f t="shared" si="41"/>
        <v>...</v>
      </c>
      <c r="M179" s="45" t="str">
        <f>if(B179=0,"...",L179*(1-VLOOKUP(A179,Config!$B$3:$C$22,2,FALSE)))</f>
        <v>...</v>
      </c>
      <c r="N179" s="45" t="str">
        <f t="shared" si="3"/>
        <v>...</v>
      </c>
      <c r="O179" s="12" t="str">
        <f>IFERROR(__xludf.DUMMYFUNCTION("if(B179=0,""..."",GOOGLEFINANCE(B179,""changepct"")/100)"),"...")</f>
        <v>...</v>
      </c>
      <c r="P179" s="10" t="str">
        <f>IFERROR(__xludf.DUMMYFUNCTION("if(B179=0,""..."",GOOGLEFINANCE(B179,""change"")*H179)"),"...")</f>
        <v>...</v>
      </c>
      <c r="Q179" s="12" t="str">
        <f t="shared" si="4"/>
        <v>...</v>
      </c>
      <c r="R179" s="47" t="str">
        <f t="shared" si="5"/>
        <v>...</v>
      </c>
      <c r="S179" s="12" t="str">
        <f t="shared" si="36"/>
        <v>...</v>
      </c>
      <c r="T179" s="47" t="str">
        <f>IF(B179=0,"...",(N179/IF(E179="ABIERTA",CCL!$E$2,VLOOKUP(F179,CCL!$A$12:$B$773,2,FALSE))-K179))</f>
        <v>...</v>
      </c>
      <c r="U179" s="2"/>
      <c r="V179" s="10"/>
      <c r="W179" s="10"/>
      <c r="X179" s="59" t="str">
        <f t="shared" si="29"/>
        <v>...</v>
      </c>
      <c r="Y179" s="45" t="str">
        <f>IFERROR(__xludf.DUMMYFUNCTION("IF(W179=0,""..."",GOOGLEFINANCE(""BCBA:""&amp;W179))"),"...")</f>
        <v>...</v>
      </c>
      <c r="Z179" s="12"/>
      <c r="AA179" s="45"/>
      <c r="AB179" s="12" t="str">
        <f t="shared" si="26"/>
        <v/>
      </c>
      <c r="AC179" s="45" t="str">
        <f t="shared" si="37"/>
        <v>...</v>
      </c>
      <c r="AD179" s="45" t="str">
        <f t="shared" si="38"/>
        <v>...</v>
      </c>
      <c r="AE179" s="12" t="str">
        <f t="shared" si="11"/>
        <v>...</v>
      </c>
      <c r="AF179" s="45" t="str">
        <f t="shared" si="39"/>
        <v>...</v>
      </c>
      <c r="AG179" s="45" t="str">
        <f t="shared" si="27"/>
        <v>...</v>
      </c>
      <c r="AH179" s="12" t="str">
        <f t="shared" si="13"/>
        <v>...</v>
      </c>
      <c r="AI179" s="46" t="str">
        <f t="shared" si="40"/>
        <v>...</v>
      </c>
      <c r="AJ179" s="2"/>
      <c r="AK179" s="2"/>
      <c r="AL179" s="2"/>
      <c r="AM179" s="2"/>
      <c r="AN179" s="2"/>
      <c r="AO179" s="2"/>
    </row>
    <row r="180" ht="24.0" customHeight="1">
      <c r="A180" s="4"/>
      <c r="B180" s="30"/>
      <c r="C180" s="5" t="str">
        <f>IFERROR(__xludf.DUMMYFUNCTION("if(B180=0,""..."", sparkline(query(GOOGLEFINANCE(""BCBA:""&amp;B180,""price"",today()-$AM$47,today()),""select Col2"",0),{""charttype"",$AM$46}))"),"...")</f>
        <v>...</v>
      </c>
      <c r="D180" s="17"/>
      <c r="E180" s="31"/>
      <c r="F180" s="7"/>
      <c r="G180" s="8" t="str">
        <f t="shared" si="1"/>
        <v>...</v>
      </c>
      <c r="H180" s="31"/>
      <c r="I180" s="52"/>
      <c r="J180" s="45" t="str">
        <f t="shared" si="2"/>
        <v>...</v>
      </c>
      <c r="K180" s="47" t="str">
        <f t="array" ref="K180">IF(B180=0,"...",J180/VLOOKUP(D180,{CCL!M:N;CCL!$P:$Q},2,FALSE))</f>
        <v>...</v>
      </c>
      <c r="L180" s="45" t="str">
        <f t="shared" si="41"/>
        <v>...</v>
      </c>
      <c r="M180" s="45" t="str">
        <f>if(B180=0,"...",L180*(1-VLOOKUP(A180,Config!$B$3:$C$22,2,FALSE)))</f>
        <v>...</v>
      </c>
      <c r="N180" s="45" t="str">
        <f t="shared" si="3"/>
        <v>...</v>
      </c>
      <c r="O180" s="12" t="str">
        <f>IFERROR(__xludf.DUMMYFUNCTION("if(B180=0,""..."",GOOGLEFINANCE(B180,""changepct"")/100)"),"...")</f>
        <v>...</v>
      </c>
      <c r="P180" s="10" t="str">
        <f>IFERROR(__xludf.DUMMYFUNCTION("if(B180=0,""..."",GOOGLEFINANCE(B180,""change"")*H180)"),"...")</f>
        <v>...</v>
      </c>
      <c r="Q180" s="12" t="str">
        <f t="shared" si="4"/>
        <v>...</v>
      </c>
      <c r="R180" s="47" t="str">
        <f t="shared" si="5"/>
        <v>...</v>
      </c>
      <c r="S180" s="12" t="str">
        <f t="shared" si="36"/>
        <v>...</v>
      </c>
      <c r="T180" s="47" t="str">
        <f>IF(B180=0,"...",(N180/IF(E180="ABIERTA",CCL!$E$2,VLOOKUP(F180,CCL!$A$12:$B$773,2,FALSE))-K180))</f>
        <v>...</v>
      </c>
      <c r="U180" s="2"/>
      <c r="V180" s="10"/>
      <c r="W180" s="10"/>
      <c r="X180" s="59" t="str">
        <f t="shared" si="29"/>
        <v>...</v>
      </c>
      <c r="Y180" s="45" t="str">
        <f>IFERROR(__xludf.DUMMYFUNCTION("IF(W180=0,""..."",GOOGLEFINANCE(""BCBA:""&amp;W180))"),"...")</f>
        <v>...</v>
      </c>
      <c r="Z180" s="12"/>
      <c r="AA180" s="45"/>
      <c r="AB180" s="12" t="str">
        <f t="shared" si="26"/>
        <v/>
      </c>
      <c r="AC180" s="45" t="str">
        <f t="shared" si="37"/>
        <v>...</v>
      </c>
      <c r="AD180" s="45" t="str">
        <f t="shared" si="38"/>
        <v>...</v>
      </c>
      <c r="AE180" s="12" t="str">
        <f t="shared" si="11"/>
        <v>...</v>
      </c>
      <c r="AF180" s="45" t="str">
        <f t="shared" si="39"/>
        <v>...</v>
      </c>
      <c r="AG180" s="45" t="str">
        <f t="shared" si="27"/>
        <v>...</v>
      </c>
      <c r="AH180" s="12" t="str">
        <f t="shared" si="13"/>
        <v>...</v>
      </c>
      <c r="AI180" s="46" t="str">
        <f t="shared" si="40"/>
        <v>...</v>
      </c>
      <c r="AJ180" s="2"/>
      <c r="AK180" s="2"/>
      <c r="AL180" s="2"/>
      <c r="AM180" s="2"/>
      <c r="AN180" s="2"/>
      <c r="AO180" s="2"/>
    </row>
    <row r="181" ht="24.0" customHeight="1">
      <c r="A181" s="4"/>
      <c r="B181" s="30"/>
      <c r="C181" s="5" t="str">
        <f>IFERROR(__xludf.DUMMYFUNCTION("if(B181=0,""..."", sparkline(query(GOOGLEFINANCE(""BCBA:""&amp;B181,""price"",today()-$AM$47,today()),""select Col2"",0),{""charttype"",$AM$46}))"),"...")</f>
        <v>...</v>
      </c>
      <c r="D181" s="17"/>
      <c r="E181" s="31"/>
      <c r="F181" s="7"/>
      <c r="G181" s="8" t="str">
        <f t="shared" si="1"/>
        <v>...</v>
      </c>
      <c r="H181" s="31"/>
      <c r="I181" s="52"/>
      <c r="J181" s="45" t="str">
        <f t="shared" si="2"/>
        <v>...</v>
      </c>
      <c r="K181" s="47" t="str">
        <f t="array" ref="K181">IF(B181=0,"...",J181/VLOOKUP(D181,{CCL!M:N;CCL!$P:$Q},2,FALSE))</f>
        <v>...</v>
      </c>
      <c r="L181" s="45" t="str">
        <f t="shared" si="41"/>
        <v>...</v>
      </c>
      <c r="M181" s="45" t="str">
        <f>if(B181=0,"...",L181*(1-VLOOKUP(A181,Config!$B$3:$C$22,2,FALSE)))</f>
        <v>...</v>
      </c>
      <c r="N181" s="45" t="str">
        <f t="shared" si="3"/>
        <v>...</v>
      </c>
      <c r="O181" s="12" t="str">
        <f>IFERROR(__xludf.DUMMYFUNCTION("if(B181=0,""..."",GOOGLEFINANCE(B181,""changepct"")/100)"),"...")</f>
        <v>...</v>
      </c>
      <c r="P181" s="10" t="str">
        <f>IFERROR(__xludf.DUMMYFUNCTION("if(B181=0,""..."",GOOGLEFINANCE(B181,""change"")*H181)"),"...")</f>
        <v>...</v>
      </c>
      <c r="Q181" s="12" t="str">
        <f t="shared" si="4"/>
        <v>...</v>
      </c>
      <c r="R181" s="47" t="str">
        <f t="shared" si="5"/>
        <v>...</v>
      </c>
      <c r="S181" s="12" t="str">
        <f t="shared" si="36"/>
        <v>...</v>
      </c>
      <c r="T181" s="47" t="str">
        <f>IF(B181=0,"...",(N181/IF(E181="ABIERTA",CCL!$E$2,VLOOKUP(F181,CCL!$A$12:$B$773,2,FALSE))-K181))</f>
        <v>...</v>
      </c>
      <c r="U181" s="2"/>
      <c r="V181" s="10"/>
      <c r="W181" s="10"/>
      <c r="X181" s="59" t="str">
        <f t="shared" si="29"/>
        <v>...</v>
      </c>
      <c r="Y181" s="45" t="str">
        <f>IFERROR(__xludf.DUMMYFUNCTION("IF(W181=0,""..."",GOOGLEFINANCE(""BCBA:""&amp;W181))"),"...")</f>
        <v>...</v>
      </c>
      <c r="Z181" s="12"/>
      <c r="AA181" s="45"/>
      <c r="AB181" s="12" t="str">
        <f t="shared" si="26"/>
        <v/>
      </c>
      <c r="AC181" s="45" t="str">
        <f t="shared" si="37"/>
        <v>...</v>
      </c>
      <c r="AD181" s="45" t="str">
        <f t="shared" si="38"/>
        <v>...</v>
      </c>
      <c r="AE181" s="12" t="str">
        <f t="shared" si="11"/>
        <v>...</v>
      </c>
      <c r="AF181" s="45" t="str">
        <f t="shared" si="39"/>
        <v>...</v>
      </c>
      <c r="AG181" s="45" t="str">
        <f t="shared" si="27"/>
        <v>...</v>
      </c>
      <c r="AH181" s="12" t="str">
        <f t="shared" si="13"/>
        <v>...</v>
      </c>
      <c r="AI181" s="46" t="str">
        <f t="shared" si="40"/>
        <v>...</v>
      </c>
      <c r="AJ181" s="2"/>
      <c r="AK181" s="2"/>
      <c r="AL181" s="2"/>
      <c r="AM181" s="2"/>
      <c r="AN181" s="2"/>
      <c r="AO181" s="2"/>
    </row>
    <row r="182" ht="24.0" customHeight="1">
      <c r="A182" s="4"/>
      <c r="B182" s="30"/>
      <c r="C182" s="5" t="str">
        <f>IFERROR(__xludf.DUMMYFUNCTION("if(B182=0,""..."", sparkline(query(GOOGLEFINANCE(""BCBA:""&amp;B182,""price"",today()-$AM$47,today()),""select Col2"",0),{""charttype"",$AM$46}))"),"...")</f>
        <v>...</v>
      </c>
      <c r="D182" s="17"/>
      <c r="E182" s="31"/>
      <c r="F182" s="7"/>
      <c r="G182" s="8" t="str">
        <f t="shared" si="1"/>
        <v>...</v>
      </c>
      <c r="H182" s="31"/>
      <c r="I182" s="52"/>
      <c r="J182" s="45" t="str">
        <f t="shared" si="2"/>
        <v>...</v>
      </c>
      <c r="K182" s="47" t="str">
        <f t="array" ref="K182">IF(B182=0,"...",J182/VLOOKUP(D182,{CCL!M:N;CCL!$P:$Q},2,FALSE))</f>
        <v>...</v>
      </c>
      <c r="L182" s="45" t="str">
        <f t="shared" si="41"/>
        <v>...</v>
      </c>
      <c r="M182" s="45" t="str">
        <f>if(B182=0,"...",L182*(1-VLOOKUP(A182,Config!$B$3:$C$22,2,FALSE)))</f>
        <v>...</v>
      </c>
      <c r="N182" s="45" t="str">
        <f t="shared" si="3"/>
        <v>...</v>
      </c>
      <c r="O182" s="12" t="str">
        <f>IFERROR(__xludf.DUMMYFUNCTION("if(B182=0,""..."",GOOGLEFINANCE(B182,""changepct"")/100)"),"...")</f>
        <v>...</v>
      </c>
      <c r="P182" s="10" t="str">
        <f>IFERROR(__xludf.DUMMYFUNCTION("if(B182=0,""..."",GOOGLEFINANCE(B182,""change"")*H182)"),"...")</f>
        <v>...</v>
      </c>
      <c r="Q182" s="12" t="str">
        <f t="shared" si="4"/>
        <v>...</v>
      </c>
      <c r="R182" s="47" t="str">
        <f t="shared" si="5"/>
        <v>...</v>
      </c>
      <c r="S182" s="12" t="str">
        <f t="shared" si="36"/>
        <v>...</v>
      </c>
      <c r="T182" s="47" t="str">
        <f>IF(B182=0,"...",(N182/IF(E182="ABIERTA",CCL!$E$2,VLOOKUP(F182,CCL!$A$12:$B$773,2,FALSE))-K182))</f>
        <v>...</v>
      </c>
      <c r="U182" s="2"/>
      <c r="V182" s="10"/>
      <c r="W182" s="10"/>
      <c r="X182" s="59" t="str">
        <f t="shared" si="29"/>
        <v>...</v>
      </c>
      <c r="Y182" s="45" t="str">
        <f>IFERROR(__xludf.DUMMYFUNCTION("IF(W182=0,""..."",GOOGLEFINANCE(""BCBA:""&amp;W182))"),"...")</f>
        <v>...</v>
      </c>
      <c r="Z182" s="12"/>
      <c r="AA182" s="45"/>
      <c r="AB182" s="12" t="str">
        <f t="shared" si="26"/>
        <v/>
      </c>
      <c r="AC182" s="45" t="str">
        <f t="shared" si="37"/>
        <v>...</v>
      </c>
      <c r="AD182" s="45" t="str">
        <f t="shared" si="38"/>
        <v>...</v>
      </c>
      <c r="AE182" s="12" t="str">
        <f t="shared" si="11"/>
        <v>...</v>
      </c>
      <c r="AF182" s="45" t="str">
        <f t="shared" si="39"/>
        <v>...</v>
      </c>
      <c r="AG182" s="45" t="str">
        <f t="shared" si="27"/>
        <v>...</v>
      </c>
      <c r="AH182" s="12" t="str">
        <f t="shared" si="13"/>
        <v>...</v>
      </c>
      <c r="AI182" s="46" t="str">
        <f t="shared" si="40"/>
        <v>...</v>
      </c>
      <c r="AJ182" s="2"/>
      <c r="AK182" s="2"/>
      <c r="AL182" s="2"/>
      <c r="AM182" s="2"/>
      <c r="AN182" s="2"/>
      <c r="AO182" s="2"/>
    </row>
    <row r="183" ht="24.0" customHeight="1">
      <c r="A183" s="4"/>
      <c r="B183" s="30"/>
      <c r="C183" s="5" t="str">
        <f>IFERROR(__xludf.DUMMYFUNCTION("if(B183=0,""..."", sparkline(query(GOOGLEFINANCE(""BCBA:""&amp;B183,""price"",today()-$AM$47,today()),""select Col2"",0),{""charttype"",$AM$46}))"),"...")</f>
        <v>...</v>
      </c>
      <c r="D183" s="17"/>
      <c r="E183" s="31"/>
      <c r="F183" s="7"/>
      <c r="G183" s="8" t="str">
        <f t="shared" si="1"/>
        <v>...</v>
      </c>
      <c r="H183" s="31"/>
      <c r="I183" s="52"/>
      <c r="J183" s="45" t="str">
        <f t="shared" si="2"/>
        <v>...</v>
      </c>
      <c r="K183" s="47" t="str">
        <f t="array" ref="K183">IF(B183=0,"...",J183/VLOOKUP(D183,{CCL!M:N;CCL!$P:$Q},2,FALSE))</f>
        <v>...</v>
      </c>
      <c r="L183" s="45" t="str">
        <f t="shared" si="41"/>
        <v>...</v>
      </c>
      <c r="M183" s="45" t="str">
        <f>if(B183=0,"...",L183*(1-VLOOKUP(A183,Config!$B$3:$C$22,2,FALSE)))</f>
        <v>...</v>
      </c>
      <c r="N183" s="45" t="str">
        <f t="shared" si="3"/>
        <v>...</v>
      </c>
      <c r="O183" s="12" t="str">
        <f>IFERROR(__xludf.DUMMYFUNCTION("if(B183=0,""..."",GOOGLEFINANCE(B183,""changepct"")/100)"),"...")</f>
        <v>...</v>
      </c>
      <c r="P183" s="10" t="str">
        <f>IFERROR(__xludf.DUMMYFUNCTION("if(B183=0,""..."",GOOGLEFINANCE(B183,""change"")*H183)"),"...")</f>
        <v>...</v>
      </c>
      <c r="Q183" s="12" t="str">
        <f t="shared" si="4"/>
        <v>...</v>
      </c>
      <c r="R183" s="47" t="str">
        <f t="shared" si="5"/>
        <v>...</v>
      </c>
      <c r="S183" s="12" t="str">
        <f t="shared" si="36"/>
        <v>...</v>
      </c>
      <c r="T183" s="47" t="str">
        <f>IF(B183=0,"...",(N183/IF(E183="ABIERTA",CCL!$E$2,VLOOKUP(F183,CCL!$A$12:$B$773,2,FALSE))-K183))</f>
        <v>...</v>
      </c>
      <c r="U183" s="2"/>
      <c r="V183" s="10"/>
      <c r="W183" s="10"/>
      <c r="X183" s="59" t="str">
        <f t="shared" si="29"/>
        <v>...</v>
      </c>
      <c r="Y183" s="45" t="str">
        <f>IFERROR(__xludf.DUMMYFUNCTION("IF(W183=0,""..."",GOOGLEFINANCE(""BCBA:""&amp;W183))"),"...")</f>
        <v>...</v>
      </c>
      <c r="Z183" s="12"/>
      <c r="AA183" s="45"/>
      <c r="AB183" s="12" t="str">
        <f t="shared" si="26"/>
        <v/>
      </c>
      <c r="AC183" s="45" t="str">
        <f t="shared" si="37"/>
        <v>...</v>
      </c>
      <c r="AD183" s="45" t="str">
        <f t="shared" si="38"/>
        <v>...</v>
      </c>
      <c r="AE183" s="12" t="str">
        <f t="shared" si="11"/>
        <v>...</v>
      </c>
      <c r="AF183" s="45" t="str">
        <f t="shared" si="39"/>
        <v>...</v>
      </c>
      <c r="AG183" s="45" t="str">
        <f t="shared" si="27"/>
        <v>...</v>
      </c>
      <c r="AH183" s="12" t="str">
        <f t="shared" si="13"/>
        <v>...</v>
      </c>
      <c r="AI183" s="46" t="str">
        <f t="shared" si="40"/>
        <v>...</v>
      </c>
      <c r="AJ183" s="2"/>
      <c r="AK183" s="2"/>
      <c r="AL183" s="2"/>
      <c r="AM183" s="2"/>
      <c r="AN183" s="2"/>
      <c r="AO183" s="2"/>
    </row>
    <row r="184" ht="24.0" customHeight="1">
      <c r="A184" s="4"/>
      <c r="B184" s="30"/>
      <c r="C184" s="5" t="str">
        <f>IFERROR(__xludf.DUMMYFUNCTION("if(B184=0,""..."", sparkline(query(GOOGLEFINANCE(""BCBA:""&amp;B184,""price"",today()-$AM$47,today()),""select Col2"",0),{""charttype"",$AM$46}))"),"...")</f>
        <v>...</v>
      </c>
      <c r="D184" s="17"/>
      <c r="E184" s="31"/>
      <c r="F184" s="7"/>
      <c r="G184" s="8" t="str">
        <f t="shared" si="1"/>
        <v>...</v>
      </c>
      <c r="H184" s="31"/>
      <c r="I184" s="52"/>
      <c r="J184" s="45" t="str">
        <f t="shared" si="2"/>
        <v>...</v>
      </c>
      <c r="K184" s="47" t="str">
        <f t="array" ref="K184">IF(B184=0,"...",J184/VLOOKUP(D184,{CCL!M:N;CCL!$P:$Q},2,FALSE))</f>
        <v>...</v>
      </c>
      <c r="L184" s="45" t="str">
        <f t="shared" si="41"/>
        <v>...</v>
      </c>
      <c r="M184" s="45" t="str">
        <f>if(B184=0,"...",L184*(1-VLOOKUP(A184,Config!$B$3:$C$22,2,FALSE)))</f>
        <v>...</v>
      </c>
      <c r="N184" s="45" t="str">
        <f t="shared" si="3"/>
        <v>...</v>
      </c>
      <c r="O184" s="12" t="str">
        <f>IFERROR(__xludf.DUMMYFUNCTION("if(B184=0,""..."",GOOGLEFINANCE(B184,""changepct"")/100)"),"...")</f>
        <v>...</v>
      </c>
      <c r="P184" s="10" t="str">
        <f>IFERROR(__xludf.DUMMYFUNCTION("if(B184=0,""..."",GOOGLEFINANCE(B184,""change"")*H184)"),"...")</f>
        <v>...</v>
      </c>
      <c r="Q184" s="12" t="str">
        <f t="shared" si="4"/>
        <v>...</v>
      </c>
      <c r="R184" s="47" t="str">
        <f t="shared" si="5"/>
        <v>...</v>
      </c>
      <c r="S184" s="12" t="str">
        <f t="shared" si="36"/>
        <v>...</v>
      </c>
      <c r="T184" s="47" t="str">
        <f>IF(B184=0,"...",(N184/IF(E184="ABIERTA",CCL!$E$2,VLOOKUP(F184,CCL!$A$12:$B$773,2,FALSE))-K184))</f>
        <v>...</v>
      </c>
      <c r="U184" s="2"/>
      <c r="V184" s="10"/>
      <c r="W184" s="10"/>
      <c r="X184" s="59" t="str">
        <f t="shared" si="29"/>
        <v>...</v>
      </c>
      <c r="Y184" s="45" t="str">
        <f>IFERROR(__xludf.DUMMYFUNCTION("IF(W184=0,""..."",GOOGLEFINANCE(""BCBA:""&amp;W184))"),"...")</f>
        <v>...</v>
      </c>
      <c r="Z184" s="12"/>
      <c r="AA184" s="45"/>
      <c r="AB184" s="12" t="str">
        <f t="shared" si="26"/>
        <v/>
      </c>
      <c r="AC184" s="45" t="str">
        <f t="shared" si="37"/>
        <v>...</v>
      </c>
      <c r="AD184" s="45" t="str">
        <f t="shared" si="38"/>
        <v>...</v>
      </c>
      <c r="AE184" s="12" t="str">
        <f t="shared" si="11"/>
        <v>...</v>
      </c>
      <c r="AF184" s="45" t="str">
        <f t="shared" si="39"/>
        <v>...</v>
      </c>
      <c r="AG184" s="45" t="str">
        <f t="shared" si="27"/>
        <v>...</v>
      </c>
      <c r="AH184" s="12" t="str">
        <f t="shared" si="13"/>
        <v>...</v>
      </c>
      <c r="AI184" s="46" t="str">
        <f t="shared" si="40"/>
        <v>...</v>
      </c>
      <c r="AJ184" s="2"/>
      <c r="AK184" s="2"/>
      <c r="AL184" s="2"/>
      <c r="AM184" s="2"/>
      <c r="AN184" s="2"/>
      <c r="AO184" s="2"/>
    </row>
    <row r="185" ht="24.0" customHeight="1">
      <c r="A185" s="4"/>
      <c r="B185" s="30"/>
      <c r="C185" s="5" t="str">
        <f>IFERROR(__xludf.DUMMYFUNCTION("if(B185=0,""..."", sparkline(query(GOOGLEFINANCE(""BCBA:""&amp;B185,""price"",today()-$AM$47,today()),""select Col2"",0),{""charttype"",$AM$46}))"),"...")</f>
        <v>...</v>
      </c>
      <c r="D185" s="17"/>
      <c r="E185" s="31"/>
      <c r="F185" s="7"/>
      <c r="G185" s="8" t="str">
        <f t="shared" si="1"/>
        <v>...</v>
      </c>
      <c r="H185" s="31"/>
      <c r="I185" s="52"/>
      <c r="J185" s="45" t="str">
        <f t="shared" si="2"/>
        <v>...</v>
      </c>
      <c r="K185" s="47" t="str">
        <f t="array" ref="K185">IF(B185=0,"...",J185/VLOOKUP(D185,{CCL!M:N;CCL!$P:$Q},2,FALSE))</f>
        <v>...</v>
      </c>
      <c r="L185" s="45" t="str">
        <f t="shared" si="41"/>
        <v>...</v>
      </c>
      <c r="M185" s="45" t="str">
        <f>if(B185=0,"...",L185*(1-VLOOKUP(A185,Config!$B$3:$C$22,2,FALSE)))</f>
        <v>...</v>
      </c>
      <c r="N185" s="45" t="str">
        <f t="shared" si="3"/>
        <v>...</v>
      </c>
      <c r="O185" s="12" t="str">
        <f>IFERROR(__xludf.DUMMYFUNCTION("if(B185=0,""..."",GOOGLEFINANCE(B185,""changepct"")/100)"),"...")</f>
        <v>...</v>
      </c>
      <c r="P185" s="10" t="str">
        <f>IFERROR(__xludf.DUMMYFUNCTION("if(B185=0,""..."",GOOGLEFINANCE(B185,""change"")*H185)"),"...")</f>
        <v>...</v>
      </c>
      <c r="Q185" s="12" t="str">
        <f t="shared" si="4"/>
        <v>...</v>
      </c>
      <c r="R185" s="47" t="str">
        <f t="shared" si="5"/>
        <v>...</v>
      </c>
      <c r="S185" s="12" t="str">
        <f t="shared" si="36"/>
        <v>...</v>
      </c>
      <c r="T185" s="47" t="str">
        <f>IF(B185=0,"...",(N185/IF(E185="ABIERTA",CCL!$E$2,VLOOKUP(F185,CCL!$A$12:$B$773,2,FALSE))-K185))</f>
        <v>...</v>
      </c>
      <c r="U185" s="2"/>
      <c r="V185" s="10"/>
      <c r="W185" s="10"/>
      <c r="X185" s="59" t="str">
        <f t="shared" si="29"/>
        <v>...</v>
      </c>
      <c r="Y185" s="45" t="str">
        <f>IFERROR(__xludf.DUMMYFUNCTION("IF(W185=0,""..."",GOOGLEFINANCE(""BCBA:""&amp;W185))"),"...")</f>
        <v>...</v>
      </c>
      <c r="Z185" s="12"/>
      <c r="AA185" s="45"/>
      <c r="AB185" s="12" t="str">
        <f t="shared" si="26"/>
        <v/>
      </c>
      <c r="AC185" s="45" t="str">
        <f t="shared" si="37"/>
        <v>...</v>
      </c>
      <c r="AD185" s="45" t="str">
        <f t="shared" si="38"/>
        <v>...</v>
      </c>
      <c r="AE185" s="12" t="str">
        <f t="shared" si="11"/>
        <v>...</v>
      </c>
      <c r="AF185" s="45" t="str">
        <f t="shared" si="39"/>
        <v>...</v>
      </c>
      <c r="AG185" s="45" t="str">
        <f t="shared" si="27"/>
        <v>...</v>
      </c>
      <c r="AH185" s="12" t="str">
        <f t="shared" si="13"/>
        <v>...</v>
      </c>
      <c r="AI185" s="46" t="str">
        <f t="shared" si="40"/>
        <v>...</v>
      </c>
      <c r="AJ185" s="2"/>
      <c r="AK185" s="2"/>
      <c r="AL185" s="2"/>
      <c r="AM185" s="2"/>
      <c r="AN185" s="2"/>
      <c r="AO185" s="2"/>
    </row>
    <row r="186" ht="24.0" customHeight="1">
      <c r="A186" s="4"/>
      <c r="B186" s="30"/>
      <c r="C186" s="5" t="str">
        <f>IFERROR(__xludf.DUMMYFUNCTION("if(B186=0,""..."", sparkline(query(GOOGLEFINANCE(""BCBA:""&amp;B186,""price"",today()-$AM$47,today()),""select Col2"",0),{""charttype"",$AM$46}))"),"...")</f>
        <v>...</v>
      </c>
      <c r="D186" s="17"/>
      <c r="E186" s="31"/>
      <c r="F186" s="7"/>
      <c r="G186" s="8" t="str">
        <f t="shared" si="1"/>
        <v>...</v>
      </c>
      <c r="H186" s="31"/>
      <c r="I186" s="52"/>
      <c r="J186" s="45" t="str">
        <f t="shared" si="2"/>
        <v>...</v>
      </c>
      <c r="K186" s="47" t="str">
        <f t="array" ref="K186">IF(B186=0,"...",J186/VLOOKUP(D186,{CCL!M:N;CCL!$P:$Q},2,FALSE))</f>
        <v>...</v>
      </c>
      <c r="L186" s="45" t="str">
        <f t="shared" si="41"/>
        <v>...</v>
      </c>
      <c r="M186" s="45" t="str">
        <f>if(B186=0,"...",L186*(1-VLOOKUP(A186,Config!$B$3:$C$22,2,FALSE)))</f>
        <v>...</v>
      </c>
      <c r="N186" s="45" t="str">
        <f t="shared" si="3"/>
        <v>...</v>
      </c>
      <c r="O186" s="12" t="str">
        <f>IFERROR(__xludf.DUMMYFUNCTION("if(B186=0,""..."",GOOGLEFINANCE(B186,""changepct"")/100)"),"...")</f>
        <v>...</v>
      </c>
      <c r="P186" s="10" t="str">
        <f>IFERROR(__xludf.DUMMYFUNCTION("if(B186=0,""..."",GOOGLEFINANCE(B186,""change"")*H186)"),"...")</f>
        <v>...</v>
      </c>
      <c r="Q186" s="12" t="str">
        <f t="shared" si="4"/>
        <v>...</v>
      </c>
      <c r="R186" s="47" t="str">
        <f t="shared" si="5"/>
        <v>...</v>
      </c>
      <c r="S186" s="12" t="str">
        <f t="shared" si="36"/>
        <v>...</v>
      </c>
      <c r="T186" s="47" t="str">
        <f>IF(B186=0,"...",(N186/IF(E186="ABIERTA",CCL!$E$2,VLOOKUP(F186,CCL!$A$12:$B$773,2,FALSE))-K186))</f>
        <v>...</v>
      </c>
      <c r="U186" s="2"/>
      <c r="V186" s="10"/>
      <c r="W186" s="10"/>
      <c r="X186" s="59" t="str">
        <f t="shared" si="29"/>
        <v>...</v>
      </c>
      <c r="Y186" s="45" t="str">
        <f>IFERROR(__xludf.DUMMYFUNCTION("IF(W186=0,""..."",GOOGLEFINANCE(""BCBA:""&amp;W186))"),"...")</f>
        <v>...</v>
      </c>
      <c r="Z186" s="12"/>
      <c r="AA186" s="45"/>
      <c r="AB186" s="12" t="str">
        <f t="shared" si="26"/>
        <v/>
      </c>
      <c r="AC186" s="45" t="str">
        <f t="shared" si="37"/>
        <v>...</v>
      </c>
      <c r="AD186" s="45" t="str">
        <f t="shared" si="38"/>
        <v>...</v>
      </c>
      <c r="AE186" s="12" t="str">
        <f t="shared" si="11"/>
        <v>...</v>
      </c>
      <c r="AF186" s="45" t="str">
        <f t="shared" si="39"/>
        <v>...</v>
      </c>
      <c r="AG186" s="45" t="str">
        <f t="shared" si="27"/>
        <v>...</v>
      </c>
      <c r="AH186" s="12" t="str">
        <f t="shared" si="13"/>
        <v>...</v>
      </c>
      <c r="AI186" s="46" t="str">
        <f t="shared" si="40"/>
        <v>...</v>
      </c>
      <c r="AJ186" s="2"/>
      <c r="AK186" s="2"/>
      <c r="AL186" s="2"/>
      <c r="AM186" s="2"/>
      <c r="AN186" s="2"/>
      <c r="AO186" s="2"/>
    </row>
    <row r="187" ht="24.0" customHeight="1">
      <c r="A187" s="4"/>
      <c r="B187" s="30"/>
      <c r="C187" s="5" t="str">
        <f>IFERROR(__xludf.DUMMYFUNCTION("if(B187=0,""..."", sparkline(query(GOOGLEFINANCE(""BCBA:""&amp;B187,""price"",today()-$AM$47,today()),""select Col2"",0),{""charttype"",$AM$46}))"),"...")</f>
        <v>...</v>
      </c>
      <c r="D187" s="17"/>
      <c r="E187" s="31"/>
      <c r="F187" s="7"/>
      <c r="G187" s="8" t="str">
        <f t="shared" si="1"/>
        <v>...</v>
      </c>
      <c r="H187" s="31"/>
      <c r="I187" s="52"/>
      <c r="J187" s="45" t="str">
        <f t="shared" si="2"/>
        <v>...</v>
      </c>
      <c r="K187" s="47" t="str">
        <f t="array" ref="K187">IF(B187=0,"...",J187/VLOOKUP(D187,{CCL!M:N;CCL!$P:$Q},2,FALSE))</f>
        <v>...</v>
      </c>
      <c r="L187" s="45" t="str">
        <f t="shared" si="41"/>
        <v>...</v>
      </c>
      <c r="M187" s="45" t="str">
        <f>if(B187=0,"...",L187*(1-VLOOKUP(A187,Config!$B$3:$C$22,2,FALSE)))</f>
        <v>...</v>
      </c>
      <c r="N187" s="45" t="str">
        <f t="shared" si="3"/>
        <v>...</v>
      </c>
      <c r="O187" s="12" t="str">
        <f>IFERROR(__xludf.DUMMYFUNCTION("if(B187=0,""..."",GOOGLEFINANCE(B187,""changepct"")/100)"),"...")</f>
        <v>...</v>
      </c>
      <c r="P187" s="10" t="str">
        <f>IFERROR(__xludf.DUMMYFUNCTION("if(B187=0,""..."",GOOGLEFINANCE(B187,""change"")*H187)"),"...")</f>
        <v>...</v>
      </c>
      <c r="Q187" s="12" t="str">
        <f t="shared" si="4"/>
        <v>...</v>
      </c>
      <c r="R187" s="47" t="str">
        <f t="shared" si="5"/>
        <v>...</v>
      </c>
      <c r="S187" s="12" t="str">
        <f t="shared" si="36"/>
        <v>...</v>
      </c>
      <c r="T187" s="47" t="str">
        <f>IF(B187=0,"...",(N187/IF(E187="ABIERTA",CCL!$E$2,VLOOKUP(F187,CCL!$A$12:$B$773,2,FALSE))-K187))</f>
        <v>...</v>
      </c>
      <c r="U187" s="2"/>
      <c r="V187" s="10"/>
      <c r="W187" s="10"/>
      <c r="X187" s="59" t="str">
        <f t="shared" si="29"/>
        <v>...</v>
      </c>
      <c r="Y187" s="45" t="str">
        <f>IFERROR(__xludf.DUMMYFUNCTION("IF(W187=0,""..."",GOOGLEFINANCE(""BCBA:""&amp;W187))"),"...")</f>
        <v>...</v>
      </c>
      <c r="Z187" s="12"/>
      <c r="AA187" s="45"/>
      <c r="AB187" s="12" t="str">
        <f t="shared" si="26"/>
        <v/>
      </c>
      <c r="AC187" s="45" t="str">
        <f t="shared" si="37"/>
        <v>...</v>
      </c>
      <c r="AD187" s="45" t="str">
        <f t="shared" si="38"/>
        <v>...</v>
      </c>
      <c r="AE187" s="12" t="str">
        <f t="shared" si="11"/>
        <v>...</v>
      </c>
      <c r="AF187" s="45" t="str">
        <f t="shared" si="39"/>
        <v>...</v>
      </c>
      <c r="AG187" s="45" t="str">
        <f t="shared" si="27"/>
        <v>...</v>
      </c>
      <c r="AH187" s="12" t="str">
        <f t="shared" si="13"/>
        <v>...</v>
      </c>
      <c r="AI187" s="46" t="str">
        <f t="shared" si="40"/>
        <v>...</v>
      </c>
      <c r="AJ187" s="2"/>
      <c r="AK187" s="2"/>
      <c r="AL187" s="2"/>
      <c r="AM187" s="2"/>
      <c r="AN187" s="2"/>
      <c r="AO187" s="2"/>
    </row>
    <row r="188" ht="24.0" customHeight="1">
      <c r="A188" s="4"/>
      <c r="B188" s="30"/>
      <c r="C188" s="5" t="str">
        <f>IFERROR(__xludf.DUMMYFUNCTION("if(B188=0,""..."", sparkline(query(GOOGLEFINANCE(""BCBA:""&amp;B188,""price"",today()-$AM$47,today()),""select Col2"",0),{""charttype"",$AM$46}))"),"...")</f>
        <v>...</v>
      </c>
      <c r="D188" s="17"/>
      <c r="E188" s="31"/>
      <c r="F188" s="7"/>
      <c r="G188" s="8" t="str">
        <f t="shared" si="1"/>
        <v>...</v>
      </c>
      <c r="H188" s="31"/>
      <c r="I188" s="52"/>
      <c r="J188" s="45" t="str">
        <f t="shared" si="2"/>
        <v>...</v>
      </c>
      <c r="K188" s="47" t="str">
        <f t="array" ref="K188">IF(B188=0,"...",J188/VLOOKUP(D188,{CCL!M:N;CCL!$P:$Q},2,FALSE))</f>
        <v>...</v>
      </c>
      <c r="L188" s="45" t="str">
        <f t="shared" si="41"/>
        <v>...</v>
      </c>
      <c r="M188" s="45" t="str">
        <f>if(B188=0,"...",L188*(1-VLOOKUP(A188,Config!$B$3:$C$22,2,FALSE)))</f>
        <v>...</v>
      </c>
      <c r="N188" s="45" t="str">
        <f t="shared" si="3"/>
        <v>...</v>
      </c>
      <c r="O188" s="12" t="str">
        <f>IFERROR(__xludf.DUMMYFUNCTION("if(B188=0,""..."",GOOGLEFINANCE(B188,""changepct"")/100)"),"...")</f>
        <v>...</v>
      </c>
      <c r="P188" s="10" t="str">
        <f>IFERROR(__xludf.DUMMYFUNCTION("if(B188=0,""..."",GOOGLEFINANCE(B188,""change"")*H188)"),"...")</f>
        <v>...</v>
      </c>
      <c r="Q188" s="12" t="str">
        <f t="shared" si="4"/>
        <v>...</v>
      </c>
      <c r="R188" s="47" t="str">
        <f t="shared" si="5"/>
        <v>...</v>
      </c>
      <c r="S188" s="12" t="str">
        <f t="shared" si="36"/>
        <v>...</v>
      </c>
      <c r="T188" s="47" t="str">
        <f>IF(B188=0,"...",(N188/IF(E188="ABIERTA",CCL!$E$2,VLOOKUP(F188,CCL!$A$12:$B$773,2,FALSE))-K188))</f>
        <v>...</v>
      </c>
      <c r="U188" s="2"/>
      <c r="V188" s="10"/>
      <c r="W188" s="10"/>
      <c r="X188" s="59" t="str">
        <f t="shared" si="29"/>
        <v>...</v>
      </c>
      <c r="Y188" s="45" t="str">
        <f>IFERROR(__xludf.DUMMYFUNCTION("IF(W188=0,""..."",GOOGLEFINANCE(""BCBA:""&amp;W188))"),"...")</f>
        <v>...</v>
      </c>
      <c r="Z188" s="12"/>
      <c r="AA188" s="45"/>
      <c r="AB188" s="12" t="str">
        <f t="shared" si="26"/>
        <v/>
      </c>
      <c r="AC188" s="45" t="str">
        <f t="shared" si="37"/>
        <v>...</v>
      </c>
      <c r="AD188" s="45" t="str">
        <f t="shared" si="38"/>
        <v>...</v>
      </c>
      <c r="AE188" s="12" t="str">
        <f t="shared" si="11"/>
        <v>...</v>
      </c>
      <c r="AF188" s="45" t="str">
        <f t="shared" si="39"/>
        <v>...</v>
      </c>
      <c r="AG188" s="45" t="str">
        <f t="shared" si="27"/>
        <v>...</v>
      </c>
      <c r="AH188" s="12" t="str">
        <f t="shared" si="13"/>
        <v>...</v>
      </c>
      <c r="AI188" s="46" t="str">
        <f t="shared" si="40"/>
        <v>...</v>
      </c>
      <c r="AJ188" s="2"/>
      <c r="AK188" s="2"/>
      <c r="AL188" s="2"/>
      <c r="AM188" s="2"/>
      <c r="AN188" s="2"/>
      <c r="AO188" s="2"/>
    </row>
    <row r="189" ht="24.0" customHeight="1">
      <c r="A189" s="4"/>
      <c r="B189" s="30"/>
      <c r="C189" s="5" t="str">
        <f>IFERROR(__xludf.DUMMYFUNCTION("if(B189=0,""..."", sparkline(query(GOOGLEFINANCE(""BCBA:""&amp;B189,""price"",today()-$AM$47,today()),""select Col2"",0),{""charttype"",$AM$46}))"),"...")</f>
        <v>...</v>
      </c>
      <c r="D189" s="17"/>
      <c r="E189" s="31"/>
      <c r="F189" s="7"/>
      <c r="G189" s="8" t="str">
        <f t="shared" si="1"/>
        <v>...</v>
      </c>
      <c r="H189" s="31"/>
      <c r="I189" s="52"/>
      <c r="J189" s="45" t="str">
        <f t="shared" si="2"/>
        <v>...</v>
      </c>
      <c r="K189" s="47" t="str">
        <f t="array" ref="K189">IF(B189=0,"...",J189/VLOOKUP(D189,{CCL!M:N;CCL!$P:$Q},2,FALSE))</f>
        <v>...</v>
      </c>
      <c r="L189" s="45" t="str">
        <f t="shared" si="41"/>
        <v>...</v>
      </c>
      <c r="M189" s="45" t="str">
        <f>if(B189=0,"...",L189*(1-VLOOKUP(A189,Config!$B$3:$C$22,2,FALSE)))</f>
        <v>...</v>
      </c>
      <c r="N189" s="45" t="str">
        <f t="shared" si="3"/>
        <v>...</v>
      </c>
      <c r="O189" s="12" t="str">
        <f>IFERROR(__xludf.DUMMYFUNCTION("if(B189=0,""..."",GOOGLEFINANCE(B189,""changepct"")/100)"),"...")</f>
        <v>...</v>
      </c>
      <c r="P189" s="10" t="str">
        <f>IFERROR(__xludf.DUMMYFUNCTION("if(B189=0,""..."",GOOGLEFINANCE(B189,""change"")*H189)"),"...")</f>
        <v>...</v>
      </c>
      <c r="Q189" s="12" t="str">
        <f t="shared" si="4"/>
        <v>...</v>
      </c>
      <c r="R189" s="47" t="str">
        <f t="shared" si="5"/>
        <v>...</v>
      </c>
      <c r="S189" s="12" t="str">
        <f t="shared" si="36"/>
        <v>...</v>
      </c>
      <c r="T189" s="47" t="str">
        <f>IF(B189=0,"...",(N189/IF(E189="ABIERTA",CCL!$E$2,VLOOKUP(F189,CCL!$A$12:$B$773,2,FALSE))-K189))</f>
        <v>...</v>
      </c>
      <c r="U189" s="2"/>
      <c r="V189" s="10"/>
      <c r="W189" s="10"/>
      <c r="X189" s="59" t="str">
        <f t="shared" si="29"/>
        <v>...</v>
      </c>
      <c r="Y189" s="45" t="str">
        <f>IFERROR(__xludf.DUMMYFUNCTION("IF(W189=0,""..."",GOOGLEFINANCE(""BCBA:""&amp;W189))"),"...")</f>
        <v>...</v>
      </c>
      <c r="Z189" s="12"/>
      <c r="AA189" s="45"/>
      <c r="AB189" s="12" t="str">
        <f t="shared" si="26"/>
        <v/>
      </c>
      <c r="AC189" s="45" t="str">
        <f t="shared" si="37"/>
        <v>...</v>
      </c>
      <c r="AD189" s="45" t="str">
        <f t="shared" si="38"/>
        <v>...</v>
      </c>
      <c r="AE189" s="12" t="str">
        <f t="shared" si="11"/>
        <v>...</v>
      </c>
      <c r="AF189" s="45" t="str">
        <f t="shared" si="39"/>
        <v>...</v>
      </c>
      <c r="AG189" s="45" t="str">
        <f t="shared" si="27"/>
        <v>...</v>
      </c>
      <c r="AH189" s="12" t="str">
        <f t="shared" si="13"/>
        <v>...</v>
      </c>
      <c r="AI189" s="46" t="str">
        <f t="shared" si="40"/>
        <v>...</v>
      </c>
      <c r="AJ189" s="2"/>
      <c r="AK189" s="2"/>
      <c r="AL189" s="2"/>
      <c r="AM189" s="2"/>
      <c r="AN189" s="2"/>
      <c r="AO189" s="2"/>
    </row>
    <row r="190" ht="24.0" customHeight="1">
      <c r="A190" s="4"/>
      <c r="B190" s="30"/>
      <c r="C190" s="5" t="str">
        <f>IFERROR(__xludf.DUMMYFUNCTION("if(B190=0,""..."", sparkline(query(GOOGLEFINANCE(""BCBA:""&amp;B190,""price"",today()-$AM$47,today()),""select Col2"",0),{""charttype"",$AM$46}))"),"...")</f>
        <v>...</v>
      </c>
      <c r="D190" s="17"/>
      <c r="E190" s="31"/>
      <c r="F190" s="7"/>
      <c r="G190" s="8" t="str">
        <f t="shared" si="1"/>
        <v>...</v>
      </c>
      <c r="H190" s="31"/>
      <c r="I190" s="52"/>
      <c r="J190" s="45" t="str">
        <f t="shared" si="2"/>
        <v>...</v>
      </c>
      <c r="K190" s="47" t="str">
        <f t="array" ref="K190">IF(B190=0,"...",J190/VLOOKUP(D190,{CCL!M:N;CCL!$P:$Q},2,FALSE))</f>
        <v>...</v>
      </c>
      <c r="L190" s="45" t="str">
        <f t="shared" si="41"/>
        <v>...</v>
      </c>
      <c r="M190" s="45" t="str">
        <f>if(B190=0,"...",L190*(1-VLOOKUP(A190,Config!$B$3:$C$22,2,FALSE)))</f>
        <v>...</v>
      </c>
      <c r="N190" s="45" t="str">
        <f t="shared" si="3"/>
        <v>...</v>
      </c>
      <c r="O190" s="12" t="str">
        <f>IFERROR(__xludf.DUMMYFUNCTION("if(B190=0,""..."",GOOGLEFINANCE(B190,""changepct"")/100)"),"...")</f>
        <v>...</v>
      </c>
      <c r="P190" s="10" t="str">
        <f>IFERROR(__xludf.DUMMYFUNCTION("if(B190=0,""..."",GOOGLEFINANCE(B190,""change"")*H190)"),"...")</f>
        <v>...</v>
      </c>
      <c r="Q190" s="12" t="str">
        <f t="shared" si="4"/>
        <v>...</v>
      </c>
      <c r="R190" s="47" t="str">
        <f t="shared" si="5"/>
        <v>...</v>
      </c>
      <c r="S190" s="12" t="str">
        <f t="shared" si="36"/>
        <v>...</v>
      </c>
      <c r="T190" s="47" t="str">
        <f>IF(B190=0,"...",(N190/IF(E190="ABIERTA",CCL!$E$2,VLOOKUP(F190,CCL!$A$12:$B$773,2,FALSE))-K190))</f>
        <v>...</v>
      </c>
      <c r="U190" s="2"/>
      <c r="V190" s="10"/>
      <c r="W190" s="10"/>
      <c r="X190" s="59" t="str">
        <f t="shared" si="29"/>
        <v>...</v>
      </c>
      <c r="Y190" s="45" t="str">
        <f>IFERROR(__xludf.DUMMYFUNCTION("IF(W190=0,""..."",GOOGLEFINANCE(""BCBA:""&amp;W190))"),"...")</f>
        <v>...</v>
      </c>
      <c r="Z190" s="12"/>
      <c r="AA190" s="45"/>
      <c r="AB190" s="12" t="str">
        <f t="shared" si="26"/>
        <v/>
      </c>
      <c r="AC190" s="45" t="str">
        <f t="shared" si="37"/>
        <v>...</v>
      </c>
      <c r="AD190" s="45" t="str">
        <f t="shared" si="38"/>
        <v>...</v>
      </c>
      <c r="AE190" s="12" t="str">
        <f t="shared" si="11"/>
        <v>...</v>
      </c>
      <c r="AF190" s="45" t="str">
        <f t="shared" si="39"/>
        <v>...</v>
      </c>
      <c r="AG190" s="45" t="str">
        <f t="shared" si="27"/>
        <v>...</v>
      </c>
      <c r="AH190" s="12" t="str">
        <f t="shared" si="13"/>
        <v>...</v>
      </c>
      <c r="AI190" s="46" t="str">
        <f t="shared" si="40"/>
        <v>...</v>
      </c>
      <c r="AJ190" s="2"/>
      <c r="AK190" s="2"/>
      <c r="AL190" s="2"/>
      <c r="AM190" s="2"/>
      <c r="AN190" s="2"/>
      <c r="AO190" s="2"/>
    </row>
    <row r="191" ht="24.0" customHeight="1">
      <c r="A191" s="4"/>
      <c r="B191" s="30"/>
      <c r="C191" s="5" t="str">
        <f>IFERROR(__xludf.DUMMYFUNCTION("if(B191=0,""..."", sparkline(query(GOOGLEFINANCE(""BCBA:""&amp;B191,""price"",today()-$AM$47,today()),""select Col2"",0),{""charttype"",$AM$46}))"),"...")</f>
        <v>...</v>
      </c>
      <c r="D191" s="17"/>
      <c r="E191" s="31"/>
      <c r="F191" s="7"/>
      <c r="G191" s="8" t="str">
        <f t="shared" si="1"/>
        <v>...</v>
      </c>
      <c r="H191" s="31"/>
      <c r="I191" s="52"/>
      <c r="J191" s="45" t="str">
        <f t="shared" si="2"/>
        <v>...</v>
      </c>
      <c r="K191" s="47" t="str">
        <f t="array" ref="K191">IF(B191=0,"...",J191/VLOOKUP(D191,{CCL!M:N;CCL!$P:$Q},2,FALSE))</f>
        <v>...</v>
      </c>
      <c r="L191" s="45" t="str">
        <f t="shared" si="41"/>
        <v>...</v>
      </c>
      <c r="M191" s="45" t="str">
        <f>if(B191=0,"...",L191*(1-VLOOKUP(A191,Config!$B$3:$C$22,2,FALSE)))</f>
        <v>...</v>
      </c>
      <c r="N191" s="45" t="str">
        <f t="shared" si="3"/>
        <v>...</v>
      </c>
      <c r="O191" s="12" t="str">
        <f>IFERROR(__xludf.DUMMYFUNCTION("if(B191=0,""..."",GOOGLEFINANCE(B191,""changepct"")/100)"),"...")</f>
        <v>...</v>
      </c>
      <c r="P191" s="10" t="str">
        <f>IFERROR(__xludf.DUMMYFUNCTION("if(B191=0,""..."",GOOGLEFINANCE(B191,""change"")*H191)"),"...")</f>
        <v>...</v>
      </c>
      <c r="Q191" s="12" t="str">
        <f t="shared" si="4"/>
        <v>...</v>
      </c>
      <c r="R191" s="47" t="str">
        <f t="shared" si="5"/>
        <v>...</v>
      </c>
      <c r="S191" s="12" t="str">
        <f t="shared" si="36"/>
        <v>...</v>
      </c>
      <c r="T191" s="47" t="str">
        <f>IF(B191=0,"...",(N191/IF(E191="ABIERTA",CCL!$E$2,VLOOKUP(F191,CCL!$A$12:$B$773,2,FALSE))-K191))</f>
        <v>...</v>
      </c>
      <c r="U191" s="2"/>
      <c r="V191" s="10"/>
      <c r="W191" s="10"/>
      <c r="X191" s="59" t="str">
        <f t="shared" si="29"/>
        <v>...</v>
      </c>
      <c r="Y191" s="45" t="str">
        <f>IFERROR(__xludf.DUMMYFUNCTION("IF(W191=0,""..."",GOOGLEFINANCE(""BCBA:""&amp;W191))"),"...")</f>
        <v>...</v>
      </c>
      <c r="Z191" s="12"/>
      <c r="AA191" s="45"/>
      <c r="AB191" s="12" t="str">
        <f t="shared" si="26"/>
        <v/>
      </c>
      <c r="AC191" s="45" t="str">
        <f t="shared" si="37"/>
        <v>...</v>
      </c>
      <c r="AD191" s="45" t="str">
        <f t="shared" si="38"/>
        <v>...</v>
      </c>
      <c r="AE191" s="12" t="str">
        <f t="shared" si="11"/>
        <v>...</v>
      </c>
      <c r="AF191" s="45" t="str">
        <f t="shared" si="39"/>
        <v>...</v>
      </c>
      <c r="AG191" s="45" t="str">
        <f t="shared" si="27"/>
        <v>...</v>
      </c>
      <c r="AH191" s="12" t="str">
        <f t="shared" si="13"/>
        <v>...</v>
      </c>
      <c r="AI191" s="46" t="str">
        <f t="shared" si="40"/>
        <v>...</v>
      </c>
      <c r="AJ191" s="2"/>
      <c r="AK191" s="2"/>
      <c r="AL191" s="2"/>
      <c r="AM191" s="2"/>
      <c r="AN191" s="2"/>
      <c r="AO191" s="2"/>
    </row>
    <row r="192" ht="24.0" customHeight="1">
      <c r="A192" s="4"/>
      <c r="B192" s="30"/>
      <c r="C192" s="5" t="str">
        <f>IFERROR(__xludf.DUMMYFUNCTION("if(B192=0,""..."", sparkline(query(GOOGLEFINANCE(""BCBA:""&amp;B192,""price"",today()-$AM$47,today()),""select Col2"",0),{""charttype"",$AM$46}))"),"...")</f>
        <v>...</v>
      </c>
      <c r="D192" s="17"/>
      <c r="E192" s="31"/>
      <c r="F192" s="7"/>
      <c r="G192" s="8" t="str">
        <f t="shared" si="1"/>
        <v>...</v>
      </c>
      <c r="H192" s="31"/>
      <c r="I192" s="52"/>
      <c r="J192" s="45" t="str">
        <f t="shared" si="2"/>
        <v>...</v>
      </c>
      <c r="K192" s="47" t="str">
        <f t="array" ref="K192">IF(B192=0,"...",J192/VLOOKUP(D192,{CCL!M:N;CCL!$P:$Q},2,FALSE))</f>
        <v>...</v>
      </c>
      <c r="L192" s="45" t="str">
        <f t="shared" si="41"/>
        <v>...</v>
      </c>
      <c r="M192" s="45" t="str">
        <f>if(B192=0,"...",L192*(1-VLOOKUP(A192,Config!$B$3:$C$22,2,FALSE)))</f>
        <v>...</v>
      </c>
      <c r="N192" s="45" t="str">
        <f t="shared" si="3"/>
        <v>...</v>
      </c>
      <c r="O192" s="12" t="str">
        <f>IFERROR(__xludf.DUMMYFUNCTION("if(B192=0,""..."",GOOGLEFINANCE(B192,""changepct"")/100)"),"...")</f>
        <v>...</v>
      </c>
      <c r="P192" s="10" t="str">
        <f>IFERROR(__xludf.DUMMYFUNCTION("if(B192=0,""..."",GOOGLEFINANCE(B192,""change"")*H192)"),"...")</f>
        <v>...</v>
      </c>
      <c r="Q192" s="12" t="str">
        <f t="shared" si="4"/>
        <v>...</v>
      </c>
      <c r="R192" s="47" t="str">
        <f t="shared" si="5"/>
        <v>...</v>
      </c>
      <c r="S192" s="12" t="str">
        <f t="shared" si="36"/>
        <v>...</v>
      </c>
      <c r="T192" s="47" t="str">
        <f>IF(B192=0,"...",(N192/IF(E192="ABIERTA",CCL!$E$2,VLOOKUP(F192,CCL!$A$12:$B$773,2,FALSE))-K192))</f>
        <v>...</v>
      </c>
      <c r="U192" s="2"/>
      <c r="V192" s="10"/>
      <c r="W192" s="10"/>
      <c r="X192" s="59" t="str">
        <f t="shared" si="29"/>
        <v>...</v>
      </c>
      <c r="Y192" s="45" t="str">
        <f>IFERROR(__xludf.DUMMYFUNCTION("IF(W192=0,""..."",GOOGLEFINANCE(""BCBA:""&amp;W192))"),"...")</f>
        <v>...</v>
      </c>
      <c r="Z192" s="12"/>
      <c r="AA192" s="45"/>
      <c r="AB192" s="12" t="str">
        <f t="shared" si="26"/>
        <v/>
      </c>
      <c r="AC192" s="45" t="str">
        <f t="shared" si="37"/>
        <v>...</v>
      </c>
      <c r="AD192" s="45" t="str">
        <f t="shared" si="38"/>
        <v>...</v>
      </c>
      <c r="AE192" s="12" t="str">
        <f t="shared" si="11"/>
        <v>...</v>
      </c>
      <c r="AF192" s="45" t="str">
        <f t="shared" si="39"/>
        <v>...</v>
      </c>
      <c r="AG192" s="45" t="str">
        <f t="shared" si="27"/>
        <v>...</v>
      </c>
      <c r="AH192" s="12" t="str">
        <f t="shared" si="13"/>
        <v>...</v>
      </c>
      <c r="AI192" s="46" t="str">
        <f t="shared" si="40"/>
        <v>...</v>
      </c>
      <c r="AJ192" s="2"/>
      <c r="AK192" s="2"/>
      <c r="AL192" s="2"/>
      <c r="AM192" s="2"/>
      <c r="AN192" s="2"/>
      <c r="AO192" s="2"/>
    </row>
    <row r="193" ht="24.0" customHeight="1">
      <c r="A193" s="4"/>
      <c r="B193" s="30"/>
      <c r="C193" s="5" t="str">
        <f>IFERROR(__xludf.DUMMYFUNCTION("if(B193=0,""..."", sparkline(query(GOOGLEFINANCE(""BCBA:""&amp;B193,""price"",today()-$AM$47,today()),""select Col2"",0),{""charttype"",$AM$46}))"),"...")</f>
        <v>...</v>
      </c>
      <c r="D193" s="17"/>
      <c r="E193" s="31"/>
      <c r="F193" s="7"/>
      <c r="G193" s="8" t="str">
        <f t="shared" si="1"/>
        <v>...</v>
      </c>
      <c r="H193" s="31"/>
      <c r="I193" s="52"/>
      <c r="J193" s="45" t="str">
        <f t="shared" si="2"/>
        <v>...</v>
      </c>
      <c r="K193" s="47" t="str">
        <f t="array" ref="K193">IF(B193=0,"...",J193/VLOOKUP(D193,{CCL!M:N;CCL!$P:$Q},2,FALSE))</f>
        <v>...</v>
      </c>
      <c r="L193" s="45" t="str">
        <f t="shared" si="41"/>
        <v>...</v>
      </c>
      <c r="M193" s="45" t="str">
        <f>if(B193=0,"...",L193*(1-VLOOKUP(A193,Config!$B$3:$C$22,2,FALSE)))</f>
        <v>...</v>
      </c>
      <c r="N193" s="45" t="str">
        <f t="shared" si="3"/>
        <v>...</v>
      </c>
      <c r="O193" s="12" t="str">
        <f>IFERROR(__xludf.DUMMYFUNCTION("if(B193=0,""..."",GOOGLEFINANCE(B193,""changepct"")/100)"),"...")</f>
        <v>...</v>
      </c>
      <c r="P193" s="10" t="str">
        <f>IFERROR(__xludf.DUMMYFUNCTION("if(B193=0,""..."",GOOGLEFINANCE(B193,""change"")*H193)"),"...")</f>
        <v>...</v>
      </c>
      <c r="Q193" s="12" t="str">
        <f t="shared" si="4"/>
        <v>...</v>
      </c>
      <c r="R193" s="47" t="str">
        <f t="shared" si="5"/>
        <v>...</v>
      </c>
      <c r="S193" s="12" t="str">
        <f t="shared" si="36"/>
        <v>...</v>
      </c>
      <c r="T193" s="47" t="str">
        <f>IF(B193=0,"...",(N193/IF(E193="ABIERTA",CCL!$E$2,VLOOKUP(F193,CCL!$A$12:$B$773,2,FALSE))-K193))</f>
        <v>...</v>
      </c>
      <c r="U193" s="2"/>
      <c r="V193" s="10"/>
      <c r="W193" s="10"/>
      <c r="X193" s="59" t="str">
        <f t="shared" si="29"/>
        <v>...</v>
      </c>
      <c r="Y193" s="45" t="str">
        <f>IFERROR(__xludf.DUMMYFUNCTION("IF(W193=0,""..."",GOOGLEFINANCE(""BCBA:""&amp;W193))"),"...")</f>
        <v>...</v>
      </c>
      <c r="Z193" s="12"/>
      <c r="AA193" s="45"/>
      <c r="AB193" s="12" t="str">
        <f t="shared" si="26"/>
        <v/>
      </c>
      <c r="AC193" s="45" t="str">
        <f t="shared" si="37"/>
        <v>...</v>
      </c>
      <c r="AD193" s="45" t="str">
        <f t="shared" si="38"/>
        <v>...</v>
      </c>
      <c r="AE193" s="12" t="str">
        <f t="shared" si="11"/>
        <v>...</v>
      </c>
      <c r="AF193" s="45" t="str">
        <f t="shared" si="39"/>
        <v>...</v>
      </c>
      <c r="AG193" s="45" t="str">
        <f t="shared" si="27"/>
        <v>...</v>
      </c>
      <c r="AH193" s="12" t="str">
        <f t="shared" si="13"/>
        <v>...</v>
      </c>
      <c r="AI193" s="46" t="str">
        <f t="shared" si="40"/>
        <v>...</v>
      </c>
      <c r="AJ193" s="2"/>
      <c r="AK193" s="2"/>
      <c r="AL193" s="2"/>
      <c r="AM193" s="2"/>
      <c r="AN193" s="2"/>
      <c r="AO193" s="2"/>
    </row>
    <row r="194" ht="24.0" customHeight="1">
      <c r="A194" s="4"/>
      <c r="B194" s="30"/>
      <c r="C194" s="5" t="str">
        <f>IFERROR(__xludf.DUMMYFUNCTION("if(B194=0,""..."", sparkline(query(GOOGLEFINANCE(""BCBA:""&amp;B194,""price"",today()-$AM$47,today()),""select Col2"",0),{""charttype"",$AM$46}))"),"...")</f>
        <v>...</v>
      </c>
      <c r="D194" s="17"/>
      <c r="E194" s="31"/>
      <c r="F194" s="7"/>
      <c r="G194" s="8" t="str">
        <f t="shared" si="1"/>
        <v>...</v>
      </c>
      <c r="H194" s="31"/>
      <c r="I194" s="52"/>
      <c r="J194" s="45" t="str">
        <f t="shared" si="2"/>
        <v>...</v>
      </c>
      <c r="K194" s="47" t="str">
        <f t="array" ref="K194">IF(B194=0,"...",J194/VLOOKUP(D194,{CCL!M:N;CCL!$P:$Q},2,FALSE))</f>
        <v>...</v>
      </c>
      <c r="L194" s="45" t="str">
        <f t="shared" si="41"/>
        <v>...</v>
      </c>
      <c r="M194" s="45" t="str">
        <f>if(B194=0,"...",L194*(1-VLOOKUP(A194,Config!$B$3:$C$22,2,FALSE)))</f>
        <v>...</v>
      </c>
      <c r="N194" s="45" t="str">
        <f t="shared" si="3"/>
        <v>...</v>
      </c>
      <c r="O194" s="12" t="str">
        <f>IFERROR(__xludf.DUMMYFUNCTION("if(B194=0,""..."",GOOGLEFINANCE(B194,""changepct"")/100)"),"...")</f>
        <v>...</v>
      </c>
      <c r="P194" s="10" t="str">
        <f>IFERROR(__xludf.DUMMYFUNCTION("if(B194=0,""..."",GOOGLEFINANCE(B194,""change"")*H194)"),"...")</f>
        <v>...</v>
      </c>
      <c r="Q194" s="12" t="str">
        <f t="shared" si="4"/>
        <v>...</v>
      </c>
      <c r="R194" s="47" t="str">
        <f t="shared" si="5"/>
        <v>...</v>
      </c>
      <c r="S194" s="12" t="str">
        <f t="shared" si="36"/>
        <v>...</v>
      </c>
      <c r="T194" s="47" t="str">
        <f>IF(B194=0,"...",(N194/IF(E194="ABIERTA",CCL!$E$2,VLOOKUP(F194,CCL!$A$12:$B$773,2,FALSE))-K194))</f>
        <v>...</v>
      </c>
      <c r="U194" s="2"/>
      <c r="V194" s="10"/>
      <c r="W194" s="10"/>
      <c r="X194" s="59" t="str">
        <f t="shared" si="29"/>
        <v>...</v>
      </c>
      <c r="Y194" s="45" t="str">
        <f>IFERROR(__xludf.DUMMYFUNCTION("IF(W194=0,""..."",GOOGLEFINANCE(""BCBA:""&amp;W194))"),"...")</f>
        <v>...</v>
      </c>
      <c r="Z194" s="12"/>
      <c r="AA194" s="45"/>
      <c r="AB194" s="12" t="str">
        <f t="shared" si="26"/>
        <v/>
      </c>
      <c r="AC194" s="45" t="str">
        <f t="shared" si="37"/>
        <v>...</v>
      </c>
      <c r="AD194" s="45" t="str">
        <f t="shared" si="38"/>
        <v>...</v>
      </c>
      <c r="AE194" s="12" t="str">
        <f t="shared" si="11"/>
        <v>...</v>
      </c>
      <c r="AF194" s="45" t="str">
        <f t="shared" si="39"/>
        <v>...</v>
      </c>
      <c r="AG194" s="45" t="str">
        <f t="shared" si="27"/>
        <v>...</v>
      </c>
      <c r="AH194" s="12" t="str">
        <f t="shared" si="13"/>
        <v>...</v>
      </c>
      <c r="AI194" s="46" t="str">
        <f t="shared" si="40"/>
        <v>...</v>
      </c>
      <c r="AJ194" s="2"/>
      <c r="AK194" s="2"/>
      <c r="AL194" s="2"/>
      <c r="AM194" s="2"/>
      <c r="AN194" s="2"/>
      <c r="AO194" s="2"/>
    </row>
    <row r="195" ht="24.0" customHeight="1">
      <c r="A195" s="4"/>
      <c r="B195" s="30"/>
      <c r="C195" s="5" t="str">
        <f>IFERROR(__xludf.DUMMYFUNCTION("if(B195=0,""..."", sparkline(query(GOOGLEFINANCE(""BCBA:""&amp;B195,""price"",today()-$AM$47,today()),""select Col2"",0),{""charttype"",$AM$46}))"),"...")</f>
        <v>...</v>
      </c>
      <c r="D195" s="17"/>
      <c r="E195" s="31"/>
      <c r="F195" s="7"/>
      <c r="G195" s="8" t="str">
        <f t="shared" si="1"/>
        <v>...</v>
      </c>
      <c r="H195" s="31"/>
      <c r="I195" s="52"/>
      <c r="J195" s="45" t="str">
        <f t="shared" si="2"/>
        <v>...</v>
      </c>
      <c r="K195" s="47" t="str">
        <f t="array" ref="K195">IF(B195=0,"...",J195/VLOOKUP(D195,{CCL!M:N;CCL!$P:$Q},2,FALSE))</f>
        <v>...</v>
      </c>
      <c r="L195" s="45" t="str">
        <f t="shared" si="41"/>
        <v>...</v>
      </c>
      <c r="M195" s="45" t="str">
        <f>if(B195=0,"...",L195*(1-VLOOKUP(A195,Config!$B$3:$C$22,2,FALSE)))</f>
        <v>...</v>
      </c>
      <c r="N195" s="45" t="str">
        <f t="shared" si="3"/>
        <v>...</v>
      </c>
      <c r="O195" s="12" t="str">
        <f>IFERROR(__xludf.DUMMYFUNCTION("if(B195=0,""..."",GOOGLEFINANCE(B195,""changepct"")/100)"),"...")</f>
        <v>...</v>
      </c>
      <c r="P195" s="10" t="str">
        <f>IFERROR(__xludf.DUMMYFUNCTION("if(B195=0,""..."",GOOGLEFINANCE(B195,""change"")*H195)"),"...")</f>
        <v>...</v>
      </c>
      <c r="Q195" s="12" t="str">
        <f t="shared" si="4"/>
        <v>...</v>
      </c>
      <c r="R195" s="47" t="str">
        <f t="shared" si="5"/>
        <v>...</v>
      </c>
      <c r="S195" s="12" t="str">
        <f t="shared" si="36"/>
        <v>...</v>
      </c>
      <c r="T195" s="47" t="str">
        <f>IF(B195=0,"...",(N195/IF(E195="ABIERTA",CCL!$E$2,VLOOKUP(F195,CCL!$A$12:$B$773,2,FALSE))-K195))</f>
        <v>...</v>
      </c>
      <c r="U195" s="2"/>
      <c r="V195" s="10"/>
      <c r="W195" s="10"/>
      <c r="X195" s="59" t="str">
        <f t="shared" si="29"/>
        <v>...</v>
      </c>
      <c r="Y195" s="45" t="str">
        <f>IFERROR(__xludf.DUMMYFUNCTION("IF(W195=0,""..."",GOOGLEFINANCE(""BCBA:""&amp;W195))"),"...")</f>
        <v>...</v>
      </c>
      <c r="Z195" s="12"/>
      <c r="AA195" s="45"/>
      <c r="AB195" s="12" t="str">
        <f t="shared" si="26"/>
        <v/>
      </c>
      <c r="AC195" s="45" t="str">
        <f t="shared" si="37"/>
        <v>...</v>
      </c>
      <c r="AD195" s="45" t="str">
        <f t="shared" si="38"/>
        <v>...</v>
      </c>
      <c r="AE195" s="12" t="str">
        <f t="shared" si="11"/>
        <v>...</v>
      </c>
      <c r="AF195" s="45" t="str">
        <f t="shared" si="39"/>
        <v>...</v>
      </c>
      <c r="AG195" s="45" t="str">
        <f t="shared" si="27"/>
        <v>...</v>
      </c>
      <c r="AH195" s="12" t="str">
        <f t="shared" si="13"/>
        <v>...</v>
      </c>
      <c r="AI195" s="46" t="str">
        <f t="shared" si="40"/>
        <v>...</v>
      </c>
      <c r="AJ195" s="2"/>
      <c r="AK195" s="2"/>
      <c r="AL195" s="2"/>
      <c r="AM195" s="2"/>
      <c r="AN195" s="2"/>
      <c r="AO195" s="2"/>
    </row>
    <row r="196" ht="24.0" customHeight="1">
      <c r="A196" s="4"/>
      <c r="B196" s="30"/>
      <c r="C196" s="5" t="str">
        <f>IFERROR(__xludf.DUMMYFUNCTION("if(B196=0,""..."", sparkline(query(GOOGLEFINANCE(""BCBA:""&amp;B196,""price"",today()-$AM$47,today()),""select Col2"",0),{""charttype"",$AM$46}))"),"...")</f>
        <v>...</v>
      </c>
      <c r="D196" s="17"/>
      <c r="E196" s="31"/>
      <c r="F196" s="7"/>
      <c r="G196" s="8" t="str">
        <f t="shared" si="1"/>
        <v>...</v>
      </c>
      <c r="H196" s="31"/>
      <c r="I196" s="52"/>
      <c r="J196" s="45" t="str">
        <f t="shared" si="2"/>
        <v>...</v>
      </c>
      <c r="K196" s="47" t="str">
        <f t="array" ref="K196">IF(B196=0,"...",J196/VLOOKUP(D196,{CCL!M:N;CCL!$P:$Q},2,FALSE))</f>
        <v>...</v>
      </c>
      <c r="L196" s="45" t="str">
        <f t="shared" si="41"/>
        <v>...</v>
      </c>
      <c r="M196" s="45" t="str">
        <f>if(B196=0,"...",L196*(1-VLOOKUP(A196,Config!$B$3:$C$22,2,FALSE)))</f>
        <v>...</v>
      </c>
      <c r="N196" s="45" t="str">
        <f t="shared" si="3"/>
        <v>...</v>
      </c>
      <c r="O196" s="12" t="str">
        <f>IFERROR(__xludf.DUMMYFUNCTION("if(B196=0,""..."",GOOGLEFINANCE(B196,""changepct"")/100)"),"...")</f>
        <v>...</v>
      </c>
      <c r="P196" s="10" t="str">
        <f>IFERROR(__xludf.DUMMYFUNCTION("if(B196=0,""..."",GOOGLEFINANCE(B196,""change"")*H196)"),"...")</f>
        <v>...</v>
      </c>
      <c r="Q196" s="12" t="str">
        <f t="shared" si="4"/>
        <v>...</v>
      </c>
      <c r="R196" s="47" t="str">
        <f t="shared" si="5"/>
        <v>...</v>
      </c>
      <c r="S196" s="12" t="str">
        <f t="shared" si="36"/>
        <v>...</v>
      </c>
      <c r="T196" s="47" t="str">
        <f>IF(B196=0,"...",(N196/IF(E196="ABIERTA",CCL!$E$2,VLOOKUP(F196,CCL!$A$12:$B$773,2,FALSE))-K196))</f>
        <v>...</v>
      </c>
      <c r="U196" s="2"/>
      <c r="V196" s="10"/>
      <c r="W196" s="10"/>
      <c r="X196" s="59" t="str">
        <f t="shared" si="29"/>
        <v>...</v>
      </c>
      <c r="Y196" s="45" t="str">
        <f>IFERROR(__xludf.DUMMYFUNCTION("IF(W196=0,""..."",GOOGLEFINANCE(""BCBA:""&amp;W196))"),"...")</f>
        <v>...</v>
      </c>
      <c r="Z196" s="12"/>
      <c r="AA196" s="45"/>
      <c r="AB196" s="12" t="str">
        <f t="shared" si="26"/>
        <v/>
      </c>
      <c r="AC196" s="45" t="str">
        <f t="shared" si="37"/>
        <v>...</v>
      </c>
      <c r="AD196" s="45" t="str">
        <f t="shared" si="38"/>
        <v>...</v>
      </c>
      <c r="AE196" s="12" t="str">
        <f t="shared" si="11"/>
        <v>...</v>
      </c>
      <c r="AF196" s="45" t="str">
        <f t="shared" si="39"/>
        <v>...</v>
      </c>
      <c r="AG196" s="45" t="str">
        <f t="shared" si="27"/>
        <v>...</v>
      </c>
      <c r="AH196" s="12" t="str">
        <f t="shared" si="13"/>
        <v>...</v>
      </c>
      <c r="AI196" s="46" t="str">
        <f t="shared" si="40"/>
        <v>...</v>
      </c>
      <c r="AJ196" s="2"/>
      <c r="AK196" s="2"/>
      <c r="AL196" s="2"/>
      <c r="AM196" s="2"/>
      <c r="AN196" s="2"/>
      <c r="AO196" s="2"/>
    </row>
    <row r="197" ht="24.0" customHeight="1">
      <c r="A197" s="4"/>
      <c r="B197" s="30"/>
      <c r="C197" s="5" t="str">
        <f>IFERROR(__xludf.DUMMYFUNCTION("if(B197=0,""..."", sparkline(query(GOOGLEFINANCE(""BCBA:""&amp;B197,""price"",today()-$AM$47,today()),""select Col2"",0),{""charttype"",$AM$46}))"),"...")</f>
        <v>...</v>
      </c>
      <c r="D197" s="17"/>
      <c r="E197" s="31"/>
      <c r="F197" s="7"/>
      <c r="G197" s="8" t="str">
        <f t="shared" si="1"/>
        <v>...</v>
      </c>
      <c r="H197" s="31"/>
      <c r="I197" s="52"/>
      <c r="J197" s="45" t="str">
        <f t="shared" si="2"/>
        <v>...</v>
      </c>
      <c r="K197" s="47" t="str">
        <f t="array" ref="K197">IF(B197=0,"...",J197/VLOOKUP(D197,{CCL!M:N;CCL!$P:$Q},2,FALSE))</f>
        <v>...</v>
      </c>
      <c r="L197" s="45" t="str">
        <f t="shared" si="41"/>
        <v>...</v>
      </c>
      <c r="M197" s="45" t="str">
        <f>if(B197=0,"...",L197*(1-VLOOKUP(A197,Config!$B$3:$C$22,2,FALSE)))</f>
        <v>...</v>
      </c>
      <c r="N197" s="45" t="str">
        <f t="shared" si="3"/>
        <v>...</v>
      </c>
      <c r="O197" s="12" t="str">
        <f>IFERROR(__xludf.DUMMYFUNCTION("if(B197=0,""..."",GOOGLEFINANCE(B197,""changepct"")/100)"),"...")</f>
        <v>...</v>
      </c>
      <c r="P197" s="10" t="str">
        <f>IFERROR(__xludf.DUMMYFUNCTION("if(B197=0,""..."",GOOGLEFINANCE(B197,""change"")*H197)"),"...")</f>
        <v>...</v>
      </c>
      <c r="Q197" s="12" t="str">
        <f t="shared" si="4"/>
        <v>...</v>
      </c>
      <c r="R197" s="47" t="str">
        <f t="shared" si="5"/>
        <v>...</v>
      </c>
      <c r="S197" s="12" t="str">
        <f t="shared" si="36"/>
        <v>...</v>
      </c>
      <c r="T197" s="47" t="str">
        <f>IF(B197=0,"...",(N197/IF(E197="ABIERTA",CCL!$E$2,VLOOKUP(F197,CCL!$A$12:$B$773,2,FALSE))-K197))</f>
        <v>...</v>
      </c>
      <c r="U197" s="2"/>
      <c r="V197" s="10"/>
      <c r="W197" s="10"/>
      <c r="X197" s="59" t="str">
        <f t="shared" si="29"/>
        <v>...</v>
      </c>
      <c r="Y197" s="45" t="str">
        <f>IFERROR(__xludf.DUMMYFUNCTION("IF(W197=0,""..."",GOOGLEFINANCE(""BCBA:""&amp;W197))"),"...")</f>
        <v>...</v>
      </c>
      <c r="Z197" s="12"/>
      <c r="AA197" s="45"/>
      <c r="AB197" s="12" t="str">
        <f t="shared" si="26"/>
        <v/>
      </c>
      <c r="AC197" s="45" t="str">
        <f t="shared" si="37"/>
        <v>...</v>
      </c>
      <c r="AD197" s="45" t="str">
        <f t="shared" si="38"/>
        <v>...</v>
      </c>
      <c r="AE197" s="12" t="str">
        <f t="shared" si="11"/>
        <v>...</v>
      </c>
      <c r="AF197" s="45" t="str">
        <f t="shared" si="39"/>
        <v>...</v>
      </c>
      <c r="AG197" s="45" t="str">
        <f t="shared" si="27"/>
        <v>...</v>
      </c>
      <c r="AH197" s="12" t="str">
        <f t="shared" si="13"/>
        <v>...</v>
      </c>
      <c r="AI197" s="46" t="str">
        <f t="shared" si="40"/>
        <v>...</v>
      </c>
      <c r="AJ197" s="2"/>
      <c r="AK197" s="2"/>
      <c r="AL197" s="2"/>
      <c r="AM197" s="2"/>
      <c r="AN197" s="2"/>
      <c r="AO197" s="2"/>
    </row>
    <row r="198" ht="24.0" customHeight="1">
      <c r="A198" s="4"/>
      <c r="B198" s="30"/>
      <c r="C198" s="5" t="str">
        <f>IFERROR(__xludf.DUMMYFUNCTION("if(B198=0,""..."", sparkline(query(GOOGLEFINANCE(""BCBA:""&amp;B198,""price"",today()-$AM$47,today()),""select Col2"",0),{""charttype"",$AM$46}))"),"...")</f>
        <v>...</v>
      </c>
      <c r="D198" s="17"/>
      <c r="E198" s="31"/>
      <c r="F198" s="7"/>
      <c r="G198" s="8" t="str">
        <f t="shared" si="1"/>
        <v>...</v>
      </c>
      <c r="H198" s="31"/>
      <c r="I198" s="52"/>
      <c r="J198" s="45" t="str">
        <f t="shared" si="2"/>
        <v>...</v>
      </c>
      <c r="K198" s="47" t="str">
        <f t="array" ref="K198">IF(B198=0,"...",J198/VLOOKUP(D198,{CCL!M:N;CCL!$P:$Q},2,FALSE))</f>
        <v>...</v>
      </c>
      <c r="L198" s="45" t="str">
        <f t="shared" si="41"/>
        <v>...</v>
      </c>
      <c r="M198" s="45" t="str">
        <f>if(B198=0,"...",L198*(1-VLOOKUP(A198,Config!$B$3:$C$22,2,FALSE)))</f>
        <v>...</v>
      </c>
      <c r="N198" s="45" t="str">
        <f t="shared" si="3"/>
        <v>...</v>
      </c>
      <c r="O198" s="12" t="str">
        <f>IFERROR(__xludf.DUMMYFUNCTION("if(B198=0,""..."",GOOGLEFINANCE(B198,""changepct"")/100)"),"...")</f>
        <v>...</v>
      </c>
      <c r="P198" s="10" t="str">
        <f>IFERROR(__xludf.DUMMYFUNCTION("if(B198=0,""..."",GOOGLEFINANCE(B198,""change"")*H198)"),"...")</f>
        <v>...</v>
      </c>
      <c r="Q198" s="12" t="str">
        <f t="shared" si="4"/>
        <v>...</v>
      </c>
      <c r="R198" s="47" t="str">
        <f t="shared" si="5"/>
        <v>...</v>
      </c>
      <c r="S198" s="12" t="str">
        <f t="shared" si="36"/>
        <v>...</v>
      </c>
      <c r="T198" s="47" t="str">
        <f>IF(B198=0,"...",(N198/IF(E198="ABIERTA",CCL!$E$2,VLOOKUP(F198,CCL!$A$12:$B$773,2,FALSE))-K198))</f>
        <v>...</v>
      </c>
      <c r="U198" s="2"/>
      <c r="V198" s="10"/>
      <c r="W198" s="10"/>
      <c r="X198" s="59" t="str">
        <f t="shared" si="29"/>
        <v>...</v>
      </c>
      <c r="Y198" s="45" t="str">
        <f>IFERROR(__xludf.DUMMYFUNCTION("IF(W198=0,""..."",GOOGLEFINANCE(""BCBA:""&amp;W198))"),"...")</f>
        <v>...</v>
      </c>
      <c r="Z198" s="12"/>
      <c r="AA198" s="45"/>
      <c r="AB198" s="12" t="str">
        <f t="shared" si="26"/>
        <v/>
      </c>
      <c r="AC198" s="45" t="str">
        <f t="shared" si="37"/>
        <v>...</v>
      </c>
      <c r="AD198" s="45" t="str">
        <f t="shared" si="38"/>
        <v>...</v>
      </c>
      <c r="AE198" s="12" t="str">
        <f t="shared" si="11"/>
        <v>...</v>
      </c>
      <c r="AF198" s="45" t="str">
        <f t="shared" si="39"/>
        <v>...</v>
      </c>
      <c r="AG198" s="45" t="str">
        <f t="shared" si="27"/>
        <v>...</v>
      </c>
      <c r="AH198" s="12" t="str">
        <f t="shared" si="13"/>
        <v>...</v>
      </c>
      <c r="AI198" s="46" t="str">
        <f t="shared" si="40"/>
        <v>...</v>
      </c>
      <c r="AJ198" s="2"/>
      <c r="AK198" s="2"/>
      <c r="AL198" s="2"/>
      <c r="AM198" s="2"/>
      <c r="AN198" s="2"/>
      <c r="AO198" s="2"/>
    </row>
    <row r="199" ht="24.0" customHeight="1">
      <c r="A199" s="4"/>
      <c r="B199" s="30"/>
      <c r="C199" s="5" t="str">
        <f>IFERROR(__xludf.DUMMYFUNCTION("if(B199=0,""..."", sparkline(query(GOOGLEFINANCE(""BCBA:""&amp;B199,""price"",today()-$AM$47,today()),""select Col2"",0),{""charttype"",$AM$46}))"),"...")</f>
        <v>...</v>
      </c>
      <c r="D199" s="17"/>
      <c r="E199" s="31"/>
      <c r="F199" s="7"/>
      <c r="G199" s="8" t="str">
        <f t="shared" si="1"/>
        <v>...</v>
      </c>
      <c r="H199" s="31"/>
      <c r="I199" s="52"/>
      <c r="J199" s="45" t="str">
        <f t="shared" si="2"/>
        <v>...</v>
      </c>
      <c r="K199" s="47" t="str">
        <f t="array" ref="K199">IF(B199=0,"...",J199/VLOOKUP(D199,{CCL!M:N;CCL!$P:$Q},2,FALSE))</f>
        <v>...</v>
      </c>
      <c r="L199" s="45" t="str">
        <f t="shared" si="41"/>
        <v>...</v>
      </c>
      <c r="M199" s="45" t="str">
        <f>if(B199=0,"...",L199*(1-VLOOKUP(A199,Config!$B$3:$C$22,2,FALSE)))</f>
        <v>...</v>
      </c>
      <c r="N199" s="45" t="str">
        <f t="shared" si="3"/>
        <v>...</v>
      </c>
      <c r="O199" s="12" t="str">
        <f>IFERROR(__xludf.DUMMYFUNCTION("if(B199=0,""..."",GOOGLEFINANCE(B199,""changepct"")/100)"),"...")</f>
        <v>...</v>
      </c>
      <c r="P199" s="10" t="str">
        <f>IFERROR(__xludf.DUMMYFUNCTION("if(B199=0,""..."",GOOGLEFINANCE(B199,""change"")*H199)"),"...")</f>
        <v>...</v>
      </c>
      <c r="Q199" s="12" t="str">
        <f t="shared" si="4"/>
        <v>...</v>
      </c>
      <c r="R199" s="47" t="str">
        <f t="shared" si="5"/>
        <v>...</v>
      </c>
      <c r="S199" s="12" t="str">
        <f t="shared" si="36"/>
        <v>...</v>
      </c>
      <c r="T199" s="47" t="str">
        <f>IF(B199=0,"...",(N199/IF(E199="ABIERTA",CCL!$E$2,VLOOKUP(F199,CCL!$A$12:$B$773,2,FALSE))-K199))</f>
        <v>...</v>
      </c>
      <c r="U199" s="2"/>
      <c r="V199" s="10"/>
      <c r="W199" s="10"/>
      <c r="X199" s="59" t="str">
        <f t="shared" si="29"/>
        <v>...</v>
      </c>
      <c r="Y199" s="45" t="str">
        <f>IFERROR(__xludf.DUMMYFUNCTION("IF(W199=0,""..."",GOOGLEFINANCE(""BCBA:""&amp;W199))"),"...")</f>
        <v>...</v>
      </c>
      <c r="Z199" s="12"/>
      <c r="AA199" s="45"/>
      <c r="AB199" s="12" t="str">
        <f t="shared" si="26"/>
        <v/>
      </c>
      <c r="AC199" s="45" t="str">
        <f t="shared" si="37"/>
        <v>...</v>
      </c>
      <c r="AD199" s="45" t="str">
        <f t="shared" si="38"/>
        <v>...</v>
      </c>
      <c r="AE199" s="12" t="str">
        <f t="shared" si="11"/>
        <v>...</v>
      </c>
      <c r="AF199" s="45" t="str">
        <f t="shared" si="39"/>
        <v>...</v>
      </c>
      <c r="AG199" s="45" t="str">
        <f t="shared" si="27"/>
        <v>...</v>
      </c>
      <c r="AH199" s="12" t="str">
        <f t="shared" si="13"/>
        <v>...</v>
      </c>
      <c r="AI199" s="46" t="str">
        <f t="shared" si="40"/>
        <v>...</v>
      </c>
      <c r="AJ199" s="2"/>
      <c r="AK199" s="2"/>
      <c r="AL199" s="2"/>
      <c r="AM199" s="2"/>
      <c r="AN199" s="2"/>
      <c r="AO199" s="2"/>
    </row>
    <row r="200" ht="24.0" customHeight="1">
      <c r="A200" s="4"/>
      <c r="B200" s="30"/>
      <c r="C200" s="5" t="str">
        <f>IFERROR(__xludf.DUMMYFUNCTION("if(B200=0,""..."", sparkline(query(GOOGLEFINANCE(""BCBA:""&amp;B200,""price"",today()-$AM$47,today()),""select Col2"",0),{""charttype"",$AM$46}))"),"...")</f>
        <v>...</v>
      </c>
      <c r="D200" s="17"/>
      <c r="E200" s="31"/>
      <c r="F200" s="7"/>
      <c r="G200" s="8" t="str">
        <f t="shared" si="1"/>
        <v>...</v>
      </c>
      <c r="H200" s="31"/>
      <c r="I200" s="52"/>
      <c r="J200" s="45" t="str">
        <f t="shared" si="2"/>
        <v>...</v>
      </c>
      <c r="K200" s="47" t="str">
        <f t="array" ref="K200">IF(B200=0,"...",J200/VLOOKUP(D200,{CCL!M:N;CCL!$P:$Q},2,FALSE))</f>
        <v>...</v>
      </c>
      <c r="L200" s="45" t="str">
        <f t="shared" si="41"/>
        <v>...</v>
      </c>
      <c r="M200" s="45" t="str">
        <f>if(B200=0,"...",L200*(1-VLOOKUP(A200,Config!$B$3:$C$22,2,FALSE)))</f>
        <v>...</v>
      </c>
      <c r="N200" s="45" t="str">
        <f t="shared" si="3"/>
        <v>...</v>
      </c>
      <c r="O200" s="12" t="str">
        <f>IFERROR(__xludf.DUMMYFUNCTION("if(B200=0,""..."",GOOGLEFINANCE(B200,""changepct"")/100)"),"...")</f>
        <v>...</v>
      </c>
      <c r="P200" s="10" t="str">
        <f>IFERROR(__xludf.DUMMYFUNCTION("if(B200=0,""..."",GOOGLEFINANCE(B200,""change"")*H200)"),"...")</f>
        <v>...</v>
      </c>
      <c r="Q200" s="12" t="str">
        <f t="shared" si="4"/>
        <v>...</v>
      </c>
      <c r="R200" s="47" t="str">
        <f t="shared" si="5"/>
        <v>...</v>
      </c>
      <c r="S200" s="12" t="str">
        <f t="shared" si="36"/>
        <v>...</v>
      </c>
      <c r="T200" s="47" t="str">
        <f>IF(B200=0,"...",(N200/IF(E200="ABIERTA",CCL!$E$2,VLOOKUP(F200,CCL!$A$12:$B$773,2,FALSE))-K200))</f>
        <v>...</v>
      </c>
      <c r="U200" s="2"/>
      <c r="V200" s="10"/>
      <c r="W200" s="10"/>
      <c r="X200" s="59" t="str">
        <f t="shared" si="29"/>
        <v>...</v>
      </c>
      <c r="Y200" s="45" t="str">
        <f>IFERROR(__xludf.DUMMYFUNCTION("IF(W200=0,""..."",GOOGLEFINANCE(""BCBA:""&amp;W200))"),"...")</f>
        <v>...</v>
      </c>
      <c r="Z200" s="12"/>
      <c r="AA200" s="45"/>
      <c r="AB200" s="12" t="str">
        <f t="shared" si="26"/>
        <v/>
      </c>
      <c r="AC200" s="45" t="str">
        <f t="shared" si="37"/>
        <v>...</v>
      </c>
      <c r="AD200" s="45" t="str">
        <f t="shared" si="38"/>
        <v>...</v>
      </c>
      <c r="AE200" s="12" t="str">
        <f t="shared" si="11"/>
        <v>...</v>
      </c>
      <c r="AF200" s="45" t="str">
        <f t="shared" si="39"/>
        <v>...</v>
      </c>
      <c r="AG200" s="45" t="str">
        <f t="shared" si="27"/>
        <v>...</v>
      </c>
      <c r="AH200" s="12" t="str">
        <f t="shared" si="13"/>
        <v>...</v>
      </c>
      <c r="AI200" s="46" t="str">
        <f t="shared" si="40"/>
        <v>...</v>
      </c>
      <c r="AJ200" s="2"/>
      <c r="AK200" s="2"/>
      <c r="AL200" s="2"/>
      <c r="AM200" s="2"/>
      <c r="AN200" s="2"/>
      <c r="AO200" s="2"/>
    </row>
    <row r="201" ht="24.0" customHeight="1">
      <c r="A201" s="4"/>
      <c r="B201" s="30"/>
      <c r="C201" s="5" t="str">
        <f>IFERROR(__xludf.DUMMYFUNCTION("if(B201=0,""..."", sparkline(query(GOOGLEFINANCE(""BCBA:""&amp;B201,""price"",today()-$AM$47,today()),""select Col2"",0),{""charttype"",$AM$46}))"),"...")</f>
        <v>...</v>
      </c>
      <c r="D201" s="17"/>
      <c r="E201" s="31"/>
      <c r="F201" s="7"/>
      <c r="G201" s="8" t="str">
        <f t="shared" si="1"/>
        <v>...</v>
      </c>
      <c r="H201" s="31"/>
      <c r="I201" s="52"/>
      <c r="J201" s="45" t="str">
        <f t="shared" si="2"/>
        <v>...</v>
      </c>
      <c r="K201" s="47" t="str">
        <f t="array" ref="K201">IF(B201=0,"...",J201/VLOOKUP(D201,{CCL!M:N;CCL!$P:$Q},2,FALSE))</f>
        <v>...</v>
      </c>
      <c r="L201" s="45" t="str">
        <f t="shared" si="41"/>
        <v>...</v>
      </c>
      <c r="M201" s="45" t="str">
        <f>if(B201=0,"...",L201*(1-VLOOKUP(A201,Config!$B$3:$C$22,2,FALSE)))</f>
        <v>...</v>
      </c>
      <c r="N201" s="45" t="str">
        <f t="shared" si="3"/>
        <v>...</v>
      </c>
      <c r="O201" s="12" t="str">
        <f>IFERROR(__xludf.DUMMYFUNCTION("if(B201=0,""..."",GOOGLEFINANCE(B201,""changepct"")/100)"),"...")</f>
        <v>...</v>
      </c>
      <c r="P201" s="10" t="str">
        <f>IFERROR(__xludf.DUMMYFUNCTION("if(B201=0,""..."",GOOGLEFINANCE(B201,""change"")*H201)"),"...")</f>
        <v>...</v>
      </c>
      <c r="Q201" s="12" t="str">
        <f t="shared" si="4"/>
        <v>...</v>
      </c>
      <c r="R201" s="47" t="str">
        <f t="shared" si="5"/>
        <v>...</v>
      </c>
      <c r="S201" s="12" t="str">
        <f t="shared" si="36"/>
        <v>...</v>
      </c>
      <c r="T201" s="47" t="str">
        <f>IF(B201=0,"...",(N201/IF(E201="ABIERTA",CCL!$E$2,VLOOKUP(F201,CCL!$A$12:$B$773,2,FALSE))-K201))</f>
        <v>...</v>
      </c>
      <c r="U201" s="2"/>
      <c r="V201" s="10"/>
      <c r="W201" s="10"/>
      <c r="X201" s="59" t="str">
        <f t="shared" si="29"/>
        <v>...</v>
      </c>
      <c r="Y201" s="45" t="str">
        <f>IFERROR(__xludf.DUMMYFUNCTION("IF(W201=0,""..."",GOOGLEFINANCE(""BCBA:""&amp;W201))"),"...")</f>
        <v>...</v>
      </c>
      <c r="Z201" s="12"/>
      <c r="AA201" s="45"/>
      <c r="AB201" s="12" t="str">
        <f t="shared" si="26"/>
        <v/>
      </c>
      <c r="AC201" s="45" t="str">
        <f t="shared" si="37"/>
        <v>...</v>
      </c>
      <c r="AD201" s="45" t="str">
        <f t="shared" si="38"/>
        <v>...</v>
      </c>
      <c r="AE201" s="12" t="str">
        <f t="shared" si="11"/>
        <v>...</v>
      </c>
      <c r="AF201" s="45" t="str">
        <f t="shared" si="39"/>
        <v>...</v>
      </c>
      <c r="AG201" s="45" t="str">
        <f t="shared" si="27"/>
        <v>...</v>
      </c>
      <c r="AH201" s="12" t="str">
        <f t="shared" si="13"/>
        <v>...</v>
      </c>
      <c r="AI201" s="46" t="str">
        <f t="shared" si="40"/>
        <v>...</v>
      </c>
      <c r="AJ201" s="2"/>
      <c r="AK201" s="2"/>
      <c r="AL201" s="2"/>
      <c r="AM201" s="2"/>
      <c r="AN201" s="2"/>
      <c r="AO201" s="2"/>
    </row>
    <row r="202" ht="24.0" customHeight="1">
      <c r="A202" s="4"/>
      <c r="B202" s="30"/>
      <c r="C202" s="5" t="str">
        <f>IFERROR(__xludf.DUMMYFUNCTION("if(B202=0,""..."", sparkline(query(GOOGLEFINANCE(""BCBA:""&amp;B202,""price"",today()-$AM$47,today()),""select Col2"",0),{""charttype"",$AM$46}))"),"...")</f>
        <v>...</v>
      </c>
      <c r="D202" s="17"/>
      <c r="E202" s="31"/>
      <c r="F202" s="7"/>
      <c r="G202" s="8" t="str">
        <f t="shared" si="1"/>
        <v>...</v>
      </c>
      <c r="H202" s="31"/>
      <c r="I202" s="52"/>
      <c r="J202" s="45" t="str">
        <f t="shared" si="2"/>
        <v>...</v>
      </c>
      <c r="K202" s="47" t="str">
        <f t="array" ref="K202">IF(B202=0,"...",J202/VLOOKUP(D202,{CCL!M:N;CCL!$P:$Q},2,FALSE))</f>
        <v>...</v>
      </c>
      <c r="L202" s="45" t="str">
        <f t="shared" si="41"/>
        <v>...</v>
      </c>
      <c r="M202" s="45" t="str">
        <f>if(B202=0,"...",L202*(1-VLOOKUP(A202,Config!$B$3:$C$22,2,FALSE)))</f>
        <v>...</v>
      </c>
      <c r="N202" s="45" t="str">
        <f t="shared" si="3"/>
        <v>...</v>
      </c>
      <c r="O202" s="12" t="str">
        <f>IFERROR(__xludf.DUMMYFUNCTION("if(B202=0,""..."",GOOGLEFINANCE(B202,""changepct"")/100)"),"...")</f>
        <v>...</v>
      </c>
      <c r="P202" s="10" t="str">
        <f>IFERROR(__xludf.DUMMYFUNCTION("if(B202=0,""..."",GOOGLEFINANCE(B202,""change"")*H202)"),"...")</f>
        <v>...</v>
      </c>
      <c r="Q202" s="12" t="str">
        <f t="shared" si="4"/>
        <v>...</v>
      </c>
      <c r="R202" s="47" t="str">
        <f t="shared" si="5"/>
        <v>...</v>
      </c>
      <c r="S202" s="12" t="str">
        <f t="shared" si="36"/>
        <v>...</v>
      </c>
      <c r="T202" s="47" t="str">
        <f>IF(B202=0,"...",(N202/IF(E202="ABIERTA",CCL!$E$2,VLOOKUP(F202,CCL!$A$12:$B$773,2,FALSE))-K202))</f>
        <v>...</v>
      </c>
      <c r="U202" s="2"/>
      <c r="V202" s="10"/>
      <c r="W202" s="10"/>
      <c r="X202" s="59" t="str">
        <f t="shared" si="29"/>
        <v>...</v>
      </c>
      <c r="Y202" s="45" t="str">
        <f>IFERROR(__xludf.DUMMYFUNCTION("IF(W202=0,""..."",GOOGLEFINANCE(""BCBA:""&amp;W202))"),"...")</f>
        <v>...</v>
      </c>
      <c r="Z202" s="12"/>
      <c r="AA202" s="45"/>
      <c r="AB202" s="12" t="str">
        <f t="shared" si="26"/>
        <v/>
      </c>
      <c r="AC202" s="45" t="str">
        <f t="shared" si="37"/>
        <v>...</v>
      </c>
      <c r="AD202" s="45" t="str">
        <f t="shared" si="38"/>
        <v>...</v>
      </c>
      <c r="AE202" s="12" t="str">
        <f t="shared" si="11"/>
        <v>...</v>
      </c>
      <c r="AF202" s="45" t="str">
        <f t="shared" si="39"/>
        <v>...</v>
      </c>
      <c r="AG202" s="45" t="str">
        <f t="shared" si="27"/>
        <v>...</v>
      </c>
      <c r="AH202" s="12" t="str">
        <f t="shared" si="13"/>
        <v>...</v>
      </c>
      <c r="AI202" s="46" t="str">
        <f t="shared" si="40"/>
        <v>...</v>
      </c>
      <c r="AJ202" s="2"/>
      <c r="AK202" s="2"/>
      <c r="AL202" s="2"/>
      <c r="AM202" s="2"/>
      <c r="AN202" s="2"/>
      <c r="AO202" s="2"/>
    </row>
    <row r="203" ht="24.0" customHeight="1">
      <c r="A203" s="4"/>
      <c r="B203" s="30"/>
      <c r="C203" s="5" t="str">
        <f>IFERROR(__xludf.DUMMYFUNCTION("if(B203=0,""..."", sparkline(query(GOOGLEFINANCE(""BCBA:""&amp;B203,""price"",today()-$AM$47,today()),""select Col2"",0),{""charttype"",$AM$46}))"),"...")</f>
        <v>...</v>
      </c>
      <c r="D203" s="17"/>
      <c r="E203" s="31"/>
      <c r="F203" s="7"/>
      <c r="G203" s="8" t="str">
        <f t="shared" si="1"/>
        <v>...</v>
      </c>
      <c r="H203" s="31"/>
      <c r="I203" s="52"/>
      <c r="J203" s="45" t="str">
        <f t="shared" si="2"/>
        <v>...</v>
      </c>
      <c r="K203" s="47" t="str">
        <f t="array" ref="K203">IF(B203=0,"...",J203/VLOOKUP(D203,{CCL!M:N;CCL!$P:$Q},2,FALSE))</f>
        <v>...</v>
      </c>
      <c r="L203" s="45" t="str">
        <f t="shared" si="41"/>
        <v>...</v>
      </c>
      <c r="M203" s="45" t="str">
        <f>if(B203=0,"...",L203*(1-VLOOKUP(A203,Config!$B$3:$C$22,2,FALSE)))</f>
        <v>...</v>
      </c>
      <c r="N203" s="45" t="str">
        <f t="shared" si="3"/>
        <v>...</v>
      </c>
      <c r="O203" s="12" t="str">
        <f>IFERROR(__xludf.DUMMYFUNCTION("if(B203=0,""..."",GOOGLEFINANCE(B203,""changepct"")/100)"),"...")</f>
        <v>...</v>
      </c>
      <c r="P203" s="10" t="str">
        <f>IFERROR(__xludf.DUMMYFUNCTION("if(B203=0,""..."",GOOGLEFINANCE(B203,""change"")*H203)"),"...")</f>
        <v>...</v>
      </c>
      <c r="Q203" s="12" t="str">
        <f t="shared" si="4"/>
        <v>...</v>
      </c>
      <c r="R203" s="47" t="str">
        <f t="shared" si="5"/>
        <v>...</v>
      </c>
      <c r="S203" s="12" t="str">
        <f t="shared" si="36"/>
        <v>...</v>
      </c>
      <c r="T203" s="47" t="str">
        <f>IF(B203=0,"...",(N203/IF(E203="ABIERTA",CCL!$E$2,VLOOKUP(F203,CCL!$A$12:$B$773,2,FALSE))-K203))</f>
        <v>...</v>
      </c>
      <c r="U203" s="2"/>
      <c r="V203" s="10"/>
      <c r="W203" s="10"/>
      <c r="X203" s="59" t="str">
        <f t="shared" si="29"/>
        <v>...</v>
      </c>
      <c r="Y203" s="45" t="str">
        <f>IFERROR(__xludf.DUMMYFUNCTION("IF(W203=0,""..."",GOOGLEFINANCE(""BCBA:""&amp;W203))"),"...")</f>
        <v>...</v>
      </c>
      <c r="Z203" s="12"/>
      <c r="AA203" s="45"/>
      <c r="AB203" s="12" t="str">
        <f t="shared" si="26"/>
        <v/>
      </c>
      <c r="AC203" s="45" t="str">
        <f t="shared" si="37"/>
        <v>...</v>
      </c>
      <c r="AD203" s="45" t="str">
        <f t="shared" si="38"/>
        <v>...</v>
      </c>
      <c r="AE203" s="12" t="str">
        <f t="shared" si="11"/>
        <v>...</v>
      </c>
      <c r="AF203" s="45" t="str">
        <f t="shared" si="39"/>
        <v>...</v>
      </c>
      <c r="AG203" s="45" t="str">
        <f t="shared" si="27"/>
        <v>...</v>
      </c>
      <c r="AH203" s="12" t="str">
        <f t="shared" si="13"/>
        <v>...</v>
      </c>
      <c r="AI203" s="46" t="str">
        <f t="shared" si="40"/>
        <v>...</v>
      </c>
      <c r="AJ203" s="2"/>
      <c r="AK203" s="2"/>
      <c r="AL203" s="2"/>
      <c r="AM203" s="2"/>
      <c r="AN203" s="2"/>
      <c r="AO203" s="2"/>
    </row>
    <row r="204" ht="24.0" customHeight="1">
      <c r="A204" s="4"/>
      <c r="B204" s="30"/>
      <c r="C204" s="5" t="str">
        <f>IFERROR(__xludf.DUMMYFUNCTION("if(B204=0,""..."", sparkline(query(GOOGLEFINANCE(""BCBA:""&amp;B204,""price"",today()-$AM$47,today()),""select Col2"",0),{""charttype"",$AM$46}))"),"...")</f>
        <v>...</v>
      </c>
      <c r="D204" s="17"/>
      <c r="E204" s="31"/>
      <c r="F204" s="7"/>
      <c r="G204" s="8" t="str">
        <f t="shared" si="1"/>
        <v>...</v>
      </c>
      <c r="H204" s="31"/>
      <c r="I204" s="52"/>
      <c r="J204" s="45" t="str">
        <f t="shared" si="2"/>
        <v>...</v>
      </c>
      <c r="K204" s="47" t="str">
        <f t="array" ref="K204">IF(B204=0,"...",J204/VLOOKUP(D204,{CCL!M:N;CCL!$P:$Q},2,FALSE))</f>
        <v>...</v>
      </c>
      <c r="L204" s="45" t="str">
        <f t="shared" si="41"/>
        <v>...</v>
      </c>
      <c r="M204" s="45" t="str">
        <f>if(B204=0,"...",L204*(1-VLOOKUP(A204,Config!$B$3:$C$22,2,FALSE)))</f>
        <v>...</v>
      </c>
      <c r="N204" s="45" t="str">
        <f t="shared" si="3"/>
        <v>...</v>
      </c>
      <c r="O204" s="12" t="str">
        <f>IFERROR(__xludf.DUMMYFUNCTION("if(B204=0,""..."",GOOGLEFINANCE(B204,""changepct"")/100)"),"...")</f>
        <v>...</v>
      </c>
      <c r="P204" s="10" t="str">
        <f>IFERROR(__xludf.DUMMYFUNCTION("if(B204=0,""..."",GOOGLEFINANCE(B204,""change"")*H204)"),"...")</f>
        <v>...</v>
      </c>
      <c r="Q204" s="12" t="str">
        <f t="shared" si="4"/>
        <v>...</v>
      </c>
      <c r="R204" s="47" t="str">
        <f t="shared" si="5"/>
        <v>...</v>
      </c>
      <c r="S204" s="12" t="str">
        <f t="shared" si="36"/>
        <v>...</v>
      </c>
      <c r="T204" s="47" t="str">
        <f>IF(B204=0,"...",(N204/IF(E204="ABIERTA",CCL!$E$2,VLOOKUP(F204,CCL!$A$12:$B$773,2,FALSE))-K204))</f>
        <v>...</v>
      </c>
      <c r="U204" s="2"/>
      <c r="V204" s="10"/>
      <c r="W204" s="10"/>
      <c r="X204" s="59" t="str">
        <f t="shared" si="29"/>
        <v>...</v>
      </c>
      <c r="Y204" s="45" t="str">
        <f>IFERROR(__xludf.DUMMYFUNCTION("IF(W204=0,""..."",GOOGLEFINANCE(""BCBA:""&amp;W204))"),"...")</f>
        <v>...</v>
      </c>
      <c r="Z204" s="12"/>
      <c r="AA204" s="45"/>
      <c r="AB204" s="12" t="str">
        <f t="shared" si="26"/>
        <v/>
      </c>
      <c r="AC204" s="45" t="str">
        <f t="shared" si="37"/>
        <v>...</v>
      </c>
      <c r="AD204" s="45" t="str">
        <f t="shared" si="38"/>
        <v>...</v>
      </c>
      <c r="AE204" s="12" t="str">
        <f t="shared" si="11"/>
        <v>...</v>
      </c>
      <c r="AF204" s="45" t="str">
        <f t="shared" si="39"/>
        <v>...</v>
      </c>
      <c r="AG204" s="45" t="str">
        <f t="shared" si="27"/>
        <v>...</v>
      </c>
      <c r="AH204" s="12" t="str">
        <f t="shared" si="13"/>
        <v>...</v>
      </c>
      <c r="AI204" s="46" t="str">
        <f t="shared" si="40"/>
        <v>...</v>
      </c>
      <c r="AJ204" s="2"/>
      <c r="AK204" s="2"/>
      <c r="AL204" s="2"/>
      <c r="AM204" s="2"/>
      <c r="AN204" s="2"/>
      <c r="AO204" s="2"/>
    </row>
    <row r="205" ht="24.0" customHeight="1">
      <c r="A205" s="4"/>
      <c r="B205" s="30"/>
      <c r="C205" s="5" t="str">
        <f>IFERROR(__xludf.DUMMYFUNCTION("if(B205=0,""..."", sparkline(query(GOOGLEFINANCE(""BCBA:""&amp;B205,""price"",today()-$AM$47,today()),""select Col2"",0),{""charttype"",$AM$46}))"),"...")</f>
        <v>...</v>
      </c>
      <c r="D205" s="17"/>
      <c r="E205" s="31"/>
      <c r="F205" s="7"/>
      <c r="G205" s="8" t="str">
        <f t="shared" si="1"/>
        <v>...</v>
      </c>
      <c r="H205" s="31"/>
      <c r="I205" s="52"/>
      <c r="J205" s="45" t="str">
        <f t="shared" si="2"/>
        <v>...</v>
      </c>
      <c r="K205" s="47" t="str">
        <f t="array" ref="K205">IF(B205=0,"...",J205/VLOOKUP(D205,{CCL!M:N;CCL!$P:$Q},2,FALSE))</f>
        <v>...</v>
      </c>
      <c r="L205" s="45" t="str">
        <f t="shared" si="41"/>
        <v>...</v>
      </c>
      <c r="M205" s="45" t="str">
        <f>if(B205=0,"...",L205*(1-VLOOKUP(A205,Config!$B$3:$C$22,2,FALSE)))</f>
        <v>...</v>
      </c>
      <c r="N205" s="45" t="str">
        <f t="shared" si="3"/>
        <v>...</v>
      </c>
      <c r="O205" s="12" t="str">
        <f>IFERROR(__xludf.DUMMYFUNCTION("if(B205=0,""..."",GOOGLEFINANCE(B205,""changepct"")/100)"),"...")</f>
        <v>...</v>
      </c>
      <c r="P205" s="10" t="str">
        <f>IFERROR(__xludf.DUMMYFUNCTION("if(B205=0,""..."",GOOGLEFINANCE(B205,""change"")*H205)"),"...")</f>
        <v>...</v>
      </c>
      <c r="Q205" s="12" t="str">
        <f t="shared" si="4"/>
        <v>...</v>
      </c>
      <c r="R205" s="47" t="str">
        <f t="shared" si="5"/>
        <v>...</v>
      </c>
      <c r="S205" s="12" t="str">
        <f t="shared" si="36"/>
        <v>...</v>
      </c>
      <c r="T205" s="47" t="str">
        <f>IF(B205=0,"...",(N205/IF(E205="ABIERTA",CCL!$E$2,VLOOKUP(F205,CCL!$A$12:$B$773,2,FALSE))-K205))</f>
        <v>...</v>
      </c>
      <c r="U205" s="2"/>
      <c r="V205" s="10"/>
      <c r="W205" s="10"/>
      <c r="X205" s="59" t="str">
        <f t="shared" si="29"/>
        <v>...</v>
      </c>
      <c r="Y205" s="45" t="str">
        <f>IFERROR(__xludf.DUMMYFUNCTION("IF(W205=0,""..."",GOOGLEFINANCE(""BCBA:""&amp;W205))"),"...")</f>
        <v>...</v>
      </c>
      <c r="Z205" s="12"/>
      <c r="AA205" s="45"/>
      <c r="AB205" s="12" t="str">
        <f t="shared" si="26"/>
        <v/>
      </c>
      <c r="AC205" s="45" t="str">
        <f t="shared" si="37"/>
        <v>...</v>
      </c>
      <c r="AD205" s="45" t="str">
        <f t="shared" si="38"/>
        <v>...</v>
      </c>
      <c r="AE205" s="12" t="str">
        <f t="shared" si="11"/>
        <v>...</v>
      </c>
      <c r="AF205" s="45" t="str">
        <f t="shared" si="39"/>
        <v>...</v>
      </c>
      <c r="AG205" s="45" t="str">
        <f t="shared" si="27"/>
        <v>...</v>
      </c>
      <c r="AH205" s="12" t="str">
        <f t="shared" si="13"/>
        <v>...</v>
      </c>
      <c r="AI205" s="46" t="str">
        <f t="shared" si="40"/>
        <v>...</v>
      </c>
      <c r="AJ205" s="2"/>
      <c r="AK205" s="2"/>
      <c r="AL205" s="2"/>
      <c r="AM205" s="2"/>
      <c r="AN205" s="2"/>
      <c r="AO205" s="2"/>
    </row>
    <row r="206" ht="24.0" customHeight="1">
      <c r="A206" s="4"/>
      <c r="B206" s="30"/>
      <c r="C206" s="5" t="str">
        <f>IFERROR(__xludf.DUMMYFUNCTION("if(B206=0,""..."", sparkline(query(GOOGLEFINANCE(""BCBA:""&amp;B206,""price"",today()-$AM$47,today()),""select Col2"",0),{""charttype"",$AM$46}))"),"...")</f>
        <v>...</v>
      </c>
      <c r="D206" s="17"/>
      <c r="E206" s="31"/>
      <c r="F206" s="7"/>
      <c r="G206" s="8" t="str">
        <f t="shared" si="1"/>
        <v>...</v>
      </c>
      <c r="H206" s="31"/>
      <c r="I206" s="52"/>
      <c r="J206" s="45" t="str">
        <f t="shared" si="2"/>
        <v>...</v>
      </c>
      <c r="K206" s="47" t="str">
        <f t="array" ref="K206">IF(B206=0,"...",J206/VLOOKUP(D206,{CCL!M:N;CCL!$P:$Q},2,FALSE))</f>
        <v>...</v>
      </c>
      <c r="L206" s="45" t="str">
        <f t="shared" si="41"/>
        <v>...</v>
      </c>
      <c r="M206" s="45" t="str">
        <f>if(B206=0,"...",L206*(1-VLOOKUP(A206,Config!$B$3:$C$22,2,FALSE)))</f>
        <v>...</v>
      </c>
      <c r="N206" s="45" t="str">
        <f t="shared" si="3"/>
        <v>...</v>
      </c>
      <c r="O206" s="12" t="str">
        <f>IFERROR(__xludf.DUMMYFUNCTION("if(B206=0,""..."",GOOGLEFINANCE(B206,""changepct"")/100)"),"...")</f>
        <v>...</v>
      </c>
      <c r="P206" s="10" t="str">
        <f>IFERROR(__xludf.DUMMYFUNCTION("if(B206=0,""..."",GOOGLEFINANCE(B206,""change"")*H206)"),"...")</f>
        <v>...</v>
      </c>
      <c r="Q206" s="12" t="str">
        <f t="shared" si="4"/>
        <v>...</v>
      </c>
      <c r="R206" s="47" t="str">
        <f t="shared" si="5"/>
        <v>...</v>
      </c>
      <c r="S206" s="12" t="str">
        <f t="shared" si="36"/>
        <v>...</v>
      </c>
      <c r="T206" s="47" t="str">
        <f>IF(B206=0,"...",(N206/IF(E206="ABIERTA",CCL!$E$2,VLOOKUP(F206,CCL!$A$12:$B$773,2,FALSE))-K206))</f>
        <v>...</v>
      </c>
      <c r="U206" s="2"/>
      <c r="V206" s="10"/>
      <c r="W206" s="10"/>
      <c r="X206" s="59" t="str">
        <f t="shared" si="29"/>
        <v>...</v>
      </c>
      <c r="Y206" s="45" t="str">
        <f>IFERROR(__xludf.DUMMYFUNCTION("IF(W206=0,""..."",GOOGLEFINANCE(""BCBA:""&amp;W206))"),"...")</f>
        <v>...</v>
      </c>
      <c r="Z206" s="12"/>
      <c r="AA206" s="45"/>
      <c r="AB206" s="12" t="str">
        <f t="shared" si="26"/>
        <v/>
      </c>
      <c r="AC206" s="45" t="str">
        <f t="shared" si="37"/>
        <v>...</v>
      </c>
      <c r="AD206" s="45" t="str">
        <f t="shared" si="38"/>
        <v>...</v>
      </c>
      <c r="AE206" s="12" t="str">
        <f t="shared" si="11"/>
        <v>...</v>
      </c>
      <c r="AF206" s="45" t="str">
        <f t="shared" si="39"/>
        <v>...</v>
      </c>
      <c r="AG206" s="45" t="str">
        <f t="shared" si="27"/>
        <v>...</v>
      </c>
      <c r="AH206" s="12" t="str">
        <f t="shared" si="13"/>
        <v>...</v>
      </c>
      <c r="AI206" s="46" t="str">
        <f t="shared" si="40"/>
        <v>...</v>
      </c>
      <c r="AJ206" s="2"/>
      <c r="AK206" s="2"/>
      <c r="AL206" s="2"/>
      <c r="AM206" s="2"/>
      <c r="AN206" s="2"/>
      <c r="AO206" s="2"/>
    </row>
    <row r="207" ht="24.0" customHeight="1">
      <c r="A207" s="4"/>
      <c r="B207" s="30"/>
      <c r="C207" s="5" t="str">
        <f>IFERROR(__xludf.DUMMYFUNCTION("if(B207=0,""..."", sparkline(query(GOOGLEFINANCE(""BCBA:""&amp;B207,""price"",today()-$AM$47,today()),""select Col2"",0),{""charttype"",$AM$46}))"),"...")</f>
        <v>...</v>
      </c>
      <c r="D207" s="17"/>
      <c r="E207" s="31"/>
      <c r="F207" s="7"/>
      <c r="G207" s="8" t="str">
        <f t="shared" si="1"/>
        <v>...</v>
      </c>
      <c r="H207" s="31"/>
      <c r="I207" s="52"/>
      <c r="J207" s="45" t="str">
        <f t="shared" si="2"/>
        <v>...</v>
      </c>
      <c r="K207" s="47" t="str">
        <f t="array" ref="K207">IF(B207=0,"...",J207/VLOOKUP(D207,{CCL!M:N;CCL!$P:$Q},2,FALSE))</f>
        <v>...</v>
      </c>
      <c r="L207" s="45" t="str">
        <f t="shared" si="41"/>
        <v>...</v>
      </c>
      <c r="M207" s="45" t="str">
        <f>if(B207=0,"...",L207*(1-VLOOKUP(A207,Config!$B$3:$C$22,2,FALSE)))</f>
        <v>...</v>
      </c>
      <c r="N207" s="45" t="str">
        <f t="shared" si="3"/>
        <v>...</v>
      </c>
      <c r="O207" s="12" t="str">
        <f>IFERROR(__xludf.DUMMYFUNCTION("if(B207=0,""..."",GOOGLEFINANCE(B207,""changepct"")/100)"),"...")</f>
        <v>...</v>
      </c>
      <c r="P207" s="10" t="str">
        <f>IFERROR(__xludf.DUMMYFUNCTION("if(B207=0,""..."",GOOGLEFINANCE(B207,""change"")*H207)"),"...")</f>
        <v>...</v>
      </c>
      <c r="Q207" s="12" t="str">
        <f t="shared" si="4"/>
        <v>...</v>
      </c>
      <c r="R207" s="47" t="str">
        <f t="shared" si="5"/>
        <v>...</v>
      </c>
      <c r="S207" s="12" t="str">
        <f t="shared" si="36"/>
        <v>...</v>
      </c>
      <c r="T207" s="47" t="str">
        <f>IF(B207=0,"...",(N207/IF(E207="ABIERTA",CCL!$E$2,VLOOKUP(F207,CCL!$A$12:$B$773,2,FALSE))-K207))</f>
        <v>...</v>
      </c>
      <c r="U207" s="2"/>
      <c r="V207" s="10"/>
      <c r="W207" s="10"/>
      <c r="X207" s="59" t="str">
        <f t="shared" si="29"/>
        <v>...</v>
      </c>
      <c r="Y207" s="45" t="str">
        <f>IFERROR(__xludf.DUMMYFUNCTION("IF(W207=0,""..."",GOOGLEFINANCE(""BCBA:""&amp;W207))"),"...")</f>
        <v>...</v>
      </c>
      <c r="Z207" s="12"/>
      <c r="AA207" s="45"/>
      <c r="AB207" s="12" t="str">
        <f t="shared" si="26"/>
        <v/>
      </c>
      <c r="AC207" s="45" t="str">
        <f t="shared" si="37"/>
        <v>...</v>
      </c>
      <c r="AD207" s="45" t="str">
        <f t="shared" si="38"/>
        <v>...</v>
      </c>
      <c r="AE207" s="12" t="str">
        <f t="shared" si="11"/>
        <v>...</v>
      </c>
      <c r="AF207" s="45" t="str">
        <f t="shared" si="39"/>
        <v>...</v>
      </c>
      <c r="AG207" s="45" t="str">
        <f t="shared" si="27"/>
        <v>...</v>
      </c>
      <c r="AH207" s="12" t="str">
        <f t="shared" si="13"/>
        <v>...</v>
      </c>
      <c r="AI207" s="46" t="str">
        <f t="shared" si="40"/>
        <v>...</v>
      </c>
      <c r="AJ207" s="2"/>
      <c r="AK207" s="2"/>
      <c r="AL207" s="2"/>
      <c r="AM207" s="2"/>
      <c r="AN207" s="2"/>
      <c r="AO207" s="2"/>
    </row>
    <row r="208" ht="24.0" customHeight="1">
      <c r="A208" s="4"/>
      <c r="B208" s="30"/>
      <c r="C208" s="5" t="str">
        <f>IFERROR(__xludf.DUMMYFUNCTION("if(B208=0,""..."", sparkline(query(GOOGLEFINANCE(""BCBA:""&amp;B208,""price"",today()-$AM$47,today()),""select Col2"",0),{""charttype"",$AM$46}))"),"...")</f>
        <v>...</v>
      </c>
      <c r="D208" s="17"/>
      <c r="E208" s="31"/>
      <c r="F208" s="7"/>
      <c r="G208" s="8" t="str">
        <f t="shared" si="1"/>
        <v>...</v>
      </c>
      <c r="H208" s="31"/>
      <c r="I208" s="52"/>
      <c r="J208" s="45" t="str">
        <f t="shared" si="2"/>
        <v>...</v>
      </c>
      <c r="K208" s="47" t="str">
        <f t="array" ref="K208">IF(B208=0,"...",J208/VLOOKUP(D208,{CCL!M:N;CCL!$P:$Q},2,FALSE))</f>
        <v>...</v>
      </c>
      <c r="L208" s="45" t="str">
        <f t="shared" si="41"/>
        <v>...</v>
      </c>
      <c r="M208" s="45" t="str">
        <f>if(B208=0,"...",L208*(1-VLOOKUP(A208,Config!$B$3:$C$22,2,FALSE)))</f>
        <v>...</v>
      </c>
      <c r="N208" s="45" t="str">
        <f t="shared" si="3"/>
        <v>...</v>
      </c>
      <c r="O208" s="12" t="str">
        <f>IFERROR(__xludf.DUMMYFUNCTION("if(B208=0,""..."",GOOGLEFINANCE(B208,""changepct"")/100)"),"...")</f>
        <v>...</v>
      </c>
      <c r="P208" s="10" t="str">
        <f>IFERROR(__xludf.DUMMYFUNCTION("if(B208=0,""..."",GOOGLEFINANCE(B208,""change"")*H208)"),"...")</f>
        <v>...</v>
      </c>
      <c r="Q208" s="12" t="str">
        <f t="shared" si="4"/>
        <v>...</v>
      </c>
      <c r="R208" s="47" t="str">
        <f t="shared" si="5"/>
        <v>...</v>
      </c>
      <c r="S208" s="12" t="str">
        <f t="shared" si="36"/>
        <v>...</v>
      </c>
      <c r="T208" s="47" t="str">
        <f>IF(B208=0,"...",(N208/IF(E208="ABIERTA",CCL!$E$2,VLOOKUP(F208,CCL!$A$12:$B$773,2,FALSE))-K208))</f>
        <v>...</v>
      </c>
      <c r="U208" s="2"/>
      <c r="V208" s="10"/>
      <c r="W208" s="10"/>
      <c r="X208" s="59" t="str">
        <f t="shared" si="29"/>
        <v>...</v>
      </c>
      <c r="Y208" s="45" t="str">
        <f>IFERROR(__xludf.DUMMYFUNCTION("IF(W208=0,""..."",GOOGLEFINANCE(""BCBA:""&amp;W208))"),"...")</f>
        <v>...</v>
      </c>
      <c r="Z208" s="12"/>
      <c r="AA208" s="45"/>
      <c r="AB208" s="12" t="str">
        <f t="shared" si="26"/>
        <v/>
      </c>
      <c r="AC208" s="45" t="str">
        <f t="shared" si="37"/>
        <v>...</v>
      </c>
      <c r="AD208" s="45" t="str">
        <f t="shared" si="38"/>
        <v>...</v>
      </c>
      <c r="AE208" s="12" t="str">
        <f t="shared" si="11"/>
        <v>...</v>
      </c>
      <c r="AF208" s="45" t="str">
        <f t="shared" si="39"/>
        <v>...</v>
      </c>
      <c r="AG208" s="45" t="str">
        <f t="shared" si="27"/>
        <v>...</v>
      </c>
      <c r="AH208" s="12" t="str">
        <f t="shared" si="13"/>
        <v>...</v>
      </c>
      <c r="AI208" s="46" t="str">
        <f t="shared" si="40"/>
        <v>...</v>
      </c>
      <c r="AJ208" s="2"/>
      <c r="AK208" s="2"/>
      <c r="AL208" s="2"/>
      <c r="AM208" s="2"/>
      <c r="AN208" s="2"/>
      <c r="AO208" s="2"/>
    </row>
    <row r="209" ht="24.0" customHeight="1">
      <c r="A209" s="4"/>
      <c r="B209" s="30"/>
      <c r="C209" s="5" t="str">
        <f>IFERROR(__xludf.DUMMYFUNCTION("if(B209=0,""..."", sparkline(query(GOOGLEFINANCE(""BCBA:""&amp;B209,""price"",today()-$AM$47,today()),""select Col2"",0),{""charttype"",$AM$46}))"),"...")</f>
        <v>...</v>
      </c>
      <c r="D209" s="17"/>
      <c r="E209" s="31"/>
      <c r="F209" s="7"/>
      <c r="G209" s="8" t="str">
        <f t="shared" si="1"/>
        <v>...</v>
      </c>
      <c r="H209" s="31"/>
      <c r="I209" s="52"/>
      <c r="J209" s="45" t="str">
        <f t="shared" si="2"/>
        <v>...</v>
      </c>
      <c r="K209" s="47" t="str">
        <f t="array" ref="K209">IF(B209=0,"...",J209/VLOOKUP(D209,{CCL!M:N;CCL!$P:$Q},2,FALSE))</f>
        <v>...</v>
      </c>
      <c r="L209" s="45" t="str">
        <f t="shared" si="41"/>
        <v>...</v>
      </c>
      <c r="M209" s="45" t="str">
        <f>if(B209=0,"...",L209*(1-VLOOKUP(A209,Config!$B$3:$C$22,2,FALSE)))</f>
        <v>...</v>
      </c>
      <c r="N209" s="45" t="str">
        <f t="shared" si="3"/>
        <v>...</v>
      </c>
      <c r="O209" s="12" t="str">
        <f>IFERROR(__xludf.DUMMYFUNCTION("if(B209=0,""..."",GOOGLEFINANCE(B209,""changepct"")/100)"),"...")</f>
        <v>...</v>
      </c>
      <c r="P209" s="10" t="str">
        <f>IFERROR(__xludf.DUMMYFUNCTION("if(B209=0,""..."",GOOGLEFINANCE(B209,""change"")*H209)"),"...")</f>
        <v>...</v>
      </c>
      <c r="Q209" s="12" t="str">
        <f t="shared" si="4"/>
        <v>...</v>
      </c>
      <c r="R209" s="47" t="str">
        <f t="shared" si="5"/>
        <v>...</v>
      </c>
      <c r="S209" s="12" t="str">
        <f t="shared" si="36"/>
        <v>...</v>
      </c>
      <c r="T209" s="47" t="str">
        <f>IF(B209=0,"...",(N209/IF(E209="ABIERTA",CCL!$E$2,VLOOKUP(F209,CCL!$A$12:$B$773,2,FALSE))-K209))</f>
        <v>...</v>
      </c>
      <c r="U209" s="2"/>
      <c r="V209" s="10"/>
      <c r="W209" s="10"/>
      <c r="X209" s="59" t="str">
        <f t="shared" si="29"/>
        <v>...</v>
      </c>
      <c r="Y209" s="45" t="str">
        <f>IFERROR(__xludf.DUMMYFUNCTION("IF(W209=0,""..."",GOOGLEFINANCE(""BCBA:""&amp;W209))"),"...")</f>
        <v>...</v>
      </c>
      <c r="Z209" s="12"/>
      <c r="AA209" s="45"/>
      <c r="AB209" s="12" t="str">
        <f t="shared" si="26"/>
        <v/>
      </c>
      <c r="AC209" s="45" t="str">
        <f t="shared" si="37"/>
        <v>...</v>
      </c>
      <c r="AD209" s="45" t="str">
        <f t="shared" si="38"/>
        <v>...</v>
      </c>
      <c r="AE209" s="12" t="str">
        <f t="shared" si="11"/>
        <v>...</v>
      </c>
      <c r="AF209" s="45" t="str">
        <f t="shared" si="39"/>
        <v>...</v>
      </c>
      <c r="AG209" s="45" t="str">
        <f t="shared" si="27"/>
        <v>...</v>
      </c>
      <c r="AH209" s="12" t="str">
        <f t="shared" si="13"/>
        <v>...</v>
      </c>
      <c r="AI209" s="46" t="str">
        <f t="shared" si="40"/>
        <v>...</v>
      </c>
      <c r="AJ209" s="2"/>
      <c r="AK209" s="2"/>
      <c r="AL209" s="2"/>
      <c r="AM209" s="2"/>
      <c r="AN209" s="2"/>
      <c r="AO209" s="2"/>
    </row>
    <row r="210" ht="24.0" customHeight="1">
      <c r="A210" s="4"/>
      <c r="B210" s="30"/>
      <c r="C210" s="5" t="str">
        <f>IFERROR(__xludf.DUMMYFUNCTION("if(B210=0,""..."", sparkline(query(GOOGLEFINANCE(""BCBA:""&amp;B210,""price"",today()-$AM$47,today()),""select Col2"",0),{""charttype"",$AM$46}))"),"...")</f>
        <v>...</v>
      </c>
      <c r="D210" s="17"/>
      <c r="E210" s="31"/>
      <c r="F210" s="7"/>
      <c r="G210" s="8" t="str">
        <f t="shared" si="1"/>
        <v>...</v>
      </c>
      <c r="H210" s="31"/>
      <c r="I210" s="52"/>
      <c r="J210" s="45" t="str">
        <f t="shared" si="2"/>
        <v>...</v>
      </c>
      <c r="K210" s="47" t="str">
        <f t="array" ref="K210">IF(B210=0,"...",J210/VLOOKUP(D210,{CCL!M:N;CCL!$P:$Q},2,FALSE))</f>
        <v>...</v>
      </c>
      <c r="L210" s="45" t="str">
        <f t="shared" si="41"/>
        <v>...</v>
      </c>
      <c r="M210" s="45" t="str">
        <f>if(B210=0,"...",L210*(1-VLOOKUP(A210,Config!$B$3:$C$22,2,FALSE)))</f>
        <v>...</v>
      </c>
      <c r="N210" s="45" t="str">
        <f t="shared" si="3"/>
        <v>...</v>
      </c>
      <c r="O210" s="12" t="str">
        <f>IFERROR(__xludf.DUMMYFUNCTION("if(B210=0,""..."",GOOGLEFINANCE(B210,""changepct"")/100)"),"...")</f>
        <v>...</v>
      </c>
      <c r="P210" s="10" t="str">
        <f>IFERROR(__xludf.DUMMYFUNCTION("if(B210=0,""..."",GOOGLEFINANCE(B210,""change"")*H210)"),"...")</f>
        <v>...</v>
      </c>
      <c r="Q210" s="12" t="str">
        <f t="shared" si="4"/>
        <v>...</v>
      </c>
      <c r="R210" s="47" t="str">
        <f t="shared" si="5"/>
        <v>...</v>
      </c>
      <c r="S210" s="12" t="str">
        <f t="shared" si="36"/>
        <v>...</v>
      </c>
      <c r="T210" s="47" t="str">
        <f>IF(B210=0,"...",(N210/IF(E210="ABIERTA",CCL!$E$2,VLOOKUP(F210,CCL!$A$12:$B$773,2,FALSE))-K210))</f>
        <v>...</v>
      </c>
      <c r="U210" s="2"/>
      <c r="V210" s="10"/>
      <c r="W210" s="10"/>
      <c r="X210" s="59" t="str">
        <f t="shared" si="29"/>
        <v>...</v>
      </c>
      <c r="Y210" s="45" t="str">
        <f>IFERROR(__xludf.DUMMYFUNCTION("IF(W210=0,""..."",GOOGLEFINANCE(""BCBA:""&amp;W210))"),"...")</f>
        <v>...</v>
      </c>
      <c r="Z210" s="12"/>
      <c r="AA210" s="45"/>
      <c r="AB210" s="12" t="str">
        <f t="shared" si="26"/>
        <v/>
      </c>
      <c r="AC210" s="45" t="str">
        <f t="shared" si="37"/>
        <v>...</v>
      </c>
      <c r="AD210" s="45" t="str">
        <f t="shared" si="38"/>
        <v>...</v>
      </c>
      <c r="AE210" s="12" t="str">
        <f t="shared" si="11"/>
        <v>...</v>
      </c>
      <c r="AF210" s="45" t="str">
        <f t="shared" si="39"/>
        <v>...</v>
      </c>
      <c r="AG210" s="45" t="str">
        <f t="shared" si="27"/>
        <v>...</v>
      </c>
      <c r="AH210" s="12" t="str">
        <f t="shared" si="13"/>
        <v>...</v>
      </c>
      <c r="AI210" s="46" t="str">
        <f t="shared" si="40"/>
        <v>...</v>
      </c>
      <c r="AJ210" s="2"/>
      <c r="AK210" s="2"/>
      <c r="AL210" s="2"/>
      <c r="AM210" s="2"/>
      <c r="AN210" s="2"/>
      <c r="AO210" s="2"/>
    </row>
    <row r="211" ht="24.0" customHeight="1">
      <c r="A211" s="4"/>
      <c r="B211" s="30"/>
      <c r="C211" s="5" t="str">
        <f>IFERROR(__xludf.DUMMYFUNCTION("if(B211=0,""..."", sparkline(query(GOOGLEFINANCE(""BCBA:""&amp;B211,""price"",today()-$AM$47,today()),""select Col2"",0),{""charttype"",$AM$46}))"),"...")</f>
        <v>...</v>
      </c>
      <c r="D211" s="17"/>
      <c r="E211" s="31"/>
      <c r="F211" s="7"/>
      <c r="G211" s="8" t="str">
        <f t="shared" si="1"/>
        <v>...</v>
      </c>
      <c r="H211" s="31"/>
      <c r="I211" s="52"/>
      <c r="J211" s="45" t="str">
        <f t="shared" si="2"/>
        <v>...</v>
      </c>
      <c r="K211" s="47" t="str">
        <f t="array" ref="K211">IF(B211=0,"...",J211/VLOOKUP(D211,{CCL!M:N;CCL!$P:$Q},2,FALSE))</f>
        <v>...</v>
      </c>
      <c r="L211" s="45" t="str">
        <f t="shared" si="41"/>
        <v>...</v>
      </c>
      <c r="M211" s="45" t="str">
        <f>if(B211=0,"...",L211*(1-VLOOKUP(A211,Config!$B$3:$C$22,2,FALSE)))</f>
        <v>...</v>
      </c>
      <c r="N211" s="45" t="str">
        <f t="shared" si="3"/>
        <v>...</v>
      </c>
      <c r="O211" s="12" t="str">
        <f>IFERROR(__xludf.DUMMYFUNCTION("if(B211=0,""..."",GOOGLEFINANCE(B211,""changepct"")/100)"),"...")</f>
        <v>...</v>
      </c>
      <c r="P211" s="10" t="str">
        <f>IFERROR(__xludf.DUMMYFUNCTION("if(B211=0,""..."",GOOGLEFINANCE(B211,""change"")*H211)"),"...")</f>
        <v>...</v>
      </c>
      <c r="Q211" s="12" t="str">
        <f t="shared" si="4"/>
        <v>...</v>
      </c>
      <c r="R211" s="47" t="str">
        <f t="shared" si="5"/>
        <v>...</v>
      </c>
      <c r="S211" s="12" t="str">
        <f t="shared" si="36"/>
        <v>...</v>
      </c>
      <c r="T211" s="47" t="str">
        <f>IF(B211=0,"...",(N211/IF(E211="ABIERTA",CCL!$E$2,VLOOKUP(F211,CCL!$A$12:$B$773,2,FALSE))-K211))</f>
        <v>...</v>
      </c>
      <c r="U211" s="2"/>
      <c r="V211" s="10"/>
      <c r="W211" s="10"/>
      <c r="X211" s="59" t="str">
        <f t="shared" si="29"/>
        <v>...</v>
      </c>
      <c r="Y211" s="45" t="str">
        <f>IFERROR(__xludf.DUMMYFUNCTION("IF(W211=0,""..."",GOOGLEFINANCE(""BCBA:""&amp;W211))"),"...")</f>
        <v>...</v>
      </c>
      <c r="Z211" s="12"/>
      <c r="AA211" s="45"/>
      <c r="AB211" s="12" t="str">
        <f t="shared" si="26"/>
        <v/>
      </c>
      <c r="AC211" s="45" t="str">
        <f t="shared" si="37"/>
        <v>...</v>
      </c>
      <c r="AD211" s="45" t="str">
        <f t="shared" si="38"/>
        <v>...</v>
      </c>
      <c r="AE211" s="12" t="str">
        <f t="shared" si="11"/>
        <v>...</v>
      </c>
      <c r="AF211" s="45" t="str">
        <f t="shared" si="39"/>
        <v>...</v>
      </c>
      <c r="AG211" s="45" t="str">
        <f t="shared" si="27"/>
        <v>...</v>
      </c>
      <c r="AH211" s="12" t="str">
        <f t="shared" si="13"/>
        <v>...</v>
      </c>
      <c r="AI211" s="46" t="str">
        <f t="shared" si="40"/>
        <v>...</v>
      </c>
      <c r="AJ211" s="2"/>
      <c r="AK211" s="2"/>
      <c r="AL211" s="2"/>
      <c r="AM211" s="2"/>
      <c r="AN211" s="2"/>
      <c r="AO211" s="2"/>
    </row>
    <row r="212" ht="24.0" customHeight="1">
      <c r="A212" s="4"/>
      <c r="B212" s="30"/>
      <c r="C212" s="5" t="str">
        <f>IFERROR(__xludf.DUMMYFUNCTION("if(B212=0,""..."", sparkline(query(GOOGLEFINANCE(""BCBA:""&amp;B212,""price"",today()-$AM$47,today()),""select Col2"",0),{""charttype"",$AM$46}))"),"...")</f>
        <v>...</v>
      </c>
      <c r="D212" s="17"/>
      <c r="E212" s="31"/>
      <c r="F212" s="7"/>
      <c r="G212" s="8" t="str">
        <f t="shared" si="1"/>
        <v>...</v>
      </c>
      <c r="H212" s="31"/>
      <c r="I212" s="52"/>
      <c r="J212" s="45" t="str">
        <f t="shared" si="2"/>
        <v>...</v>
      </c>
      <c r="K212" s="47" t="str">
        <f t="array" ref="K212">IF(B212=0,"...",J212/VLOOKUP(D212,{CCL!M:N;CCL!$P:$Q},2,FALSE))</f>
        <v>...</v>
      </c>
      <c r="L212" s="45" t="str">
        <f t="shared" si="41"/>
        <v>...</v>
      </c>
      <c r="M212" s="45" t="str">
        <f>if(B212=0,"...",L212*(1-VLOOKUP(A212,Config!$B$3:$C$22,2,FALSE)))</f>
        <v>...</v>
      </c>
      <c r="N212" s="45" t="str">
        <f t="shared" si="3"/>
        <v>...</v>
      </c>
      <c r="O212" s="12" t="str">
        <f>IFERROR(__xludf.DUMMYFUNCTION("if(B212=0,""..."",GOOGLEFINANCE(B212,""changepct"")/100)"),"...")</f>
        <v>...</v>
      </c>
      <c r="P212" s="10" t="str">
        <f>IFERROR(__xludf.DUMMYFUNCTION("if(B212=0,""..."",GOOGLEFINANCE(B212,""change"")*H212)"),"...")</f>
        <v>...</v>
      </c>
      <c r="Q212" s="12" t="str">
        <f t="shared" si="4"/>
        <v>...</v>
      </c>
      <c r="R212" s="47" t="str">
        <f t="shared" si="5"/>
        <v>...</v>
      </c>
      <c r="S212" s="12" t="str">
        <f t="shared" si="36"/>
        <v>...</v>
      </c>
      <c r="T212" s="47" t="str">
        <f>IF(B212=0,"...",(N212/IF(E212="ABIERTA",CCL!$E$2,VLOOKUP(F212,CCL!$A$12:$B$773,2,FALSE))-K212))</f>
        <v>...</v>
      </c>
      <c r="U212" s="2"/>
      <c r="V212" s="10"/>
      <c r="W212" s="10"/>
      <c r="X212" s="59" t="str">
        <f t="shared" si="29"/>
        <v>...</v>
      </c>
      <c r="Y212" s="45" t="str">
        <f>IFERROR(__xludf.DUMMYFUNCTION("IF(W212=0,""..."",GOOGLEFINANCE(""BCBA:""&amp;W212))"),"...")</f>
        <v>...</v>
      </c>
      <c r="Z212" s="12"/>
      <c r="AA212" s="45"/>
      <c r="AB212" s="12" t="str">
        <f t="shared" si="26"/>
        <v/>
      </c>
      <c r="AC212" s="45" t="str">
        <f t="shared" si="37"/>
        <v>...</v>
      </c>
      <c r="AD212" s="45" t="str">
        <f t="shared" si="38"/>
        <v>...</v>
      </c>
      <c r="AE212" s="12" t="str">
        <f t="shared" si="11"/>
        <v>...</v>
      </c>
      <c r="AF212" s="45" t="str">
        <f t="shared" si="39"/>
        <v>...</v>
      </c>
      <c r="AG212" s="45" t="str">
        <f t="shared" si="27"/>
        <v>...</v>
      </c>
      <c r="AH212" s="12" t="str">
        <f t="shared" si="13"/>
        <v>...</v>
      </c>
      <c r="AI212" s="46" t="str">
        <f t="shared" si="40"/>
        <v>...</v>
      </c>
      <c r="AJ212" s="2"/>
      <c r="AK212" s="2"/>
      <c r="AL212" s="2"/>
      <c r="AM212" s="2"/>
      <c r="AN212" s="2"/>
      <c r="AO212" s="2"/>
    </row>
    <row r="213" ht="24.0" customHeight="1">
      <c r="A213" s="4"/>
      <c r="B213" s="30"/>
      <c r="C213" s="5" t="str">
        <f>IFERROR(__xludf.DUMMYFUNCTION("if(B213=0,""..."", sparkline(query(GOOGLEFINANCE(""BCBA:""&amp;B213,""price"",today()-$AM$47,today()),""select Col2"",0),{""charttype"",$AM$46}))"),"...")</f>
        <v>...</v>
      </c>
      <c r="D213" s="17"/>
      <c r="E213" s="31"/>
      <c r="F213" s="7"/>
      <c r="G213" s="8" t="str">
        <f t="shared" si="1"/>
        <v>...</v>
      </c>
      <c r="H213" s="31"/>
      <c r="I213" s="52"/>
      <c r="J213" s="45" t="str">
        <f t="shared" si="2"/>
        <v>...</v>
      </c>
      <c r="K213" s="47" t="str">
        <f t="array" ref="K213">IF(B213=0,"...",J213/VLOOKUP(D213,{CCL!M:N;CCL!$P:$Q},2,FALSE))</f>
        <v>...</v>
      </c>
      <c r="L213" s="45" t="str">
        <f t="shared" si="41"/>
        <v>...</v>
      </c>
      <c r="M213" s="45" t="str">
        <f>if(B213=0,"...",L213*(1-VLOOKUP(A213,Config!$B$3:$C$22,2,FALSE)))</f>
        <v>...</v>
      </c>
      <c r="N213" s="45" t="str">
        <f t="shared" si="3"/>
        <v>...</v>
      </c>
      <c r="O213" s="12" t="str">
        <f>IFERROR(__xludf.DUMMYFUNCTION("if(B213=0,""..."",GOOGLEFINANCE(B213,""changepct"")/100)"),"...")</f>
        <v>...</v>
      </c>
      <c r="P213" s="10" t="str">
        <f>IFERROR(__xludf.DUMMYFUNCTION("if(B213=0,""..."",GOOGLEFINANCE(B213,""change"")*H213)"),"...")</f>
        <v>...</v>
      </c>
      <c r="Q213" s="12" t="str">
        <f t="shared" si="4"/>
        <v>...</v>
      </c>
      <c r="R213" s="47" t="str">
        <f t="shared" si="5"/>
        <v>...</v>
      </c>
      <c r="S213" s="12" t="str">
        <f t="shared" si="36"/>
        <v>...</v>
      </c>
      <c r="T213" s="47" t="str">
        <f>IF(B213=0,"...",(N213/IF(E213="ABIERTA",CCL!$E$2,VLOOKUP(F213,CCL!$A$12:$B$773,2,FALSE))-K213))</f>
        <v>...</v>
      </c>
      <c r="U213" s="2"/>
      <c r="V213" s="10"/>
      <c r="W213" s="10"/>
      <c r="X213" s="59" t="str">
        <f t="shared" si="29"/>
        <v>...</v>
      </c>
      <c r="Y213" s="45" t="str">
        <f>IFERROR(__xludf.DUMMYFUNCTION("IF(W213=0,""..."",GOOGLEFINANCE(""BCBA:""&amp;W213))"),"...")</f>
        <v>...</v>
      </c>
      <c r="Z213" s="12"/>
      <c r="AA213" s="45"/>
      <c r="AB213" s="12" t="str">
        <f t="shared" si="26"/>
        <v/>
      </c>
      <c r="AC213" s="45" t="str">
        <f t="shared" si="37"/>
        <v>...</v>
      </c>
      <c r="AD213" s="45" t="str">
        <f t="shared" si="38"/>
        <v>...</v>
      </c>
      <c r="AE213" s="12" t="str">
        <f t="shared" si="11"/>
        <v>...</v>
      </c>
      <c r="AF213" s="45" t="str">
        <f t="shared" si="39"/>
        <v>...</v>
      </c>
      <c r="AG213" s="45" t="str">
        <f t="shared" si="27"/>
        <v>...</v>
      </c>
      <c r="AH213" s="12" t="str">
        <f t="shared" si="13"/>
        <v>...</v>
      </c>
      <c r="AI213" s="46" t="str">
        <f t="shared" si="40"/>
        <v>...</v>
      </c>
      <c r="AJ213" s="2"/>
      <c r="AK213" s="2"/>
      <c r="AL213" s="2"/>
      <c r="AM213" s="2"/>
      <c r="AN213" s="2"/>
      <c r="AO213" s="2"/>
    </row>
    <row r="214" ht="24.0" customHeight="1">
      <c r="A214" s="4"/>
      <c r="B214" s="30"/>
      <c r="C214" s="5" t="str">
        <f>IFERROR(__xludf.DUMMYFUNCTION("if(B214=0,""..."", sparkline(query(GOOGLEFINANCE(""BCBA:""&amp;B214,""price"",today()-$AM$47,today()),""select Col2"",0),{""charttype"",$AM$46}))"),"...")</f>
        <v>...</v>
      </c>
      <c r="D214" s="17"/>
      <c r="E214" s="31"/>
      <c r="F214" s="7"/>
      <c r="G214" s="8" t="str">
        <f t="shared" si="1"/>
        <v>...</v>
      </c>
      <c r="H214" s="31"/>
      <c r="I214" s="52"/>
      <c r="J214" s="45" t="str">
        <f t="shared" si="2"/>
        <v>...</v>
      </c>
      <c r="K214" s="47" t="str">
        <f t="array" ref="K214">IF(B214=0,"...",J214/VLOOKUP(D214,{CCL!M:N;CCL!$P:$Q},2,FALSE))</f>
        <v>...</v>
      </c>
      <c r="L214" s="45" t="str">
        <f t="shared" si="41"/>
        <v>...</v>
      </c>
      <c r="M214" s="45" t="str">
        <f>if(B214=0,"...",L214*(1-VLOOKUP(A214,Config!$B$3:$C$22,2,FALSE)))</f>
        <v>...</v>
      </c>
      <c r="N214" s="45" t="str">
        <f t="shared" si="3"/>
        <v>...</v>
      </c>
      <c r="O214" s="12" t="str">
        <f>IFERROR(__xludf.DUMMYFUNCTION("if(B214=0,""..."",GOOGLEFINANCE(B214,""changepct"")/100)"),"...")</f>
        <v>...</v>
      </c>
      <c r="P214" s="10" t="str">
        <f>IFERROR(__xludf.DUMMYFUNCTION("if(B214=0,""..."",GOOGLEFINANCE(B214,""change"")*H214)"),"...")</f>
        <v>...</v>
      </c>
      <c r="Q214" s="12" t="str">
        <f t="shared" si="4"/>
        <v>...</v>
      </c>
      <c r="R214" s="47" t="str">
        <f t="shared" si="5"/>
        <v>...</v>
      </c>
      <c r="S214" s="12" t="str">
        <f t="shared" si="36"/>
        <v>...</v>
      </c>
      <c r="T214" s="47" t="str">
        <f>IF(B214=0,"...",(N214/IF(E214="ABIERTA",CCL!$E$2,VLOOKUP(F214,CCL!$A$12:$B$773,2,FALSE))-K214))</f>
        <v>...</v>
      </c>
      <c r="U214" s="2"/>
      <c r="V214" s="10"/>
      <c r="W214" s="10"/>
      <c r="X214" s="59" t="str">
        <f t="shared" si="29"/>
        <v>...</v>
      </c>
      <c r="Y214" s="45" t="str">
        <f>IFERROR(__xludf.DUMMYFUNCTION("IF(W214=0,""..."",GOOGLEFINANCE(""BCBA:""&amp;W214))"),"...")</f>
        <v>...</v>
      </c>
      <c r="Z214" s="12"/>
      <c r="AA214" s="45"/>
      <c r="AB214" s="12" t="str">
        <f t="shared" si="26"/>
        <v/>
      </c>
      <c r="AC214" s="45" t="str">
        <f t="shared" si="37"/>
        <v>...</v>
      </c>
      <c r="AD214" s="45" t="str">
        <f t="shared" si="38"/>
        <v>...</v>
      </c>
      <c r="AE214" s="12" t="str">
        <f t="shared" si="11"/>
        <v>...</v>
      </c>
      <c r="AF214" s="45" t="str">
        <f t="shared" si="39"/>
        <v>...</v>
      </c>
      <c r="AG214" s="45" t="str">
        <f t="shared" si="27"/>
        <v>...</v>
      </c>
      <c r="AH214" s="12" t="str">
        <f t="shared" si="13"/>
        <v>...</v>
      </c>
      <c r="AI214" s="46" t="str">
        <f t="shared" si="40"/>
        <v>...</v>
      </c>
      <c r="AJ214" s="2"/>
      <c r="AK214" s="2"/>
      <c r="AL214" s="2"/>
      <c r="AM214" s="2"/>
      <c r="AN214" s="2"/>
      <c r="AO214" s="2"/>
    </row>
    <row r="215" ht="24.0" customHeight="1">
      <c r="A215" s="4"/>
      <c r="B215" s="30"/>
      <c r="C215" s="5" t="str">
        <f>IFERROR(__xludf.DUMMYFUNCTION("if(B215=0,""..."", sparkline(query(GOOGLEFINANCE(""BCBA:""&amp;B215,""price"",today()-$AM$47,today()),""select Col2"",0),{""charttype"",$AM$46}))"),"...")</f>
        <v>...</v>
      </c>
      <c r="D215" s="17"/>
      <c r="E215" s="31"/>
      <c r="F215" s="7"/>
      <c r="G215" s="8" t="str">
        <f t="shared" si="1"/>
        <v>...</v>
      </c>
      <c r="H215" s="31"/>
      <c r="I215" s="52"/>
      <c r="J215" s="45" t="str">
        <f t="shared" si="2"/>
        <v>...</v>
      </c>
      <c r="K215" s="47" t="str">
        <f t="array" ref="K215">IF(B215=0,"...",J215/VLOOKUP(D215,{CCL!M:N;CCL!$P:$Q},2,FALSE))</f>
        <v>...</v>
      </c>
      <c r="L215" s="45" t="str">
        <f t="shared" si="41"/>
        <v>...</v>
      </c>
      <c r="M215" s="45" t="str">
        <f>if(B215=0,"...",L215*(1-VLOOKUP(A215,Config!$B$3:$C$22,2,FALSE)))</f>
        <v>...</v>
      </c>
      <c r="N215" s="45" t="str">
        <f t="shared" si="3"/>
        <v>...</v>
      </c>
      <c r="O215" s="12" t="str">
        <f>IFERROR(__xludf.DUMMYFUNCTION("if(B215=0,""..."",GOOGLEFINANCE(B215,""changepct"")/100)"),"...")</f>
        <v>...</v>
      </c>
      <c r="P215" s="10" t="str">
        <f>IFERROR(__xludf.DUMMYFUNCTION("if(B215=0,""..."",GOOGLEFINANCE(B215,""change"")*H215)"),"...")</f>
        <v>...</v>
      </c>
      <c r="Q215" s="12" t="str">
        <f t="shared" si="4"/>
        <v>...</v>
      </c>
      <c r="R215" s="47" t="str">
        <f t="shared" si="5"/>
        <v>...</v>
      </c>
      <c r="S215" s="12" t="str">
        <f t="shared" si="36"/>
        <v>...</v>
      </c>
      <c r="T215" s="47" t="str">
        <f>IF(B215=0,"...",(N215/IF(E215="ABIERTA",CCL!$E$2,VLOOKUP(F215,CCL!$A$12:$B$773,2,FALSE))-K215))</f>
        <v>...</v>
      </c>
      <c r="U215" s="2"/>
      <c r="V215" s="10"/>
      <c r="W215" s="10"/>
      <c r="X215" s="59" t="str">
        <f t="shared" si="29"/>
        <v>...</v>
      </c>
      <c r="Y215" s="45" t="str">
        <f>IFERROR(__xludf.DUMMYFUNCTION("IF(W215=0,""..."",GOOGLEFINANCE(""BCBA:""&amp;W215))"),"...")</f>
        <v>...</v>
      </c>
      <c r="Z215" s="12"/>
      <c r="AA215" s="45"/>
      <c r="AB215" s="12" t="str">
        <f t="shared" si="26"/>
        <v/>
      </c>
      <c r="AC215" s="45" t="str">
        <f t="shared" si="37"/>
        <v>...</v>
      </c>
      <c r="AD215" s="45" t="str">
        <f t="shared" si="38"/>
        <v>...</v>
      </c>
      <c r="AE215" s="12" t="str">
        <f t="shared" si="11"/>
        <v>...</v>
      </c>
      <c r="AF215" s="45" t="str">
        <f t="shared" si="39"/>
        <v>...</v>
      </c>
      <c r="AG215" s="45" t="str">
        <f t="shared" si="27"/>
        <v>...</v>
      </c>
      <c r="AH215" s="12" t="str">
        <f t="shared" si="13"/>
        <v>...</v>
      </c>
      <c r="AI215" s="46" t="str">
        <f t="shared" si="40"/>
        <v>...</v>
      </c>
      <c r="AJ215" s="2"/>
      <c r="AK215" s="2"/>
      <c r="AL215" s="2"/>
      <c r="AM215" s="2"/>
      <c r="AN215" s="2"/>
      <c r="AO215" s="2"/>
    </row>
    <row r="216" ht="24.0" customHeight="1">
      <c r="A216" s="4"/>
      <c r="B216" s="30"/>
      <c r="C216" s="5" t="str">
        <f>IFERROR(__xludf.DUMMYFUNCTION("if(B216=0,""..."", sparkline(query(GOOGLEFINANCE(""BCBA:""&amp;B216,""price"",today()-$AM$47,today()),""select Col2"",0),{""charttype"",$AM$46}))"),"...")</f>
        <v>...</v>
      </c>
      <c r="D216" s="17"/>
      <c r="E216" s="31"/>
      <c r="F216" s="7"/>
      <c r="G216" s="8" t="str">
        <f t="shared" si="1"/>
        <v>...</v>
      </c>
      <c r="H216" s="31"/>
      <c r="I216" s="52"/>
      <c r="J216" s="45" t="str">
        <f t="shared" si="2"/>
        <v>...</v>
      </c>
      <c r="K216" s="47" t="str">
        <f t="array" ref="K216">IF(B216=0,"...",J216/VLOOKUP(D216,{CCL!M:N;CCL!$P:$Q},2,FALSE))</f>
        <v>...</v>
      </c>
      <c r="L216" s="45" t="str">
        <f t="shared" si="41"/>
        <v>...</v>
      </c>
      <c r="M216" s="45" t="str">
        <f>if(B216=0,"...",L216*(1-VLOOKUP(A216,Config!$B$3:$C$22,2,FALSE)))</f>
        <v>...</v>
      </c>
      <c r="N216" s="45" t="str">
        <f t="shared" si="3"/>
        <v>...</v>
      </c>
      <c r="O216" s="12" t="str">
        <f>IFERROR(__xludf.DUMMYFUNCTION("if(B216=0,""..."",GOOGLEFINANCE(B216,""changepct"")/100)"),"...")</f>
        <v>...</v>
      </c>
      <c r="P216" s="10" t="str">
        <f>IFERROR(__xludf.DUMMYFUNCTION("if(B216=0,""..."",GOOGLEFINANCE(B216,""change"")*H216)"),"...")</f>
        <v>...</v>
      </c>
      <c r="Q216" s="12" t="str">
        <f t="shared" si="4"/>
        <v>...</v>
      </c>
      <c r="R216" s="47" t="str">
        <f t="shared" si="5"/>
        <v>...</v>
      </c>
      <c r="S216" s="12" t="str">
        <f t="shared" si="36"/>
        <v>...</v>
      </c>
      <c r="T216" s="47" t="str">
        <f>IF(B216=0,"...",(N216/IF(E216="ABIERTA",CCL!$E$2,VLOOKUP(F216,CCL!$A$12:$B$773,2,FALSE))-K216))</f>
        <v>...</v>
      </c>
      <c r="U216" s="2"/>
      <c r="V216" s="10"/>
      <c r="W216" s="10"/>
      <c r="X216" s="59" t="str">
        <f t="shared" si="29"/>
        <v>...</v>
      </c>
      <c r="Y216" s="45" t="str">
        <f>IFERROR(__xludf.DUMMYFUNCTION("IF(W216=0,""..."",GOOGLEFINANCE(""BCBA:""&amp;W216))"),"...")</f>
        <v>...</v>
      </c>
      <c r="Z216" s="12"/>
      <c r="AA216" s="45"/>
      <c r="AB216" s="12" t="str">
        <f t="shared" si="26"/>
        <v/>
      </c>
      <c r="AC216" s="45" t="str">
        <f t="shared" si="37"/>
        <v>...</v>
      </c>
      <c r="AD216" s="45" t="str">
        <f t="shared" si="38"/>
        <v>...</v>
      </c>
      <c r="AE216" s="12" t="str">
        <f t="shared" si="11"/>
        <v>...</v>
      </c>
      <c r="AF216" s="45" t="str">
        <f t="shared" si="39"/>
        <v>...</v>
      </c>
      <c r="AG216" s="45" t="str">
        <f t="shared" si="27"/>
        <v>...</v>
      </c>
      <c r="AH216" s="12" t="str">
        <f t="shared" si="13"/>
        <v>...</v>
      </c>
      <c r="AI216" s="46" t="str">
        <f t="shared" si="40"/>
        <v>...</v>
      </c>
      <c r="AJ216" s="2"/>
      <c r="AK216" s="2"/>
      <c r="AL216" s="2"/>
      <c r="AM216" s="2"/>
      <c r="AN216" s="2"/>
      <c r="AO216" s="2"/>
    </row>
    <row r="217" ht="24.0" customHeight="1">
      <c r="A217" s="4"/>
      <c r="B217" s="30"/>
      <c r="C217" s="5" t="str">
        <f>IFERROR(__xludf.DUMMYFUNCTION("if(B217=0,""..."", sparkline(query(GOOGLEFINANCE(""BCBA:""&amp;B217,""price"",today()-$AM$47,today()),""select Col2"",0),{""charttype"",$AM$46}))"),"...")</f>
        <v>...</v>
      </c>
      <c r="D217" s="17"/>
      <c r="E217" s="31"/>
      <c r="F217" s="7"/>
      <c r="G217" s="8" t="str">
        <f t="shared" si="1"/>
        <v>...</v>
      </c>
      <c r="H217" s="31"/>
      <c r="I217" s="52"/>
      <c r="J217" s="45" t="str">
        <f t="shared" si="2"/>
        <v>...</v>
      </c>
      <c r="K217" s="47" t="str">
        <f t="array" ref="K217">IF(B217=0,"...",J217/VLOOKUP(D217,{CCL!M:N;CCL!$P:$Q},2,FALSE))</f>
        <v>...</v>
      </c>
      <c r="L217" s="45" t="str">
        <f t="shared" si="41"/>
        <v>...</v>
      </c>
      <c r="M217" s="45" t="str">
        <f>if(B217=0,"...",L217*(1-VLOOKUP(A217,Config!$B$3:$C$22,2,FALSE)))</f>
        <v>...</v>
      </c>
      <c r="N217" s="45" t="str">
        <f t="shared" si="3"/>
        <v>...</v>
      </c>
      <c r="O217" s="12" t="str">
        <f>IFERROR(__xludf.DUMMYFUNCTION("if(B217=0,""..."",GOOGLEFINANCE(B217,""changepct"")/100)"),"...")</f>
        <v>...</v>
      </c>
      <c r="P217" s="10" t="str">
        <f>IFERROR(__xludf.DUMMYFUNCTION("if(B217=0,""..."",GOOGLEFINANCE(B217,""change"")*H217)"),"...")</f>
        <v>...</v>
      </c>
      <c r="Q217" s="12" t="str">
        <f t="shared" si="4"/>
        <v>...</v>
      </c>
      <c r="R217" s="47" t="str">
        <f t="shared" si="5"/>
        <v>...</v>
      </c>
      <c r="S217" s="12" t="str">
        <f t="shared" si="36"/>
        <v>...</v>
      </c>
      <c r="T217" s="47" t="str">
        <f>IF(B217=0,"...",(N217/IF(E217="ABIERTA",CCL!$E$2,VLOOKUP(F217,CCL!$A$12:$B$773,2,FALSE))-K217))</f>
        <v>...</v>
      </c>
      <c r="U217" s="2"/>
      <c r="V217" s="10"/>
      <c r="W217" s="10"/>
      <c r="X217" s="59" t="str">
        <f t="shared" si="29"/>
        <v>...</v>
      </c>
      <c r="Y217" s="45" t="str">
        <f>IFERROR(__xludf.DUMMYFUNCTION("IF(W217=0,""..."",GOOGLEFINANCE(""BCBA:""&amp;W217))"),"...")</f>
        <v>...</v>
      </c>
      <c r="Z217" s="12"/>
      <c r="AA217" s="45"/>
      <c r="AB217" s="12" t="str">
        <f t="shared" si="26"/>
        <v/>
      </c>
      <c r="AC217" s="45" t="str">
        <f t="shared" si="37"/>
        <v>...</v>
      </c>
      <c r="AD217" s="45" t="str">
        <f t="shared" si="38"/>
        <v>...</v>
      </c>
      <c r="AE217" s="12" t="str">
        <f t="shared" si="11"/>
        <v>...</v>
      </c>
      <c r="AF217" s="45" t="str">
        <f t="shared" si="39"/>
        <v>...</v>
      </c>
      <c r="AG217" s="45" t="str">
        <f t="shared" si="27"/>
        <v>...</v>
      </c>
      <c r="AH217" s="12" t="str">
        <f t="shared" si="13"/>
        <v>...</v>
      </c>
      <c r="AI217" s="46" t="str">
        <f t="shared" si="40"/>
        <v>...</v>
      </c>
      <c r="AJ217" s="2"/>
      <c r="AK217" s="2"/>
      <c r="AL217" s="2"/>
      <c r="AM217" s="2"/>
      <c r="AN217" s="2"/>
      <c r="AO217" s="2"/>
    </row>
    <row r="218" ht="24.0" customHeight="1">
      <c r="A218" s="4"/>
      <c r="B218" s="30"/>
      <c r="C218" s="5" t="str">
        <f>IFERROR(__xludf.DUMMYFUNCTION("if(B218=0,""..."", sparkline(query(GOOGLEFINANCE(""BCBA:""&amp;B218,""price"",today()-$AM$47,today()),""select Col2"",0),{""charttype"",$AM$46}))"),"...")</f>
        <v>...</v>
      </c>
      <c r="D218" s="17"/>
      <c r="E218" s="31"/>
      <c r="F218" s="7"/>
      <c r="G218" s="8" t="str">
        <f t="shared" si="1"/>
        <v>...</v>
      </c>
      <c r="H218" s="31"/>
      <c r="I218" s="52"/>
      <c r="J218" s="45" t="str">
        <f t="shared" si="2"/>
        <v>...</v>
      </c>
      <c r="K218" s="47" t="str">
        <f t="array" ref="K218">IF(B218=0,"...",J218/VLOOKUP(D218,{CCL!M:N;CCL!$P:$Q},2,FALSE))</f>
        <v>...</v>
      </c>
      <c r="L218" s="45" t="str">
        <f t="shared" si="41"/>
        <v>...</v>
      </c>
      <c r="M218" s="45" t="str">
        <f>if(B218=0,"...",L218*(1-VLOOKUP(A218,Config!$B$3:$C$22,2,FALSE)))</f>
        <v>...</v>
      </c>
      <c r="N218" s="45" t="str">
        <f t="shared" si="3"/>
        <v>...</v>
      </c>
      <c r="O218" s="12" t="str">
        <f>IFERROR(__xludf.DUMMYFUNCTION("if(B218=0,""..."",GOOGLEFINANCE(B218,""changepct"")/100)"),"...")</f>
        <v>...</v>
      </c>
      <c r="P218" s="10" t="str">
        <f>IFERROR(__xludf.DUMMYFUNCTION("if(B218=0,""..."",GOOGLEFINANCE(B218,""change"")*H218)"),"...")</f>
        <v>...</v>
      </c>
      <c r="Q218" s="12" t="str">
        <f t="shared" si="4"/>
        <v>...</v>
      </c>
      <c r="R218" s="47" t="str">
        <f t="shared" si="5"/>
        <v>...</v>
      </c>
      <c r="S218" s="12" t="str">
        <f t="shared" si="36"/>
        <v>...</v>
      </c>
      <c r="T218" s="47" t="str">
        <f>IF(B218=0,"...",(N218/IF(E218="ABIERTA",CCL!$E$2,VLOOKUP(F218,CCL!$A$12:$B$773,2,FALSE))-K218))</f>
        <v>...</v>
      </c>
      <c r="U218" s="2"/>
      <c r="V218" s="10"/>
      <c r="W218" s="10"/>
      <c r="X218" s="59" t="str">
        <f t="shared" si="29"/>
        <v>...</v>
      </c>
      <c r="Y218" s="45" t="str">
        <f>IFERROR(__xludf.DUMMYFUNCTION("IF(W218=0,""..."",GOOGLEFINANCE(""BCBA:""&amp;W218))"),"...")</f>
        <v>...</v>
      </c>
      <c r="Z218" s="12"/>
      <c r="AA218" s="45"/>
      <c r="AB218" s="12" t="str">
        <f t="shared" si="26"/>
        <v/>
      </c>
      <c r="AC218" s="45" t="str">
        <f t="shared" si="37"/>
        <v>...</v>
      </c>
      <c r="AD218" s="45" t="str">
        <f t="shared" si="38"/>
        <v>...</v>
      </c>
      <c r="AE218" s="12" t="str">
        <f t="shared" si="11"/>
        <v>...</v>
      </c>
      <c r="AF218" s="45" t="str">
        <f t="shared" si="39"/>
        <v>...</v>
      </c>
      <c r="AG218" s="45" t="str">
        <f t="shared" si="27"/>
        <v>...</v>
      </c>
      <c r="AH218" s="12" t="str">
        <f t="shared" si="13"/>
        <v>...</v>
      </c>
      <c r="AI218" s="46" t="str">
        <f t="shared" si="40"/>
        <v>...</v>
      </c>
      <c r="AJ218" s="2"/>
      <c r="AK218" s="2"/>
      <c r="AL218" s="2"/>
      <c r="AM218" s="2"/>
      <c r="AN218" s="2"/>
      <c r="AO218" s="2"/>
    </row>
    <row r="219" ht="24.0" customHeight="1">
      <c r="A219" s="4"/>
      <c r="B219" s="30"/>
      <c r="C219" s="5" t="str">
        <f>IFERROR(__xludf.DUMMYFUNCTION("if(B219=0,""..."", sparkline(query(GOOGLEFINANCE(""BCBA:""&amp;B219,""price"",today()-$AM$47,today()),""select Col2"",0),{""charttype"",$AM$46}))"),"...")</f>
        <v>...</v>
      </c>
      <c r="D219" s="17"/>
      <c r="E219" s="31"/>
      <c r="F219" s="7"/>
      <c r="G219" s="8" t="str">
        <f t="shared" si="1"/>
        <v>...</v>
      </c>
      <c r="H219" s="31"/>
      <c r="I219" s="52"/>
      <c r="J219" s="45" t="str">
        <f t="shared" si="2"/>
        <v>...</v>
      </c>
      <c r="K219" s="47" t="str">
        <f t="array" ref="K219">IF(B219=0,"...",J219/VLOOKUP(D219,{CCL!M:N;CCL!$P:$Q},2,FALSE))</f>
        <v>...</v>
      </c>
      <c r="L219" s="45" t="str">
        <f t="shared" si="41"/>
        <v>...</v>
      </c>
      <c r="M219" s="45" t="str">
        <f>if(B219=0,"...",L219*(1-VLOOKUP(A219,Config!$B$3:$C$22,2,FALSE)))</f>
        <v>...</v>
      </c>
      <c r="N219" s="45" t="str">
        <f t="shared" si="3"/>
        <v>...</v>
      </c>
      <c r="O219" s="12" t="str">
        <f>IFERROR(__xludf.DUMMYFUNCTION("if(B219=0,""..."",GOOGLEFINANCE(B219,""changepct"")/100)"),"...")</f>
        <v>...</v>
      </c>
      <c r="P219" s="10" t="str">
        <f>IFERROR(__xludf.DUMMYFUNCTION("if(B219=0,""..."",GOOGLEFINANCE(B219,""change"")*H219)"),"...")</f>
        <v>...</v>
      </c>
      <c r="Q219" s="12" t="str">
        <f t="shared" si="4"/>
        <v>...</v>
      </c>
      <c r="R219" s="47" t="str">
        <f t="shared" si="5"/>
        <v>...</v>
      </c>
      <c r="S219" s="12" t="str">
        <f t="shared" si="36"/>
        <v>...</v>
      </c>
      <c r="T219" s="47" t="str">
        <f>IF(B219=0,"...",(N219/IF(E219="ABIERTA",CCL!$E$2,VLOOKUP(F219,CCL!$A$12:$B$773,2,FALSE))-K219))</f>
        <v>...</v>
      </c>
      <c r="U219" s="2"/>
      <c r="V219" s="10"/>
      <c r="W219" s="10"/>
      <c r="X219" s="59" t="str">
        <f t="shared" si="29"/>
        <v>...</v>
      </c>
      <c r="Y219" s="45" t="str">
        <f>IFERROR(__xludf.DUMMYFUNCTION("IF(W219=0,""..."",GOOGLEFINANCE(""BCBA:""&amp;W219))"),"...")</f>
        <v>...</v>
      </c>
      <c r="Z219" s="12"/>
      <c r="AA219" s="45"/>
      <c r="AB219" s="12" t="str">
        <f t="shared" si="26"/>
        <v/>
      </c>
      <c r="AC219" s="45" t="str">
        <f t="shared" si="37"/>
        <v>...</v>
      </c>
      <c r="AD219" s="45" t="str">
        <f t="shared" si="38"/>
        <v>...</v>
      </c>
      <c r="AE219" s="12" t="str">
        <f t="shared" si="11"/>
        <v>...</v>
      </c>
      <c r="AF219" s="45" t="str">
        <f t="shared" si="39"/>
        <v>...</v>
      </c>
      <c r="AG219" s="45" t="str">
        <f t="shared" si="27"/>
        <v>...</v>
      </c>
      <c r="AH219" s="12" t="str">
        <f t="shared" si="13"/>
        <v>...</v>
      </c>
      <c r="AI219" s="46" t="str">
        <f t="shared" si="40"/>
        <v>...</v>
      </c>
      <c r="AJ219" s="2"/>
      <c r="AK219" s="2"/>
      <c r="AL219" s="2"/>
      <c r="AM219" s="2"/>
      <c r="AN219" s="2"/>
      <c r="AO219" s="2"/>
    </row>
    <row r="220" ht="24.0" customHeight="1">
      <c r="A220" s="4"/>
      <c r="B220" s="30"/>
      <c r="C220" s="5" t="str">
        <f>IFERROR(__xludf.DUMMYFUNCTION("if(B220=0,""..."", sparkline(query(GOOGLEFINANCE(""BCBA:""&amp;B220,""price"",today()-$AM$47,today()),""select Col2"",0),{""charttype"",$AM$46}))"),"...")</f>
        <v>...</v>
      </c>
      <c r="D220" s="17"/>
      <c r="E220" s="31"/>
      <c r="F220" s="7"/>
      <c r="G220" s="8" t="str">
        <f t="shared" si="1"/>
        <v>...</v>
      </c>
      <c r="H220" s="31"/>
      <c r="I220" s="52"/>
      <c r="J220" s="45" t="str">
        <f t="shared" si="2"/>
        <v>...</v>
      </c>
      <c r="K220" s="47" t="str">
        <f t="array" ref="K220">IF(B220=0,"...",J220/VLOOKUP(D220,{CCL!M:N;CCL!$P:$Q},2,FALSE))</f>
        <v>...</v>
      </c>
      <c r="L220" s="45" t="str">
        <f t="shared" si="41"/>
        <v>...</v>
      </c>
      <c r="M220" s="45" t="str">
        <f>if(B220=0,"...",L220*(1-VLOOKUP(A220,Config!$B$3:$C$22,2,FALSE)))</f>
        <v>...</v>
      </c>
      <c r="N220" s="45" t="str">
        <f t="shared" si="3"/>
        <v>...</v>
      </c>
      <c r="O220" s="12" t="str">
        <f>IFERROR(__xludf.DUMMYFUNCTION("if(B220=0,""..."",GOOGLEFINANCE(B220,""changepct"")/100)"),"...")</f>
        <v>...</v>
      </c>
      <c r="P220" s="10" t="str">
        <f>IFERROR(__xludf.DUMMYFUNCTION("if(B220=0,""..."",GOOGLEFINANCE(B220,""change"")*H220)"),"...")</f>
        <v>...</v>
      </c>
      <c r="Q220" s="12" t="str">
        <f t="shared" si="4"/>
        <v>...</v>
      </c>
      <c r="R220" s="47" t="str">
        <f t="shared" si="5"/>
        <v>...</v>
      </c>
      <c r="S220" s="12" t="str">
        <f t="shared" si="36"/>
        <v>...</v>
      </c>
      <c r="T220" s="47" t="str">
        <f>IF(B220=0,"...",(N220/IF(E220="ABIERTA",CCL!$E$2,VLOOKUP(F220,CCL!$A$12:$B$773,2,FALSE))-K220))</f>
        <v>...</v>
      </c>
      <c r="U220" s="2"/>
      <c r="V220" s="10"/>
      <c r="W220" s="10"/>
      <c r="X220" s="59" t="str">
        <f t="shared" si="29"/>
        <v>...</v>
      </c>
      <c r="Y220" s="45" t="str">
        <f>IFERROR(__xludf.DUMMYFUNCTION("IF(W220=0,""..."",GOOGLEFINANCE(""BCBA:""&amp;W220))"),"...")</f>
        <v>...</v>
      </c>
      <c r="Z220" s="12"/>
      <c r="AA220" s="45"/>
      <c r="AB220" s="12" t="str">
        <f t="shared" si="26"/>
        <v/>
      </c>
      <c r="AC220" s="45" t="str">
        <f t="shared" si="37"/>
        <v>...</v>
      </c>
      <c r="AD220" s="45" t="str">
        <f t="shared" si="38"/>
        <v>...</v>
      </c>
      <c r="AE220" s="12" t="str">
        <f t="shared" si="11"/>
        <v>...</v>
      </c>
      <c r="AF220" s="45" t="str">
        <f t="shared" si="39"/>
        <v>...</v>
      </c>
      <c r="AG220" s="45" t="str">
        <f t="shared" si="27"/>
        <v>...</v>
      </c>
      <c r="AH220" s="12" t="str">
        <f t="shared" si="13"/>
        <v>...</v>
      </c>
      <c r="AI220" s="46" t="str">
        <f t="shared" si="40"/>
        <v>...</v>
      </c>
      <c r="AJ220" s="2"/>
      <c r="AK220" s="2"/>
      <c r="AL220" s="2"/>
      <c r="AM220" s="2"/>
      <c r="AN220" s="2"/>
      <c r="AO220" s="2"/>
    </row>
    <row r="221" ht="24.0" customHeight="1">
      <c r="A221" s="4"/>
      <c r="B221" s="30"/>
      <c r="C221" s="5" t="str">
        <f>IFERROR(__xludf.DUMMYFUNCTION("if(B221=0,""..."", sparkline(query(GOOGLEFINANCE(""BCBA:""&amp;B221,""price"",today()-$AM$47,today()),""select Col2"",0),{""charttype"",$AM$46}))"),"...")</f>
        <v>...</v>
      </c>
      <c r="D221" s="17"/>
      <c r="E221" s="31"/>
      <c r="F221" s="7"/>
      <c r="G221" s="8" t="str">
        <f t="shared" si="1"/>
        <v>...</v>
      </c>
      <c r="H221" s="31"/>
      <c r="I221" s="52"/>
      <c r="J221" s="45" t="str">
        <f t="shared" si="2"/>
        <v>...</v>
      </c>
      <c r="K221" s="47" t="str">
        <f t="array" ref="K221">IF(B221=0,"...",J221/VLOOKUP(D221,{CCL!M:N;CCL!$P:$Q},2,FALSE))</f>
        <v>...</v>
      </c>
      <c r="L221" s="45" t="str">
        <f t="shared" si="41"/>
        <v>...</v>
      </c>
      <c r="M221" s="45" t="str">
        <f>if(B221=0,"...",L221*(1-VLOOKUP(A221,Config!$B$3:$C$22,2,FALSE)))</f>
        <v>...</v>
      </c>
      <c r="N221" s="45" t="str">
        <f t="shared" si="3"/>
        <v>...</v>
      </c>
      <c r="O221" s="12" t="str">
        <f>IFERROR(__xludf.DUMMYFUNCTION("if(B221=0,""..."",GOOGLEFINANCE(B221,""changepct"")/100)"),"...")</f>
        <v>...</v>
      </c>
      <c r="P221" s="10" t="str">
        <f>IFERROR(__xludf.DUMMYFUNCTION("if(B221=0,""..."",GOOGLEFINANCE(B221,""change"")*H221)"),"...")</f>
        <v>...</v>
      </c>
      <c r="Q221" s="12" t="str">
        <f t="shared" si="4"/>
        <v>...</v>
      </c>
      <c r="R221" s="47" t="str">
        <f t="shared" si="5"/>
        <v>...</v>
      </c>
      <c r="S221" s="12" t="str">
        <f t="shared" si="36"/>
        <v>...</v>
      </c>
      <c r="T221" s="47" t="str">
        <f>IF(B221=0,"...",(N221/IF(E221="ABIERTA",CCL!$E$2,VLOOKUP(F221,CCL!$A$12:$B$773,2,FALSE))-K221))</f>
        <v>...</v>
      </c>
      <c r="U221" s="2"/>
      <c r="V221" s="10"/>
      <c r="W221" s="10"/>
      <c r="X221" s="59" t="str">
        <f t="shared" si="29"/>
        <v>...</v>
      </c>
      <c r="Y221" s="45" t="str">
        <f>IFERROR(__xludf.DUMMYFUNCTION("IF(W221=0,""..."",GOOGLEFINANCE(""BCBA:""&amp;W221))"),"...")</f>
        <v>...</v>
      </c>
      <c r="Z221" s="12"/>
      <c r="AA221" s="45"/>
      <c r="AB221" s="12" t="str">
        <f t="shared" si="26"/>
        <v/>
      </c>
      <c r="AC221" s="45" t="str">
        <f t="shared" si="37"/>
        <v>...</v>
      </c>
      <c r="AD221" s="45" t="str">
        <f t="shared" si="38"/>
        <v>...</v>
      </c>
      <c r="AE221" s="12" t="str">
        <f t="shared" si="11"/>
        <v>...</v>
      </c>
      <c r="AF221" s="45" t="str">
        <f t="shared" si="39"/>
        <v>...</v>
      </c>
      <c r="AG221" s="45" t="str">
        <f t="shared" si="27"/>
        <v>...</v>
      </c>
      <c r="AH221" s="12" t="str">
        <f t="shared" si="13"/>
        <v>...</v>
      </c>
      <c r="AI221" s="46" t="str">
        <f t="shared" si="40"/>
        <v>...</v>
      </c>
      <c r="AJ221" s="2"/>
      <c r="AK221" s="2"/>
      <c r="AL221" s="2"/>
      <c r="AM221" s="2"/>
      <c r="AN221" s="2"/>
      <c r="AO221" s="2"/>
    </row>
    <row r="222" ht="24.0" customHeight="1">
      <c r="A222" s="4"/>
      <c r="B222" s="30"/>
      <c r="C222" s="5" t="str">
        <f>IFERROR(__xludf.DUMMYFUNCTION("if(B222=0,""..."", sparkline(query(GOOGLEFINANCE(""BCBA:""&amp;B222,""price"",today()-$AM$47,today()),""select Col2"",0),{""charttype"",$AM$46}))"),"...")</f>
        <v>...</v>
      </c>
      <c r="D222" s="17"/>
      <c r="E222" s="31"/>
      <c r="F222" s="7"/>
      <c r="G222" s="8" t="str">
        <f t="shared" si="1"/>
        <v>...</v>
      </c>
      <c r="H222" s="31"/>
      <c r="I222" s="52"/>
      <c r="J222" s="45" t="str">
        <f t="shared" si="2"/>
        <v>...</v>
      </c>
      <c r="K222" s="47" t="str">
        <f t="array" ref="K222">IF(B222=0,"...",J222/VLOOKUP(D222,{CCL!M:N;CCL!$P:$Q},2,FALSE))</f>
        <v>...</v>
      </c>
      <c r="L222" s="45" t="str">
        <f t="shared" si="41"/>
        <v>...</v>
      </c>
      <c r="M222" s="45" t="str">
        <f>if(B222=0,"...",L222*(1-VLOOKUP(A222,Config!$B$3:$C$22,2,FALSE)))</f>
        <v>...</v>
      </c>
      <c r="N222" s="45" t="str">
        <f t="shared" si="3"/>
        <v>...</v>
      </c>
      <c r="O222" s="12" t="str">
        <f>IFERROR(__xludf.DUMMYFUNCTION("if(B222=0,""..."",GOOGLEFINANCE(B222,""changepct"")/100)"),"...")</f>
        <v>...</v>
      </c>
      <c r="P222" s="10" t="str">
        <f>IFERROR(__xludf.DUMMYFUNCTION("if(B222=0,""..."",GOOGLEFINANCE(B222,""change"")*H222)"),"...")</f>
        <v>...</v>
      </c>
      <c r="Q222" s="12" t="str">
        <f t="shared" si="4"/>
        <v>...</v>
      </c>
      <c r="R222" s="47" t="str">
        <f t="shared" si="5"/>
        <v>...</v>
      </c>
      <c r="S222" s="12" t="str">
        <f t="shared" si="36"/>
        <v>...</v>
      </c>
      <c r="T222" s="47" t="str">
        <f>IF(B222=0,"...",(N222/IF(E222="ABIERTA",CCL!$E$2,VLOOKUP(F222,CCL!$A$12:$B$773,2,FALSE))-K222))</f>
        <v>...</v>
      </c>
      <c r="U222" s="2"/>
      <c r="V222" s="10"/>
      <c r="W222" s="10"/>
      <c r="X222" s="59" t="str">
        <f t="shared" si="29"/>
        <v>...</v>
      </c>
      <c r="Y222" s="45" t="str">
        <f>IFERROR(__xludf.DUMMYFUNCTION("IF(W222=0,""..."",GOOGLEFINANCE(""BCBA:""&amp;W222))"),"...")</f>
        <v>...</v>
      </c>
      <c r="Z222" s="12"/>
      <c r="AA222" s="45"/>
      <c r="AB222" s="12" t="str">
        <f t="shared" si="26"/>
        <v/>
      </c>
      <c r="AC222" s="45" t="str">
        <f t="shared" si="37"/>
        <v>...</v>
      </c>
      <c r="AD222" s="45" t="str">
        <f t="shared" si="38"/>
        <v>...</v>
      </c>
      <c r="AE222" s="12" t="str">
        <f t="shared" si="11"/>
        <v>...</v>
      </c>
      <c r="AF222" s="45" t="str">
        <f t="shared" si="39"/>
        <v>...</v>
      </c>
      <c r="AG222" s="45" t="str">
        <f t="shared" si="27"/>
        <v>...</v>
      </c>
      <c r="AH222" s="12" t="str">
        <f t="shared" si="13"/>
        <v>...</v>
      </c>
      <c r="AI222" s="46" t="str">
        <f t="shared" si="40"/>
        <v>...</v>
      </c>
      <c r="AJ222" s="2"/>
      <c r="AK222" s="2"/>
      <c r="AL222" s="2"/>
      <c r="AM222" s="2"/>
      <c r="AN222" s="2"/>
      <c r="AO222" s="2"/>
    </row>
    <row r="223" ht="24.0" customHeight="1">
      <c r="A223" s="4"/>
      <c r="B223" s="30"/>
      <c r="C223" s="5" t="str">
        <f>IFERROR(__xludf.DUMMYFUNCTION("if(B223=0,""..."", sparkline(query(GOOGLEFINANCE(""BCBA:""&amp;B223,""price"",today()-$AM$47,today()),""select Col2"",0),{""charttype"",$AM$46}))"),"...")</f>
        <v>...</v>
      </c>
      <c r="D223" s="17"/>
      <c r="E223" s="31"/>
      <c r="F223" s="7"/>
      <c r="G223" s="8" t="str">
        <f t="shared" si="1"/>
        <v>...</v>
      </c>
      <c r="H223" s="31"/>
      <c r="I223" s="52"/>
      <c r="J223" s="45" t="str">
        <f t="shared" si="2"/>
        <v>...</v>
      </c>
      <c r="K223" s="47" t="str">
        <f t="array" ref="K223">IF(B223=0,"...",J223/VLOOKUP(D223,{CCL!M:N;CCL!$P:$Q},2,FALSE))</f>
        <v>...</v>
      </c>
      <c r="L223" s="45" t="str">
        <f t="shared" si="41"/>
        <v>...</v>
      </c>
      <c r="M223" s="45" t="str">
        <f>if(B223=0,"...",L223*(1-VLOOKUP(A223,Config!$B$3:$C$22,2,FALSE)))</f>
        <v>...</v>
      </c>
      <c r="N223" s="45" t="str">
        <f t="shared" si="3"/>
        <v>...</v>
      </c>
      <c r="O223" s="12" t="str">
        <f>IFERROR(__xludf.DUMMYFUNCTION("if(B223=0,""..."",GOOGLEFINANCE(B223,""changepct"")/100)"),"...")</f>
        <v>...</v>
      </c>
      <c r="P223" s="10" t="str">
        <f>IFERROR(__xludf.DUMMYFUNCTION("if(B223=0,""..."",GOOGLEFINANCE(B223,""change"")*H223)"),"...")</f>
        <v>...</v>
      </c>
      <c r="Q223" s="12" t="str">
        <f t="shared" si="4"/>
        <v>...</v>
      </c>
      <c r="R223" s="47" t="str">
        <f t="shared" si="5"/>
        <v>...</v>
      </c>
      <c r="S223" s="12" t="str">
        <f t="shared" si="36"/>
        <v>...</v>
      </c>
      <c r="T223" s="47" t="str">
        <f>IF(B223=0,"...",(N223/IF(E223="ABIERTA",CCL!$E$2,VLOOKUP(F223,CCL!$A$12:$B$773,2,FALSE))-K223))</f>
        <v>...</v>
      </c>
      <c r="U223" s="2"/>
      <c r="V223" s="10"/>
      <c r="W223" s="10"/>
      <c r="X223" s="59" t="str">
        <f t="shared" si="29"/>
        <v>...</v>
      </c>
      <c r="Y223" s="45" t="str">
        <f>IFERROR(__xludf.DUMMYFUNCTION("IF(W223=0,""..."",GOOGLEFINANCE(""BCBA:""&amp;W223))"),"...")</f>
        <v>...</v>
      </c>
      <c r="Z223" s="12"/>
      <c r="AA223" s="45"/>
      <c r="AB223" s="12" t="str">
        <f t="shared" si="26"/>
        <v/>
      </c>
      <c r="AC223" s="45" t="str">
        <f t="shared" si="37"/>
        <v>...</v>
      </c>
      <c r="AD223" s="45" t="str">
        <f t="shared" si="38"/>
        <v>...</v>
      </c>
      <c r="AE223" s="12" t="str">
        <f t="shared" si="11"/>
        <v>...</v>
      </c>
      <c r="AF223" s="45" t="str">
        <f t="shared" si="39"/>
        <v>...</v>
      </c>
      <c r="AG223" s="45" t="str">
        <f t="shared" si="27"/>
        <v>...</v>
      </c>
      <c r="AH223" s="12" t="str">
        <f t="shared" si="13"/>
        <v>...</v>
      </c>
      <c r="AI223" s="46" t="str">
        <f t="shared" si="40"/>
        <v>...</v>
      </c>
      <c r="AJ223" s="2"/>
      <c r="AK223" s="2"/>
      <c r="AL223" s="2"/>
      <c r="AM223" s="2"/>
      <c r="AN223" s="2"/>
      <c r="AO223" s="2"/>
    </row>
    <row r="224" ht="24.0" customHeight="1">
      <c r="A224" s="4"/>
      <c r="B224" s="30"/>
      <c r="C224" s="5" t="str">
        <f>IFERROR(__xludf.DUMMYFUNCTION("if(B224=0,""..."", sparkline(query(GOOGLEFINANCE(""BCBA:""&amp;B224,""price"",today()-$AM$47,today()),""select Col2"",0),{""charttype"",$AM$46}))"),"...")</f>
        <v>...</v>
      </c>
      <c r="D224" s="17"/>
      <c r="E224" s="31"/>
      <c r="F224" s="7"/>
      <c r="G224" s="8" t="str">
        <f t="shared" si="1"/>
        <v>...</v>
      </c>
      <c r="H224" s="31"/>
      <c r="I224" s="52"/>
      <c r="J224" s="45" t="str">
        <f t="shared" si="2"/>
        <v>...</v>
      </c>
      <c r="K224" s="47" t="str">
        <f t="array" ref="K224">IF(B224=0,"...",J224/VLOOKUP(D224,{CCL!M:N;CCL!$P:$Q},2,FALSE))</f>
        <v>...</v>
      </c>
      <c r="L224" s="45" t="str">
        <f t="shared" si="41"/>
        <v>...</v>
      </c>
      <c r="M224" s="45" t="str">
        <f>if(B224=0,"...",L224*(1-VLOOKUP(A224,Config!$B$3:$C$22,2,FALSE)))</f>
        <v>...</v>
      </c>
      <c r="N224" s="45" t="str">
        <f t="shared" si="3"/>
        <v>...</v>
      </c>
      <c r="O224" s="12" t="str">
        <f>IFERROR(__xludf.DUMMYFUNCTION("if(B224=0,""..."",GOOGLEFINANCE(B224,""changepct"")/100)"),"...")</f>
        <v>...</v>
      </c>
      <c r="P224" s="10" t="str">
        <f>IFERROR(__xludf.DUMMYFUNCTION("if(B224=0,""..."",GOOGLEFINANCE(B224,""change"")*H224)"),"...")</f>
        <v>...</v>
      </c>
      <c r="Q224" s="12" t="str">
        <f t="shared" si="4"/>
        <v>...</v>
      </c>
      <c r="R224" s="47" t="str">
        <f t="shared" si="5"/>
        <v>...</v>
      </c>
      <c r="S224" s="12" t="str">
        <f t="shared" si="36"/>
        <v>...</v>
      </c>
      <c r="T224" s="47" t="str">
        <f>IF(B224=0,"...",(N224/IF(E224="ABIERTA",CCL!$E$2,VLOOKUP(F224,CCL!$A$12:$B$773,2,FALSE))-K224))</f>
        <v>...</v>
      </c>
      <c r="U224" s="2"/>
      <c r="V224" s="10"/>
      <c r="W224" s="10"/>
      <c r="X224" s="59" t="str">
        <f t="shared" si="29"/>
        <v>...</v>
      </c>
      <c r="Y224" s="45" t="str">
        <f>IFERROR(__xludf.DUMMYFUNCTION("IF(W224=0,""..."",GOOGLEFINANCE(""BCBA:""&amp;W224))"),"...")</f>
        <v>...</v>
      </c>
      <c r="Z224" s="12"/>
      <c r="AA224" s="45"/>
      <c r="AB224" s="12" t="str">
        <f t="shared" si="26"/>
        <v/>
      </c>
      <c r="AC224" s="45" t="str">
        <f t="shared" si="37"/>
        <v>...</v>
      </c>
      <c r="AD224" s="45" t="str">
        <f t="shared" si="38"/>
        <v>...</v>
      </c>
      <c r="AE224" s="12" t="str">
        <f t="shared" si="11"/>
        <v>...</v>
      </c>
      <c r="AF224" s="45" t="str">
        <f t="shared" si="39"/>
        <v>...</v>
      </c>
      <c r="AG224" s="45" t="str">
        <f t="shared" si="27"/>
        <v>...</v>
      </c>
      <c r="AH224" s="12" t="str">
        <f t="shared" si="13"/>
        <v>...</v>
      </c>
      <c r="AI224" s="46" t="str">
        <f t="shared" si="40"/>
        <v>...</v>
      </c>
      <c r="AJ224" s="2"/>
      <c r="AK224" s="2"/>
      <c r="AL224" s="2"/>
      <c r="AM224" s="2"/>
      <c r="AN224" s="2"/>
      <c r="AO224" s="2"/>
    </row>
    <row r="225" ht="24.0" customHeight="1">
      <c r="A225" s="4"/>
      <c r="B225" s="30"/>
      <c r="C225" s="5" t="str">
        <f>IFERROR(__xludf.DUMMYFUNCTION("if(B225=0,""..."", sparkline(query(GOOGLEFINANCE(""BCBA:""&amp;B225,""price"",today()-$AM$47,today()),""select Col2"",0),{""charttype"",$AM$46}))"),"...")</f>
        <v>...</v>
      </c>
      <c r="D225" s="17"/>
      <c r="E225" s="31"/>
      <c r="F225" s="7"/>
      <c r="G225" s="8" t="str">
        <f t="shared" si="1"/>
        <v>...</v>
      </c>
      <c r="H225" s="31"/>
      <c r="I225" s="52"/>
      <c r="J225" s="45" t="str">
        <f t="shared" si="2"/>
        <v>...</v>
      </c>
      <c r="K225" s="47" t="str">
        <f t="array" ref="K225">IF(B225=0,"...",J225/VLOOKUP(D225,{CCL!M:N;CCL!$P:$Q},2,FALSE))</f>
        <v>...</v>
      </c>
      <c r="L225" s="45" t="str">
        <f t="shared" si="41"/>
        <v>...</v>
      </c>
      <c r="M225" s="45" t="str">
        <f>if(B225=0,"...",L225*(1-VLOOKUP(A225,Config!$B$3:$C$22,2,FALSE)))</f>
        <v>...</v>
      </c>
      <c r="N225" s="45" t="str">
        <f t="shared" si="3"/>
        <v>...</v>
      </c>
      <c r="O225" s="12" t="str">
        <f>IFERROR(__xludf.DUMMYFUNCTION("if(B225=0,""..."",GOOGLEFINANCE(B225,""changepct"")/100)"),"...")</f>
        <v>...</v>
      </c>
      <c r="P225" s="10" t="str">
        <f>IFERROR(__xludf.DUMMYFUNCTION("if(B225=0,""..."",GOOGLEFINANCE(B225,""change"")*H225)"),"...")</f>
        <v>...</v>
      </c>
      <c r="Q225" s="12" t="str">
        <f t="shared" si="4"/>
        <v>...</v>
      </c>
      <c r="R225" s="47" t="str">
        <f t="shared" si="5"/>
        <v>...</v>
      </c>
      <c r="S225" s="12" t="str">
        <f t="shared" si="36"/>
        <v>...</v>
      </c>
      <c r="T225" s="47" t="str">
        <f>IF(B225=0,"...",(N225/IF(E225="ABIERTA",CCL!$E$2,VLOOKUP(F225,CCL!$A$12:$B$773,2,FALSE))-K225))</f>
        <v>...</v>
      </c>
      <c r="U225" s="2"/>
      <c r="V225" s="10"/>
      <c r="W225" s="10"/>
      <c r="X225" s="59" t="str">
        <f t="shared" si="29"/>
        <v>...</v>
      </c>
      <c r="Y225" s="45" t="str">
        <f>IFERROR(__xludf.DUMMYFUNCTION("IF(W225=0,""..."",GOOGLEFINANCE(""BCBA:""&amp;W225))"),"...")</f>
        <v>...</v>
      </c>
      <c r="Z225" s="12"/>
      <c r="AA225" s="45"/>
      <c r="AB225" s="12" t="str">
        <f t="shared" si="26"/>
        <v/>
      </c>
      <c r="AC225" s="45" t="str">
        <f t="shared" si="37"/>
        <v>...</v>
      </c>
      <c r="AD225" s="45" t="str">
        <f t="shared" si="38"/>
        <v>...</v>
      </c>
      <c r="AE225" s="12" t="str">
        <f t="shared" si="11"/>
        <v>...</v>
      </c>
      <c r="AF225" s="45" t="str">
        <f t="shared" si="39"/>
        <v>...</v>
      </c>
      <c r="AG225" s="45" t="str">
        <f t="shared" si="27"/>
        <v>...</v>
      </c>
      <c r="AH225" s="12" t="str">
        <f t="shared" si="13"/>
        <v>...</v>
      </c>
      <c r="AI225" s="46" t="str">
        <f t="shared" si="40"/>
        <v>...</v>
      </c>
      <c r="AJ225" s="2"/>
      <c r="AK225" s="2"/>
      <c r="AL225" s="2"/>
      <c r="AM225" s="2"/>
      <c r="AN225" s="2"/>
      <c r="AO225" s="2"/>
    </row>
    <row r="226" ht="24.0" customHeight="1">
      <c r="A226" s="4"/>
      <c r="B226" s="30"/>
      <c r="C226" s="5" t="str">
        <f>IFERROR(__xludf.DUMMYFUNCTION("if(B226=0,""..."", sparkline(query(GOOGLEFINANCE(""BCBA:""&amp;B226,""price"",today()-$AM$47,today()),""select Col2"",0),{""charttype"",$AM$46}))"),"...")</f>
        <v>...</v>
      </c>
      <c r="D226" s="17"/>
      <c r="E226" s="31"/>
      <c r="F226" s="7"/>
      <c r="G226" s="8" t="str">
        <f t="shared" si="1"/>
        <v>...</v>
      </c>
      <c r="H226" s="31"/>
      <c r="I226" s="52"/>
      <c r="J226" s="45" t="str">
        <f t="shared" si="2"/>
        <v>...</v>
      </c>
      <c r="K226" s="47" t="str">
        <f t="array" ref="K226">IF(B226=0,"...",J226/VLOOKUP(D226,{CCL!M:N;CCL!$P:$Q},2,FALSE))</f>
        <v>...</v>
      </c>
      <c r="L226" s="45" t="str">
        <f t="shared" si="41"/>
        <v>...</v>
      </c>
      <c r="M226" s="45" t="str">
        <f>if(B226=0,"...",L226*(1-VLOOKUP(A226,Config!$B$3:$C$22,2,FALSE)))</f>
        <v>...</v>
      </c>
      <c r="N226" s="45" t="str">
        <f t="shared" si="3"/>
        <v>...</v>
      </c>
      <c r="O226" s="12" t="str">
        <f>IFERROR(__xludf.DUMMYFUNCTION("if(B226=0,""..."",GOOGLEFINANCE(B226,""changepct"")/100)"),"...")</f>
        <v>...</v>
      </c>
      <c r="P226" s="10" t="str">
        <f>IFERROR(__xludf.DUMMYFUNCTION("if(B226=0,""..."",GOOGLEFINANCE(B226,""change"")*H226)"),"...")</f>
        <v>...</v>
      </c>
      <c r="Q226" s="12" t="str">
        <f t="shared" si="4"/>
        <v>...</v>
      </c>
      <c r="R226" s="47" t="str">
        <f t="shared" si="5"/>
        <v>...</v>
      </c>
      <c r="S226" s="12" t="str">
        <f t="shared" si="36"/>
        <v>...</v>
      </c>
      <c r="T226" s="47" t="str">
        <f>IF(B226=0,"...",(N226/IF(E226="ABIERTA",CCL!$E$2,VLOOKUP(F226,CCL!$A$12:$B$773,2,FALSE))-K226))</f>
        <v>...</v>
      </c>
      <c r="U226" s="2"/>
      <c r="V226" s="10"/>
      <c r="W226" s="10"/>
      <c r="X226" s="59" t="str">
        <f t="shared" si="29"/>
        <v>...</v>
      </c>
      <c r="Y226" s="45" t="str">
        <f>IFERROR(__xludf.DUMMYFUNCTION("IF(W226=0,""..."",GOOGLEFINANCE(""BCBA:""&amp;W226))"),"...")</f>
        <v>...</v>
      </c>
      <c r="Z226" s="12"/>
      <c r="AA226" s="45"/>
      <c r="AB226" s="12" t="str">
        <f t="shared" si="26"/>
        <v/>
      </c>
      <c r="AC226" s="45" t="str">
        <f t="shared" si="37"/>
        <v>...</v>
      </c>
      <c r="AD226" s="45" t="str">
        <f t="shared" si="38"/>
        <v>...</v>
      </c>
      <c r="AE226" s="12" t="str">
        <f t="shared" si="11"/>
        <v>...</v>
      </c>
      <c r="AF226" s="45" t="str">
        <f t="shared" si="39"/>
        <v>...</v>
      </c>
      <c r="AG226" s="45" t="str">
        <f t="shared" si="27"/>
        <v>...</v>
      </c>
      <c r="AH226" s="12" t="str">
        <f t="shared" si="13"/>
        <v>...</v>
      </c>
      <c r="AI226" s="46" t="str">
        <f t="shared" si="40"/>
        <v>...</v>
      </c>
      <c r="AJ226" s="2"/>
      <c r="AK226" s="2"/>
      <c r="AL226" s="2"/>
      <c r="AM226" s="2"/>
      <c r="AN226" s="2"/>
      <c r="AO226" s="2"/>
    </row>
    <row r="227" ht="24.0" customHeight="1">
      <c r="A227" s="4"/>
      <c r="B227" s="30"/>
      <c r="C227" s="5" t="str">
        <f>IFERROR(__xludf.DUMMYFUNCTION("if(B227=0,""..."", sparkline(query(GOOGLEFINANCE(""BCBA:""&amp;B227,""price"",today()-$AM$47,today()),""select Col2"",0),{""charttype"",$AM$46}))"),"...")</f>
        <v>...</v>
      </c>
      <c r="D227" s="17"/>
      <c r="E227" s="31"/>
      <c r="F227" s="7"/>
      <c r="G227" s="8" t="str">
        <f t="shared" si="1"/>
        <v>...</v>
      </c>
      <c r="H227" s="31"/>
      <c r="I227" s="52"/>
      <c r="J227" s="45" t="str">
        <f t="shared" si="2"/>
        <v>...</v>
      </c>
      <c r="K227" s="47" t="str">
        <f t="array" ref="K227">IF(B227=0,"...",J227/VLOOKUP(D227,{CCL!M:N;CCL!$P:$Q},2,FALSE))</f>
        <v>...</v>
      </c>
      <c r="L227" s="45" t="str">
        <f t="shared" si="41"/>
        <v>...</v>
      </c>
      <c r="M227" s="45" t="str">
        <f>if(B227=0,"...",L227*(1-VLOOKUP(A227,Config!$B$3:$C$22,2,FALSE)))</f>
        <v>...</v>
      </c>
      <c r="N227" s="45" t="str">
        <f t="shared" si="3"/>
        <v>...</v>
      </c>
      <c r="O227" s="12" t="str">
        <f>IFERROR(__xludf.DUMMYFUNCTION("if(B227=0,""..."",GOOGLEFINANCE(B227,""changepct"")/100)"),"...")</f>
        <v>...</v>
      </c>
      <c r="P227" s="10" t="str">
        <f>IFERROR(__xludf.DUMMYFUNCTION("if(B227=0,""..."",GOOGLEFINANCE(B227,""change"")*H227)"),"...")</f>
        <v>...</v>
      </c>
      <c r="Q227" s="12" t="str">
        <f t="shared" si="4"/>
        <v>...</v>
      </c>
      <c r="R227" s="47" t="str">
        <f t="shared" si="5"/>
        <v>...</v>
      </c>
      <c r="S227" s="12" t="str">
        <f t="shared" si="36"/>
        <v>...</v>
      </c>
      <c r="T227" s="47" t="str">
        <f>IF(B227=0,"...",(N227/IF(E227="ABIERTA",CCL!$E$2,VLOOKUP(F227,CCL!$A$12:$B$773,2,FALSE))-K227))</f>
        <v>...</v>
      </c>
      <c r="U227" s="2"/>
      <c r="V227" s="10"/>
      <c r="W227" s="10"/>
      <c r="X227" s="59" t="str">
        <f t="shared" si="29"/>
        <v>...</v>
      </c>
      <c r="Y227" s="45" t="str">
        <f>IFERROR(__xludf.DUMMYFUNCTION("IF(W227=0,""..."",GOOGLEFINANCE(""BCBA:""&amp;W227))"),"...")</f>
        <v>...</v>
      </c>
      <c r="Z227" s="12"/>
      <c r="AA227" s="45"/>
      <c r="AB227" s="12" t="str">
        <f t="shared" si="26"/>
        <v/>
      </c>
      <c r="AC227" s="45" t="str">
        <f t="shared" si="37"/>
        <v>...</v>
      </c>
      <c r="AD227" s="45" t="str">
        <f t="shared" si="38"/>
        <v>...</v>
      </c>
      <c r="AE227" s="12" t="str">
        <f t="shared" si="11"/>
        <v>...</v>
      </c>
      <c r="AF227" s="45" t="str">
        <f t="shared" si="39"/>
        <v>...</v>
      </c>
      <c r="AG227" s="45" t="str">
        <f t="shared" si="27"/>
        <v>...</v>
      </c>
      <c r="AH227" s="12" t="str">
        <f t="shared" si="13"/>
        <v>...</v>
      </c>
      <c r="AI227" s="46" t="str">
        <f t="shared" si="40"/>
        <v>...</v>
      </c>
      <c r="AJ227" s="2"/>
      <c r="AK227" s="2"/>
      <c r="AL227" s="2"/>
      <c r="AM227" s="2"/>
      <c r="AN227" s="2"/>
      <c r="AO227" s="2"/>
    </row>
    <row r="228" ht="24.0" customHeight="1">
      <c r="A228" s="4"/>
      <c r="B228" s="30"/>
      <c r="C228" s="5" t="str">
        <f>IFERROR(__xludf.DUMMYFUNCTION("if(B228=0,""..."", sparkline(query(GOOGLEFINANCE(""BCBA:""&amp;B228,""price"",today()-$AM$47,today()),""select Col2"",0),{""charttype"",$AM$46}))"),"...")</f>
        <v>...</v>
      </c>
      <c r="D228" s="17"/>
      <c r="E228" s="31"/>
      <c r="F228" s="7"/>
      <c r="G228" s="8" t="str">
        <f t="shared" si="1"/>
        <v>...</v>
      </c>
      <c r="H228" s="31"/>
      <c r="I228" s="52"/>
      <c r="J228" s="45" t="str">
        <f t="shared" si="2"/>
        <v>...</v>
      </c>
      <c r="K228" s="47" t="str">
        <f t="array" ref="K228">IF(B228=0,"...",J228/VLOOKUP(D228,{CCL!M:N;CCL!$P:$Q},2,FALSE))</f>
        <v>...</v>
      </c>
      <c r="L228" s="45" t="str">
        <f t="shared" si="41"/>
        <v>...</v>
      </c>
      <c r="M228" s="45" t="str">
        <f>if(B228=0,"...",L228*(1-VLOOKUP(A228,Config!$B$3:$C$22,2,FALSE)))</f>
        <v>...</v>
      </c>
      <c r="N228" s="45" t="str">
        <f t="shared" si="3"/>
        <v>...</v>
      </c>
      <c r="O228" s="12" t="str">
        <f>IFERROR(__xludf.DUMMYFUNCTION("if(B228=0,""..."",GOOGLEFINANCE(B228,""changepct"")/100)"),"...")</f>
        <v>...</v>
      </c>
      <c r="P228" s="10" t="str">
        <f>IFERROR(__xludf.DUMMYFUNCTION("if(B228=0,""..."",GOOGLEFINANCE(B228,""change"")*H228)"),"...")</f>
        <v>...</v>
      </c>
      <c r="Q228" s="12" t="str">
        <f t="shared" si="4"/>
        <v>...</v>
      </c>
      <c r="R228" s="47" t="str">
        <f t="shared" si="5"/>
        <v>...</v>
      </c>
      <c r="S228" s="12" t="str">
        <f t="shared" si="36"/>
        <v>...</v>
      </c>
      <c r="T228" s="47" t="str">
        <f>IF(B228=0,"...",(N228/IF(E228="ABIERTA",CCL!$E$2,VLOOKUP(F228,CCL!$A$12:$B$773,2,FALSE))-K228))</f>
        <v>...</v>
      </c>
      <c r="U228" s="2"/>
      <c r="V228" s="10"/>
      <c r="W228" s="10"/>
      <c r="X228" s="59" t="str">
        <f t="shared" si="29"/>
        <v>...</v>
      </c>
      <c r="Y228" s="45" t="str">
        <f>IFERROR(__xludf.DUMMYFUNCTION("IF(W228=0,""..."",GOOGLEFINANCE(""BCBA:""&amp;W228))"),"...")</f>
        <v>...</v>
      </c>
      <c r="Z228" s="12"/>
      <c r="AA228" s="45"/>
      <c r="AB228" s="12" t="str">
        <f t="shared" si="26"/>
        <v/>
      </c>
      <c r="AC228" s="45" t="str">
        <f t="shared" si="37"/>
        <v>...</v>
      </c>
      <c r="AD228" s="45" t="str">
        <f t="shared" si="38"/>
        <v>...</v>
      </c>
      <c r="AE228" s="12" t="str">
        <f t="shared" si="11"/>
        <v>...</v>
      </c>
      <c r="AF228" s="45" t="str">
        <f t="shared" si="39"/>
        <v>...</v>
      </c>
      <c r="AG228" s="45" t="str">
        <f t="shared" si="27"/>
        <v>...</v>
      </c>
      <c r="AH228" s="12" t="str">
        <f t="shared" si="13"/>
        <v>...</v>
      </c>
      <c r="AI228" s="46" t="str">
        <f t="shared" si="40"/>
        <v>...</v>
      </c>
      <c r="AJ228" s="2"/>
      <c r="AK228" s="2"/>
      <c r="AL228" s="2"/>
      <c r="AM228" s="2"/>
      <c r="AN228" s="2"/>
      <c r="AO228" s="2"/>
    </row>
    <row r="229" ht="24.0" customHeight="1">
      <c r="A229" s="4"/>
      <c r="B229" s="30"/>
      <c r="C229" s="5" t="str">
        <f>IFERROR(__xludf.DUMMYFUNCTION("if(B229=0,""..."", sparkline(query(GOOGLEFINANCE(""BCBA:""&amp;B229,""price"",today()-$AM$47,today()),""select Col2"",0),{""charttype"",$AM$46}))"),"...")</f>
        <v>...</v>
      </c>
      <c r="D229" s="17"/>
      <c r="E229" s="31"/>
      <c r="F229" s="7"/>
      <c r="G229" s="8" t="str">
        <f t="shared" si="1"/>
        <v>...</v>
      </c>
      <c r="H229" s="31"/>
      <c r="I229" s="52"/>
      <c r="J229" s="45" t="str">
        <f t="shared" si="2"/>
        <v>...</v>
      </c>
      <c r="K229" s="47" t="str">
        <f t="array" ref="K229">IF(B229=0,"...",J229/VLOOKUP(D229,{CCL!M:N;CCL!$P:$Q},2,FALSE))</f>
        <v>...</v>
      </c>
      <c r="L229" s="45" t="str">
        <f t="shared" si="41"/>
        <v>...</v>
      </c>
      <c r="M229" s="45" t="str">
        <f>if(B229=0,"...",L229*(1-VLOOKUP(A229,Config!$B$3:$C$22,2,FALSE)))</f>
        <v>...</v>
      </c>
      <c r="N229" s="45" t="str">
        <f t="shared" si="3"/>
        <v>...</v>
      </c>
      <c r="O229" s="12" t="str">
        <f>IFERROR(__xludf.DUMMYFUNCTION("if(B229=0,""..."",GOOGLEFINANCE(B229,""changepct"")/100)"),"...")</f>
        <v>...</v>
      </c>
      <c r="P229" s="10" t="str">
        <f>IFERROR(__xludf.DUMMYFUNCTION("if(B229=0,""..."",GOOGLEFINANCE(B229,""change"")*H229)"),"...")</f>
        <v>...</v>
      </c>
      <c r="Q229" s="12" t="str">
        <f t="shared" si="4"/>
        <v>...</v>
      </c>
      <c r="R229" s="47" t="str">
        <f t="shared" si="5"/>
        <v>...</v>
      </c>
      <c r="S229" s="12" t="str">
        <f t="shared" si="36"/>
        <v>...</v>
      </c>
      <c r="T229" s="47" t="str">
        <f>IF(B229=0,"...",(N229/IF(E229="ABIERTA",CCL!$E$2,VLOOKUP(F229,CCL!$A$12:$B$773,2,FALSE))-K229))</f>
        <v>...</v>
      </c>
      <c r="U229" s="2"/>
      <c r="V229" s="10"/>
      <c r="W229" s="10"/>
      <c r="X229" s="59" t="str">
        <f t="shared" si="29"/>
        <v>...</v>
      </c>
      <c r="Y229" s="45" t="str">
        <f>IFERROR(__xludf.DUMMYFUNCTION("IF(W229=0,""..."",GOOGLEFINANCE(""BCBA:""&amp;W229))"),"...")</f>
        <v>...</v>
      </c>
      <c r="Z229" s="12"/>
      <c r="AA229" s="45"/>
      <c r="AB229" s="12" t="str">
        <f t="shared" si="26"/>
        <v/>
      </c>
      <c r="AC229" s="45" t="str">
        <f t="shared" si="37"/>
        <v>...</v>
      </c>
      <c r="AD229" s="45" t="str">
        <f t="shared" si="38"/>
        <v>...</v>
      </c>
      <c r="AE229" s="12" t="str">
        <f t="shared" si="11"/>
        <v>...</v>
      </c>
      <c r="AF229" s="45" t="str">
        <f t="shared" si="39"/>
        <v>...</v>
      </c>
      <c r="AG229" s="45" t="str">
        <f t="shared" si="27"/>
        <v>...</v>
      </c>
      <c r="AH229" s="12" t="str">
        <f t="shared" si="13"/>
        <v>...</v>
      </c>
      <c r="AI229" s="46" t="str">
        <f t="shared" si="40"/>
        <v>...</v>
      </c>
      <c r="AJ229" s="2"/>
      <c r="AK229" s="2"/>
      <c r="AL229" s="2"/>
      <c r="AM229" s="2"/>
      <c r="AN229" s="2"/>
      <c r="AO229" s="2"/>
    </row>
    <row r="230" ht="24.0" customHeight="1">
      <c r="A230" s="4"/>
      <c r="B230" s="30"/>
      <c r="C230" s="5" t="str">
        <f>IFERROR(__xludf.DUMMYFUNCTION("if(B230=0,""..."", sparkline(query(GOOGLEFINANCE(""BCBA:""&amp;B230,""price"",today()-$AM$47,today()),""select Col2"",0),{""charttype"",$AM$46}))"),"...")</f>
        <v>...</v>
      </c>
      <c r="D230" s="17"/>
      <c r="E230" s="31"/>
      <c r="F230" s="7"/>
      <c r="G230" s="8" t="str">
        <f t="shared" si="1"/>
        <v>...</v>
      </c>
      <c r="H230" s="31"/>
      <c r="I230" s="52"/>
      <c r="J230" s="45" t="str">
        <f t="shared" si="2"/>
        <v>...</v>
      </c>
      <c r="K230" s="47" t="str">
        <f t="array" ref="K230">IF(B230=0,"...",J230/VLOOKUP(D230,{CCL!M:N;CCL!$P:$Q},2,FALSE))</f>
        <v>...</v>
      </c>
      <c r="L230" s="45" t="str">
        <f t="shared" si="41"/>
        <v>...</v>
      </c>
      <c r="M230" s="45" t="str">
        <f>if(B230=0,"...",L230*(1-VLOOKUP(A230,Config!$B$3:$C$22,2,FALSE)))</f>
        <v>...</v>
      </c>
      <c r="N230" s="45" t="str">
        <f t="shared" si="3"/>
        <v>...</v>
      </c>
      <c r="O230" s="12" t="str">
        <f>IFERROR(__xludf.DUMMYFUNCTION("if(B230=0,""..."",GOOGLEFINANCE(B230,""changepct"")/100)"),"...")</f>
        <v>...</v>
      </c>
      <c r="P230" s="10" t="str">
        <f>IFERROR(__xludf.DUMMYFUNCTION("if(B230=0,""..."",GOOGLEFINANCE(B230,""change"")*H230)"),"...")</f>
        <v>...</v>
      </c>
      <c r="Q230" s="12" t="str">
        <f t="shared" si="4"/>
        <v>...</v>
      </c>
      <c r="R230" s="47" t="str">
        <f t="shared" si="5"/>
        <v>...</v>
      </c>
      <c r="S230" s="12" t="str">
        <f t="shared" si="36"/>
        <v>...</v>
      </c>
      <c r="T230" s="47" t="str">
        <f>IF(B230=0,"...",(N230/IF(E230="ABIERTA",CCL!$E$2,VLOOKUP(F230,CCL!$A$12:$B$773,2,FALSE))-K230))</f>
        <v>...</v>
      </c>
      <c r="U230" s="2"/>
      <c r="V230" s="10"/>
      <c r="W230" s="10"/>
      <c r="X230" s="59" t="str">
        <f t="shared" si="29"/>
        <v>...</v>
      </c>
      <c r="Y230" s="45" t="str">
        <f>IFERROR(__xludf.DUMMYFUNCTION("IF(W230=0,""..."",GOOGLEFINANCE(""BCBA:""&amp;W230))"),"...")</f>
        <v>...</v>
      </c>
      <c r="Z230" s="12"/>
      <c r="AA230" s="45"/>
      <c r="AB230" s="12" t="str">
        <f t="shared" si="26"/>
        <v/>
      </c>
      <c r="AC230" s="45" t="str">
        <f t="shared" si="37"/>
        <v>...</v>
      </c>
      <c r="AD230" s="45" t="str">
        <f t="shared" si="38"/>
        <v>...</v>
      </c>
      <c r="AE230" s="12" t="str">
        <f t="shared" si="11"/>
        <v>...</v>
      </c>
      <c r="AF230" s="45" t="str">
        <f t="shared" si="39"/>
        <v>...</v>
      </c>
      <c r="AG230" s="45" t="str">
        <f t="shared" si="27"/>
        <v>...</v>
      </c>
      <c r="AH230" s="12" t="str">
        <f t="shared" si="13"/>
        <v>...</v>
      </c>
      <c r="AI230" s="46" t="str">
        <f t="shared" si="40"/>
        <v>...</v>
      </c>
      <c r="AJ230" s="2"/>
      <c r="AK230" s="2"/>
      <c r="AL230" s="2"/>
      <c r="AM230" s="2"/>
      <c r="AN230" s="2"/>
      <c r="AO230" s="2"/>
    </row>
    <row r="231" ht="24.0" customHeight="1">
      <c r="A231" s="4"/>
      <c r="B231" s="30"/>
      <c r="C231" s="5" t="str">
        <f>IFERROR(__xludf.DUMMYFUNCTION("if(B231=0,""..."", sparkline(query(GOOGLEFINANCE(""BCBA:""&amp;B231,""price"",today()-$AM$47,today()),""select Col2"",0),{""charttype"",$AM$46}))"),"...")</f>
        <v>...</v>
      </c>
      <c r="D231" s="17"/>
      <c r="E231" s="31"/>
      <c r="F231" s="7"/>
      <c r="G231" s="8" t="str">
        <f t="shared" si="1"/>
        <v>...</v>
      </c>
      <c r="H231" s="31"/>
      <c r="I231" s="52"/>
      <c r="J231" s="45" t="str">
        <f t="shared" si="2"/>
        <v>...</v>
      </c>
      <c r="K231" s="47" t="str">
        <f t="array" ref="K231">IF(B231=0,"...",J231/VLOOKUP(D231,{CCL!M:N;CCL!$P:$Q},2,FALSE))</f>
        <v>...</v>
      </c>
      <c r="L231" s="45" t="str">
        <f t="shared" si="41"/>
        <v>...</v>
      </c>
      <c r="M231" s="45" t="str">
        <f>if(B231=0,"...",L231*(1-VLOOKUP(A231,Config!$B$3:$C$22,2,FALSE)))</f>
        <v>...</v>
      </c>
      <c r="N231" s="45" t="str">
        <f t="shared" si="3"/>
        <v>...</v>
      </c>
      <c r="O231" s="12" t="str">
        <f>IFERROR(__xludf.DUMMYFUNCTION("if(B231=0,""..."",GOOGLEFINANCE(B231,""changepct"")/100)"),"...")</f>
        <v>...</v>
      </c>
      <c r="P231" s="10" t="str">
        <f>IFERROR(__xludf.DUMMYFUNCTION("if(B231=0,""..."",GOOGLEFINANCE(B231,""change"")*H231)"),"...")</f>
        <v>...</v>
      </c>
      <c r="Q231" s="12" t="str">
        <f t="shared" si="4"/>
        <v>...</v>
      </c>
      <c r="R231" s="47" t="str">
        <f t="shared" si="5"/>
        <v>...</v>
      </c>
      <c r="S231" s="12" t="str">
        <f t="shared" si="36"/>
        <v>...</v>
      </c>
      <c r="T231" s="47" t="str">
        <f>IF(B231=0,"...",(N231/IF(E231="ABIERTA",CCL!$E$2,VLOOKUP(F231,CCL!$A$12:$B$773,2,FALSE))-K231))</f>
        <v>...</v>
      </c>
      <c r="U231" s="2"/>
      <c r="V231" s="10"/>
      <c r="W231" s="10"/>
      <c r="X231" s="59" t="str">
        <f t="shared" si="29"/>
        <v>...</v>
      </c>
      <c r="Y231" s="45" t="str">
        <f>IFERROR(__xludf.DUMMYFUNCTION("IF(W231=0,""..."",GOOGLEFINANCE(""BCBA:""&amp;W231))"),"...")</f>
        <v>...</v>
      </c>
      <c r="Z231" s="12"/>
      <c r="AA231" s="45"/>
      <c r="AB231" s="12" t="str">
        <f t="shared" si="26"/>
        <v/>
      </c>
      <c r="AC231" s="45" t="str">
        <f t="shared" si="37"/>
        <v>...</v>
      </c>
      <c r="AD231" s="45" t="str">
        <f t="shared" si="38"/>
        <v>...</v>
      </c>
      <c r="AE231" s="12" t="str">
        <f t="shared" si="11"/>
        <v>...</v>
      </c>
      <c r="AF231" s="45" t="str">
        <f t="shared" si="39"/>
        <v>...</v>
      </c>
      <c r="AG231" s="45" t="str">
        <f t="shared" si="27"/>
        <v>...</v>
      </c>
      <c r="AH231" s="12" t="str">
        <f t="shared" si="13"/>
        <v>...</v>
      </c>
      <c r="AI231" s="46" t="str">
        <f t="shared" si="40"/>
        <v>...</v>
      </c>
      <c r="AJ231" s="2"/>
      <c r="AK231" s="2"/>
      <c r="AL231" s="2"/>
      <c r="AM231" s="2"/>
      <c r="AN231" s="2"/>
      <c r="AO231" s="2"/>
    </row>
    <row r="232" ht="24.0" customHeight="1">
      <c r="A232" s="4"/>
      <c r="B232" s="30"/>
      <c r="C232" s="5" t="str">
        <f>IFERROR(__xludf.DUMMYFUNCTION("if(B232=0,""..."", sparkline(query(GOOGLEFINANCE(""BCBA:""&amp;B232,""price"",today()-$AM$47,today()),""select Col2"",0),{""charttype"",$AM$46}))"),"...")</f>
        <v>...</v>
      </c>
      <c r="D232" s="17"/>
      <c r="E232" s="31"/>
      <c r="F232" s="7"/>
      <c r="G232" s="8" t="str">
        <f t="shared" si="1"/>
        <v>...</v>
      </c>
      <c r="H232" s="31"/>
      <c r="I232" s="52"/>
      <c r="J232" s="45" t="str">
        <f t="shared" si="2"/>
        <v>...</v>
      </c>
      <c r="K232" s="47" t="str">
        <f t="array" ref="K232">IF(B232=0,"...",J232/VLOOKUP(D232,{CCL!M:N;CCL!$P:$Q},2,FALSE))</f>
        <v>...</v>
      </c>
      <c r="L232" s="45" t="str">
        <f t="shared" si="41"/>
        <v>...</v>
      </c>
      <c r="M232" s="45" t="str">
        <f>if(B232=0,"...",L232*(1-VLOOKUP(A232,Config!$B$3:$C$22,2,FALSE)))</f>
        <v>...</v>
      </c>
      <c r="N232" s="45" t="str">
        <f t="shared" si="3"/>
        <v>...</v>
      </c>
      <c r="O232" s="12" t="str">
        <f>IFERROR(__xludf.DUMMYFUNCTION("if(B232=0,""..."",GOOGLEFINANCE(B232,""changepct"")/100)"),"...")</f>
        <v>...</v>
      </c>
      <c r="P232" s="10" t="str">
        <f>IFERROR(__xludf.DUMMYFUNCTION("if(B232=0,""..."",GOOGLEFINANCE(B232,""change"")*H232)"),"...")</f>
        <v>...</v>
      </c>
      <c r="Q232" s="12" t="str">
        <f t="shared" si="4"/>
        <v>...</v>
      </c>
      <c r="R232" s="47" t="str">
        <f t="shared" si="5"/>
        <v>...</v>
      </c>
      <c r="S232" s="12" t="str">
        <f t="shared" si="36"/>
        <v>...</v>
      </c>
      <c r="T232" s="47" t="str">
        <f>IF(B232=0,"...",(N232/IF(E232="ABIERTA",CCL!$E$2,VLOOKUP(F232,CCL!$A$12:$B$773,2,FALSE))-K232))</f>
        <v>...</v>
      </c>
      <c r="U232" s="2"/>
      <c r="V232" s="10"/>
      <c r="W232" s="10"/>
      <c r="X232" s="59" t="str">
        <f t="shared" si="29"/>
        <v>...</v>
      </c>
      <c r="Y232" s="45" t="str">
        <f>IFERROR(__xludf.DUMMYFUNCTION("IF(W232=0,""..."",GOOGLEFINANCE(""BCBA:""&amp;W232))"),"...")</f>
        <v>...</v>
      </c>
      <c r="Z232" s="12"/>
      <c r="AA232" s="45"/>
      <c r="AB232" s="12" t="str">
        <f t="shared" si="26"/>
        <v/>
      </c>
      <c r="AC232" s="45" t="str">
        <f t="shared" si="37"/>
        <v>...</v>
      </c>
      <c r="AD232" s="45" t="str">
        <f t="shared" si="38"/>
        <v>...</v>
      </c>
      <c r="AE232" s="12" t="str">
        <f t="shared" si="11"/>
        <v>...</v>
      </c>
      <c r="AF232" s="45" t="str">
        <f t="shared" si="39"/>
        <v>...</v>
      </c>
      <c r="AG232" s="45" t="str">
        <f t="shared" si="27"/>
        <v>...</v>
      </c>
      <c r="AH232" s="12" t="str">
        <f t="shared" si="13"/>
        <v>...</v>
      </c>
      <c r="AI232" s="46" t="str">
        <f t="shared" si="40"/>
        <v>...</v>
      </c>
      <c r="AJ232" s="2"/>
      <c r="AK232" s="2"/>
      <c r="AL232" s="2"/>
      <c r="AM232" s="2"/>
      <c r="AN232" s="2"/>
      <c r="AO232" s="2"/>
    </row>
    <row r="233" ht="24.0" customHeight="1">
      <c r="A233" s="4"/>
      <c r="B233" s="30"/>
      <c r="C233" s="5" t="str">
        <f>IFERROR(__xludf.DUMMYFUNCTION("if(B233=0,""..."", sparkline(query(GOOGLEFINANCE(""BCBA:""&amp;B233,""price"",today()-$AM$47,today()),""select Col2"",0),{""charttype"",$AM$46}))"),"...")</f>
        <v>...</v>
      </c>
      <c r="D233" s="17"/>
      <c r="E233" s="31"/>
      <c r="F233" s="7"/>
      <c r="G233" s="8" t="str">
        <f t="shared" si="1"/>
        <v>...</v>
      </c>
      <c r="H233" s="31"/>
      <c r="I233" s="52"/>
      <c r="J233" s="45" t="str">
        <f t="shared" si="2"/>
        <v>...</v>
      </c>
      <c r="K233" s="47" t="str">
        <f t="array" ref="K233">IF(B233=0,"...",J233/VLOOKUP(D233,{CCL!M:N;CCL!$P:$Q},2,FALSE))</f>
        <v>...</v>
      </c>
      <c r="L233" s="45" t="str">
        <f t="shared" si="41"/>
        <v>...</v>
      </c>
      <c r="M233" s="45" t="str">
        <f>if(B233=0,"...",L233*(1-VLOOKUP(A233,Config!$B$3:$C$22,2,FALSE)))</f>
        <v>...</v>
      </c>
      <c r="N233" s="45" t="str">
        <f t="shared" si="3"/>
        <v>...</v>
      </c>
      <c r="O233" s="12" t="str">
        <f>IFERROR(__xludf.DUMMYFUNCTION("if(B233=0,""..."",GOOGLEFINANCE(B233,""changepct"")/100)"),"...")</f>
        <v>...</v>
      </c>
      <c r="P233" s="10" t="str">
        <f>IFERROR(__xludf.DUMMYFUNCTION("if(B233=0,""..."",GOOGLEFINANCE(B233,""change"")*H233)"),"...")</f>
        <v>...</v>
      </c>
      <c r="Q233" s="12" t="str">
        <f t="shared" si="4"/>
        <v>...</v>
      </c>
      <c r="R233" s="47" t="str">
        <f t="shared" si="5"/>
        <v>...</v>
      </c>
      <c r="S233" s="12" t="str">
        <f t="shared" si="36"/>
        <v>...</v>
      </c>
      <c r="T233" s="47" t="str">
        <f>IF(B233=0,"...",(N233/IF(E233="ABIERTA",CCL!$E$2,VLOOKUP(F233,CCL!$A$12:$B$773,2,FALSE))-K233))</f>
        <v>...</v>
      </c>
      <c r="U233" s="2"/>
      <c r="V233" s="10"/>
      <c r="W233" s="10"/>
      <c r="X233" s="59" t="str">
        <f t="shared" si="29"/>
        <v>...</v>
      </c>
      <c r="Y233" s="45" t="str">
        <f>IFERROR(__xludf.DUMMYFUNCTION("IF(W233=0,""..."",GOOGLEFINANCE(""BCBA:""&amp;W233))"),"...")</f>
        <v>...</v>
      </c>
      <c r="Z233" s="12"/>
      <c r="AA233" s="45"/>
      <c r="AB233" s="12" t="str">
        <f t="shared" si="26"/>
        <v/>
      </c>
      <c r="AC233" s="45" t="str">
        <f t="shared" si="37"/>
        <v>...</v>
      </c>
      <c r="AD233" s="45" t="str">
        <f t="shared" si="38"/>
        <v>...</v>
      </c>
      <c r="AE233" s="12" t="str">
        <f t="shared" si="11"/>
        <v>...</v>
      </c>
      <c r="AF233" s="45" t="str">
        <f t="shared" si="39"/>
        <v>...</v>
      </c>
      <c r="AG233" s="45" t="str">
        <f t="shared" si="27"/>
        <v>...</v>
      </c>
      <c r="AH233" s="12" t="str">
        <f t="shared" si="13"/>
        <v>...</v>
      </c>
      <c r="AI233" s="46" t="str">
        <f t="shared" si="40"/>
        <v>...</v>
      </c>
      <c r="AJ233" s="2"/>
      <c r="AK233" s="2"/>
      <c r="AL233" s="2"/>
      <c r="AM233" s="2"/>
      <c r="AN233" s="2"/>
      <c r="AO233" s="2"/>
    </row>
    <row r="234" ht="24.0" customHeight="1">
      <c r="A234" s="2"/>
      <c r="B234" s="2"/>
      <c r="C234" s="2"/>
      <c r="D234" s="61"/>
      <c r="E234" s="2"/>
      <c r="F234" s="2"/>
      <c r="G234" s="2"/>
      <c r="H234" s="2"/>
      <c r="I234" s="53"/>
      <c r="J234" s="53"/>
      <c r="K234" s="53"/>
      <c r="L234" s="53"/>
      <c r="M234" s="53"/>
      <c r="N234" s="53"/>
      <c r="O234" s="2"/>
      <c r="P234" s="2"/>
      <c r="Q234" s="2"/>
      <c r="R234" s="53"/>
      <c r="S234" s="2"/>
      <c r="T234" s="53"/>
      <c r="U234" s="2"/>
      <c r="V234" s="2"/>
      <c r="W234" s="2"/>
      <c r="X234" s="62"/>
      <c r="Y234" s="53"/>
      <c r="Z234" s="2"/>
      <c r="AA234" s="53"/>
      <c r="AB234" s="2"/>
      <c r="AC234" s="53"/>
      <c r="AD234" s="53"/>
      <c r="AE234" s="2"/>
      <c r="AF234" s="53"/>
      <c r="AG234" s="2"/>
      <c r="AH234" s="2"/>
      <c r="AI234" s="53"/>
      <c r="AJ234" s="2"/>
      <c r="AK234" s="2"/>
      <c r="AL234" s="2"/>
      <c r="AM234" s="2"/>
      <c r="AN234" s="2"/>
      <c r="AO234" s="2"/>
    </row>
  </sheetData>
  <autoFilter ref="$A$1:$T$233"/>
  <mergeCells count="29">
    <mergeCell ref="AK31:AK32"/>
    <mergeCell ref="AL31:AL32"/>
    <mergeCell ref="AM31:AM32"/>
    <mergeCell ref="AN31:AN32"/>
    <mergeCell ref="AL33:AL34"/>
    <mergeCell ref="AM33:AM34"/>
    <mergeCell ref="AN33:AN34"/>
    <mergeCell ref="AM38:AM39"/>
    <mergeCell ref="AN38:AN39"/>
    <mergeCell ref="AK33:AK34"/>
    <mergeCell ref="AK35:AK36"/>
    <mergeCell ref="AL35:AL36"/>
    <mergeCell ref="AM35:AM36"/>
    <mergeCell ref="AN35:AN36"/>
    <mergeCell ref="AK38:AK39"/>
    <mergeCell ref="AL38:AL39"/>
    <mergeCell ref="AK42:AK43"/>
    <mergeCell ref="AK44:AK45"/>
    <mergeCell ref="AL44:AL45"/>
    <mergeCell ref="AM44:AM45"/>
    <mergeCell ref="AN44:AN45"/>
    <mergeCell ref="AK46:AK47"/>
    <mergeCell ref="AK40:AK41"/>
    <mergeCell ref="AL40:AL41"/>
    <mergeCell ref="AM40:AM41"/>
    <mergeCell ref="AN40:AN41"/>
    <mergeCell ref="AL42:AL43"/>
    <mergeCell ref="AM42:AM43"/>
    <mergeCell ref="AN42:AN43"/>
  </mergeCells>
  <conditionalFormatting sqref="AL31:AL45 AN31:AN45">
    <cfRule type="cellIs" dxfId="9" priority="1" operator="greaterThanOrEqual">
      <formula>0</formula>
    </cfRule>
  </conditionalFormatting>
  <conditionalFormatting sqref="AL31:AL45 AN31:AN45">
    <cfRule type="cellIs" dxfId="10" priority="2" operator="lessThan">
      <formula>0</formula>
    </cfRule>
  </conditionalFormatting>
  <conditionalFormatting sqref="O2:O233 Q2:Q233 S2:S233 AE2:AE233 AH2:AH233">
    <cfRule type="cellIs" dxfId="0" priority="3" operator="greaterThanOrEqual">
      <formula>"10%"</formula>
    </cfRule>
  </conditionalFormatting>
  <conditionalFormatting sqref="O2:O233 Q2:Q233 S2:S233 AE2:AE233 AG2:AH233">
    <cfRule type="cellIs" dxfId="1" priority="4" operator="between">
      <formula>"1%"</formula>
      <formula>"10%"</formula>
    </cfRule>
  </conditionalFormatting>
  <conditionalFormatting sqref="O2:O233 Q2:Q233 S2:S233 AE2:AE233 AG2:AH233">
    <cfRule type="cellIs" dxfId="2" priority="5" operator="lessThanOrEqual">
      <formula>"-10%"</formula>
    </cfRule>
  </conditionalFormatting>
  <conditionalFormatting sqref="O2:O233 Q2:Q233 S2:S233 AE2:AE233 AG2:AH233">
    <cfRule type="cellIs" dxfId="3" priority="6" operator="between">
      <formula>"-1%"</formula>
      <formula>"-10%"</formula>
    </cfRule>
  </conditionalFormatting>
  <conditionalFormatting sqref="O2:O233 Q2:Q233 S2:S233 AE2:AE233 AG2:AH233">
    <cfRule type="cellIs" dxfId="4" priority="7" operator="between">
      <formula>"-1%"</formula>
      <formula>"1%"</formula>
    </cfRule>
  </conditionalFormatting>
  <conditionalFormatting sqref="L2:L233">
    <cfRule type="expression" dxfId="5" priority="8">
      <formula>L2&gt;I2</formula>
    </cfRule>
  </conditionalFormatting>
  <conditionalFormatting sqref="L2:L233">
    <cfRule type="expression" dxfId="6" priority="9">
      <formula>L2&lt;I2</formula>
    </cfRule>
  </conditionalFormatting>
  <conditionalFormatting sqref="E2:E233">
    <cfRule type="containsText" dxfId="7" priority="10" operator="containsText" text="ABIERTA">
      <formula>NOT(ISERROR(SEARCH(("ABIERTA"),(E2))))</formula>
    </cfRule>
  </conditionalFormatting>
  <conditionalFormatting sqref="E2:E233">
    <cfRule type="containsText" dxfId="8" priority="11" operator="containsText" text="CERRADA">
      <formula>NOT(ISERROR(SEARCH(("CERRADA"),(E2))))</formula>
    </cfRule>
  </conditionalFormatting>
  <dataValidations>
    <dataValidation type="list" allowBlank="1" sqref="A2:A233">
      <formula1>Config!$B$3:$B$22</formula1>
    </dataValidation>
    <dataValidation type="list" allowBlank="1" sqref="E2:E233">
      <formula1>"ABIERTA,CERRADA"</formula1>
    </dataValidation>
    <dataValidation type="list" allowBlank="1" sqref="AM47">
      <formula1>"7,14,28,365"</formula1>
    </dataValidation>
    <dataValidation type="list" allowBlank="1" sqref="AM46">
      <formula1>"line,column"</formula1>
    </dataValidation>
    <dataValidation type="custom" allowBlank="1" showDropDown="1" sqref="D2:D233 F2:F233">
      <formula1>OR(NOT(ISERROR(DATEVALUE(D2))), AND(ISNUMBER(D2), LEFT(CELL("format", D2))="D"))</formula1>
    </dataValidation>
  </dataValidations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1"/>
      <c r="B1" s="72"/>
      <c r="D1" s="1" t="s">
        <v>67</v>
      </c>
      <c r="E1" s="1" t="s">
        <v>147</v>
      </c>
      <c r="G1" s="73" t="s">
        <v>1</v>
      </c>
      <c r="H1" s="73" t="s">
        <v>148</v>
      </c>
      <c r="I1" s="73" t="s">
        <v>149</v>
      </c>
      <c r="J1" s="73" t="s">
        <v>150</v>
      </c>
      <c r="K1" s="73" t="s">
        <v>147</v>
      </c>
      <c r="L1" s="35">
        <v>45884.0</v>
      </c>
      <c r="M1" s="36" t="str">
        <f>IFERROR(__xludf.DUMMYFUNCTION("ARRAYFORMULA( SPLIT( TRANSPOSE( SPLIT(  SUBSTITUTE( SUBSTITUTE( SUBSTITUTE( SUBSTITUTE( SUBSTITUTE( IMPORTDATA(""https://mercados.ambito.com///dolarrava/cl/historico-general/01-11-2021/"" &amp; TEXT(TODAY()-L3, ""dd-mm-yyyy""),""="") ,CHAR(34)&amp;""]]"",""""), "&amp;"""[[""&amp;CHAR(34),""""), CHAR(34)&amp;""],[""&amp;CHAR(34),""#""), CHAR(34)&amp;"",""&amp;CHAR(34),""%""), ""\"", """"),""#"",TRUE)) ,""%"",TRUE))"),"Fecha")</f>
        <v>Fecha</v>
      </c>
      <c r="N1" s="74" t="str">
        <f>IFERROR(__xludf.DUMMYFUNCTION("""COMPUTED_VALUE"""),"Referencia")</f>
        <v>Referencia</v>
      </c>
      <c r="O1" s="74"/>
      <c r="P1" s="36" t="str">
        <f>IFERROR(__xludf.DUMMYFUNCTION("ARRAYFORMULA( SPLIT( TRANSPOSE( SPLIT(  SUBSTITUTE( SUBSTITUTE( SUBSTITUTE( SUBSTITUTE( SUBSTITUTE( IMPORTDATA(""https://mercados.ambito.com///dolarrava/cl/historico-general/14-08-2025/"" &amp; TEXT(TODAY(), ""dd-mm-yyyy""),""="") ,CHAR(34)&amp;""]]"",""""), ""[["&amp;"""&amp;CHAR(34),""""), CHAR(34)&amp;""],[""&amp;CHAR(34),""#""), CHAR(34)&amp;"",""&amp;CHAR(34),""%""), ""\"", """"),""#"",TRUE)) ,""%"",TRUE))"),"Fecha")</f>
        <v>Fecha</v>
      </c>
      <c r="Q1" s="36" t="str">
        <f>IFERROR(__xludf.DUMMYFUNCTION("""COMPUTED_VALUE"""),"Referencia")</f>
        <v>Referencia</v>
      </c>
    </row>
    <row r="2">
      <c r="A2" s="71"/>
      <c r="B2" s="72"/>
      <c r="D2" s="5">
        <f t="shared" ref="D2:E2" si="1">P2</f>
        <v>46115</v>
      </c>
      <c r="E2" s="11">
        <f t="shared" si="1"/>
        <v>1477.45</v>
      </c>
      <c r="G2" s="75" t="s">
        <v>119</v>
      </c>
      <c r="H2" s="76">
        <v>20.0</v>
      </c>
      <c r="I2" s="75">
        <f>IFERROR(__xludf.DUMMYFUNCTION("GOOGLEFINANCE(G2)"),255.92)</f>
        <v>255.92</v>
      </c>
      <c r="J2" s="75">
        <f>IFERROR(__xludf.DUMMYFUNCTION("GOOGLEFINANCE(""BCBA:""&amp;G2)"),18990.0)</f>
        <v>18990</v>
      </c>
      <c r="K2" s="75">
        <f t="shared" ref="K2:K3" si="3">H2*J2/I2</f>
        <v>1484.057518</v>
      </c>
      <c r="L2" s="77">
        <f>TODAY()</f>
        <v>46117</v>
      </c>
      <c r="M2" s="78">
        <f>IFERROR(__xludf.DUMMYFUNCTION("""COMPUTED_VALUE"""),45881.0)</f>
        <v>45881</v>
      </c>
      <c r="N2" s="74">
        <f>IFERROR(__xludf.DUMMYFUNCTION("""COMPUTED_VALUE"""),1324.07)</f>
        <v>1324.07</v>
      </c>
      <c r="O2" s="74" t="str">
        <f t="shared" ref="O2:O11" si="4">SUBSTITUTE(N2,".",",")</f>
        <v>1324,07</v>
      </c>
      <c r="P2" s="79">
        <f>IFERROR(__xludf.DUMMYFUNCTION("""COMPUTED_VALUE"""),46115.0)</f>
        <v>46115</v>
      </c>
      <c r="Q2" s="36">
        <f>IFERROR(__xludf.DUMMYFUNCTION("""COMPUTED_VALUE"""),1477.45)</f>
        <v>1477.45</v>
      </c>
    </row>
    <row r="3">
      <c r="A3" s="71"/>
      <c r="B3" s="72"/>
      <c r="D3" s="5">
        <f t="shared" ref="D3:E3" si="2">P3</f>
        <v>46114</v>
      </c>
      <c r="E3" s="11">
        <f t="shared" si="2"/>
        <v>1477.45</v>
      </c>
      <c r="G3" s="75" t="s">
        <v>118</v>
      </c>
      <c r="H3" s="76">
        <v>144.0</v>
      </c>
      <c r="I3" s="75">
        <f>IFERROR(__xludf.DUMMYFUNCTION("GOOGLEFINANCE(G3)"),209.77)</f>
        <v>209.77</v>
      </c>
      <c r="J3" s="75">
        <f>IFERROR(__xludf.DUMMYFUNCTION("GOOGLEFINANCE(""BCBA:""&amp;G3)"),2181.0)</f>
        <v>2181</v>
      </c>
      <c r="K3" s="75">
        <f t="shared" si="3"/>
        <v>1497.182629</v>
      </c>
      <c r="L3" s="36">
        <f>DATEDIF(L1,L2,"d")+2</f>
        <v>235</v>
      </c>
      <c r="M3" s="78">
        <f>IFERROR(__xludf.DUMMYFUNCTION("""COMPUTED_VALUE"""),45880.0)</f>
        <v>45880</v>
      </c>
      <c r="N3" s="74">
        <f>IFERROR(__xludf.DUMMYFUNCTION("""COMPUTED_VALUE"""),1328.62)</f>
        <v>1328.62</v>
      </c>
      <c r="O3" s="74" t="str">
        <f t="shared" si="4"/>
        <v>1328,62</v>
      </c>
      <c r="P3" s="79">
        <f>IFERROR(__xludf.DUMMYFUNCTION("""COMPUTED_VALUE"""),46114.0)</f>
        <v>46114</v>
      </c>
      <c r="Q3" s="36">
        <f>IFERROR(__xludf.DUMMYFUNCTION("""COMPUTED_VALUE"""),1477.45)</f>
        <v>1477.45</v>
      </c>
    </row>
    <row r="4">
      <c r="A4" s="71"/>
      <c r="B4" s="72"/>
      <c r="D4" s="5">
        <f t="shared" ref="D4:E4" si="5">P4</f>
        <v>46113</v>
      </c>
      <c r="E4" s="11">
        <f t="shared" si="5"/>
        <v>1489.88</v>
      </c>
      <c r="G4" s="75" t="s">
        <v>151</v>
      </c>
      <c r="H4" s="76">
        <v>2.0</v>
      </c>
      <c r="I4" s="75">
        <f>IFERROR(__xludf.DUMMYFUNCTION("GOOGLEFINANCE(G4)"),41.27)</f>
        <v>41.27</v>
      </c>
      <c r="J4" s="75"/>
      <c r="K4" s="75"/>
      <c r="M4" s="78">
        <f>IFERROR(__xludf.DUMMYFUNCTION("""COMPUTED_VALUE"""),45877.0)</f>
        <v>45877</v>
      </c>
      <c r="N4" s="74">
        <f>IFERROR(__xludf.DUMMYFUNCTION("""COMPUTED_VALUE"""),1336.37)</f>
        <v>1336.37</v>
      </c>
      <c r="O4" s="74" t="str">
        <f t="shared" si="4"/>
        <v>1336,37</v>
      </c>
      <c r="P4" s="79">
        <f>IFERROR(__xludf.DUMMYFUNCTION("""COMPUTED_VALUE"""),46113.0)</f>
        <v>46113</v>
      </c>
      <c r="Q4" s="36">
        <f>IFERROR(__xludf.DUMMYFUNCTION("""COMPUTED_VALUE"""),1489.88)</f>
        <v>1489.88</v>
      </c>
    </row>
    <row r="5">
      <c r="A5" s="71"/>
      <c r="B5" s="72"/>
      <c r="D5" s="5">
        <f t="shared" ref="D5:E5" si="6">P5</f>
        <v>46112</v>
      </c>
      <c r="E5" s="11">
        <f t="shared" si="6"/>
        <v>1475.35</v>
      </c>
      <c r="G5" s="75" t="s">
        <v>120</v>
      </c>
      <c r="H5" s="76">
        <v>120.0</v>
      </c>
      <c r="I5" s="75">
        <f>IFERROR(__xludf.DUMMYFUNCTION("GOOGLEFINANCE(G5)"),1715.52)</f>
        <v>1715.52</v>
      </c>
      <c r="J5" s="75">
        <f>IFERROR(__xludf.DUMMYFUNCTION("GOOGLEFINANCE(""BCBA:""&amp;G5)"),21350.0)</f>
        <v>21350</v>
      </c>
      <c r="K5" s="75">
        <f t="shared" ref="K5:K9" si="8">H5*J5/I5</f>
        <v>1493.424734</v>
      </c>
      <c r="M5" s="78">
        <f>IFERROR(__xludf.DUMMYFUNCTION("""COMPUTED_VALUE"""),45876.0)</f>
        <v>45876</v>
      </c>
      <c r="N5" s="74">
        <f>IFERROR(__xludf.DUMMYFUNCTION("""COMPUTED_VALUE"""),1334.66)</f>
        <v>1334.66</v>
      </c>
      <c r="O5" s="74" t="str">
        <f t="shared" si="4"/>
        <v>1334,66</v>
      </c>
      <c r="P5" s="79">
        <f>IFERROR(__xludf.DUMMYFUNCTION("""COMPUTED_VALUE"""),46112.0)</f>
        <v>46112</v>
      </c>
      <c r="Q5" s="36">
        <f>IFERROR(__xludf.DUMMYFUNCTION("""COMPUTED_VALUE"""),1475.35)</f>
        <v>1475.35</v>
      </c>
    </row>
    <row r="6">
      <c r="A6" s="71"/>
      <c r="B6" s="72"/>
      <c r="D6" s="5">
        <f t="shared" ref="D6:E6" si="7">P6</f>
        <v>46111</v>
      </c>
      <c r="E6" s="11">
        <f t="shared" si="7"/>
        <v>1486.17</v>
      </c>
      <c r="G6" s="75" t="s">
        <v>123</v>
      </c>
      <c r="H6" s="80">
        <v>5.0</v>
      </c>
      <c r="I6" s="75">
        <f>IFERROR(__xludf.DUMMYFUNCTION("GOOGLEFINANCE(G6)"),76.72)</f>
        <v>76.72</v>
      </c>
      <c r="J6" s="75">
        <f>IFERROR(__xludf.DUMMYFUNCTION("GOOGLEFINANCE(""BCBA:""&amp;G6)"),22670.0)</f>
        <v>22670</v>
      </c>
      <c r="K6" s="75">
        <f t="shared" si="8"/>
        <v>1477.450469</v>
      </c>
      <c r="M6" s="78">
        <f>IFERROR(__xludf.DUMMYFUNCTION("""COMPUTED_VALUE"""),45875.0)</f>
        <v>45875</v>
      </c>
      <c r="N6" s="74">
        <f>IFERROR(__xludf.DUMMYFUNCTION("""COMPUTED_VALUE"""),1337.94)</f>
        <v>1337.94</v>
      </c>
      <c r="O6" s="74" t="str">
        <f t="shared" si="4"/>
        <v>1337,94</v>
      </c>
      <c r="P6" s="79">
        <f>IFERROR(__xludf.DUMMYFUNCTION("""COMPUTED_VALUE"""),46111.0)</f>
        <v>46111</v>
      </c>
      <c r="Q6" s="36">
        <f>IFERROR(__xludf.DUMMYFUNCTION("""COMPUTED_VALUE"""),1486.17)</f>
        <v>1486.17</v>
      </c>
    </row>
    <row r="7">
      <c r="A7" s="71"/>
      <c r="B7" s="72"/>
      <c r="D7" s="5">
        <f t="shared" ref="D7:E7" si="9">P7</f>
        <v>46108</v>
      </c>
      <c r="E7" s="11">
        <f t="shared" si="9"/>
        <v>1474.05</v>
      </c>
      <c r="G7" s="75" t="s">
        <v>110</v>
      </c>
      <c r="H7" s="76">
        <v>30.0</v>
      </c>
      <c r="I7" s="75">
        <f>IFERROR(__xludf.DUMMYFUNCTION("GOOGLEFINANCE(G7)"),373.46)</f>
        <v>373.46</v>
      </c>
      <c r="J7" s="75">
        <f>IFERROR(__xludf.DUMMYFUNCTION("GOOGLEFINANCE(""BCBA:""&amp;G7)"),18330.0)</f>
        <v>18330</v>
      </c>
      <c r="K7" s="75">
        <f t="shared" si="8"/>
        <v>1472.446848</v>
      </c>
      <c r="M7" s="78">
        <f>IFERROR(__xludf.DUMMYFUNCTION("""COMPUTED_VALUE"""),45874.0)</f>
        <v>45874</v>
      </c>
      <c r="N7" s="74">
        <f>IFERROR(__xludf.DUMMYFUNCTION("""COMPUTED_VALUE"""),1348.66)</f>
        <v>1348.66</v>
      </c>
      <c r="O7" s="74" t="str">
        <f t="shared" si="4"/>
        <v>1348,66</v>
      </c>
      <c r="P7" s="79">
        <f>IFERROR(__xludf.DUMMYFUNCTION("""COMPUTED_VALUE"""),46108.0)</f>
        <v>46108</v>
      </c>
      <c r="Q7" s="36">
        <f>IFERROR(__xludf.DUMMYFUNCTION("""COMPUTED_VALUE"""),1474.05)</f>
        <v>1474.05</v>
      </c>
    </row>
    <row r="8">
      <c r="A8" s="71"/>
      <c r="B8" s="72"/>
      <c r="D8" s="5">
        <f t="shared" ref="D8:E8" si="10">P8</f>
        <v>46107</v>
      </c>
      <c r="E8" s="11">
        <f t="shared" si="10"/>
        <v>1447.32</v>
      </c>
      <c r="G8" s="81" t="s">
        <v>139</v>
      </c>
      <c r="H8" s="76">
        <v>15.0</v>
      </c>
      <c r="I8" s="75">
        <f>IFERROR(__xludf.DUMMYFUNCTION("GOOGLEFINANCE(G8)"),360.59)</f>
        <v>360.59</v>
      </c>
      <c r="J8" s="75">
        <f>IFERROR(__xludf.DUMMYFUNCTION("GOOGLEFINANCE(""BCBA:""&amp;G8)"),37840.0)</f>
        <v>37840</v>
      </c>
      <c r="K8" s="75">
        <f t="shared" si="8"/>
        <v>1574.086913</v>
      </c>
      <c r="M8" s="78">
        <f>IFERROR(__xludf.DUMMYFUNCTION("""COMPUTED_VALUE"""),45873.0)</f>
        <v>45873</v>
      </c>
      <c r="N8" s="74">
        <f>IFERROR(__xludf.DUMMYFUNCTION("""COMPUTED_VALUE"""),1361.3)</f>
        <v>1361.3</v>
      </c>
      <c r="O8" s="74" t="str">
        <f t="shared" si="4"/>
        <v>1361,3</v>
      </c>
      <c r="P8" s="79">
        <f>IFERROR(__xludf.DUMMYFUNCTION("""COMPUTED_VALUE"""),46107.0)</f>
        <v>46107</v>
      </c>
      <c r="Q8" s="36">
        <f>IFERROR(__xludf.DUMMYFUNCTION("""COMPUTED_VALUE"""),1447.32)</f>
        <v>1447.32</v>
      </c>
    </row>
    <row r="9">
      <c r="A9" s="71"/>
      <c r="B9" s="72"/>
      <c r="D9" s="5">
        <f t="shared" ref="D9:E9" si="11">P9</f>
        <v>46106</v>
      </c>
      <c r="E9" s="11">
        <f t="shared" si="11"/>
        <v>1453.16</v>
      </c>
      <c r="G9" s="81" t="s">
        <v>117</v>
      </c>
      <c r="H9" s="76">
        <v>24.0</v>
      </c>
      <c r="I9" s="75">
        <f>IFERROR(__xludf.DUMMYFUNCTION("GOOGLEFINANCE(G9)"),177.39)</f>
        <v>177.39</v>
      </c>
      <c r="J9" s="75">
        <f>IFERROR(__xludf.DUMMYFUNCTION("GOOGLEFINANCE(""BCBA:""&amp;G9)"),10910.0)</f>
        <v>10910</v>
      </c>
      <c r="K9" s="75">
        <f t="shared" si="8"/>
        <v>1476.069677</v>
      </c>
      <c r="M9" s="78">
        <f>IFERROR(__xludf.DUMMYFUNCTION("""COMPUTED_VALUE"""),45870.0)</f>
        <v>45870</v>
      </c>
      <c r="N9" s="74">
        <f>IFERROR(__xludf.DUMMYFUNCTION("""COMPUTED_VALUE"""),1366.9)</f>
        <v>1366.9</v>
      </c>
      <c r="O9" s="74" t="str">
        <f t="shared" si="4"/>
        <v>1366,9</v>
      </c>
      <c r="P9" s="79">
        <f>IFERROR(__xludf.DUMMYFUNCTION("""COMPUTED_VALUE"""),46106.0)</f>
        <v>46106</v>
      </c>
      <c r="Q9" s="36">
        <f>IFERROR(__xludf.DUMMYFUNCTION("""COMPUTED_VALUE"""),1453.16)</f>
        <v>1453.16</v>
      </c>
    </row>
    <row r="10">
      <c r="A10" s="71"/>
      <c r="B10" s="72"/>
      <c r="D10" s="5">
        <f t="shared" ref="D10:E10" si="12">P10</f>
        <v>46105</v>
      </c>
      <c r="E10" s="11">
        <f t="shared" si="12"/>
        <v>1470.47</v>
      </c>
      <c r="G10" s="82"/>
      <c r="H10" s="82"/>
      <c r="I10" s="82"/>
      <c r="J10" s="73" t="s">
        <v>152</v>
      </c>
      <c r="K10" s="75">
        <f>AVERAGE(K2:K9)</f>
        <v>1496.388398</v>
      </c>
      <c r="M10" s="78">
        <f>IFERROR(__xludf.DUMMYFUNCTION("""COMPUTED_VALUE"""),45869.0)</f>
        <v>45869</v>
      </c>
      <c r="N10" s="74">
        <f>IFERROR(__xludf.DUMMYFUNCTION("""COMPUTED_VALUE"""),1358.82)</f>
        <v>1358.82</v>
      </c>
      <c r="O10" s="74" t="str">
        <f t="shared" si="4"/>
        <v>1358,82</v>
      </c>
      <c r="P10" s="79">
        <f>IFERROR(__xludf.DUMMYFUNCTION("""COMPUTED_VALUE"""),46105.0)</f>
        <v>46105</v>
      </c>
      <c r="Q10" s="36">
        <f>IFERROR(__xludf.DUMMYFUNCTION("""COMPUTED_VALUE"""),1470.47)</f>
        <v>1470.47</v>
      </c>
    </row>
    <row r="11">
      <c r="A11" s="83" t="s">
        <v>67</v>
      </c>
      <c r="B11" s="84" t="s">
        <v>153</v>
      </c>
      <c r="C11" s="85" t="s">
        <v>154</v>
      </c>
      <c r="D11" s="5">
        <f t="shared" ref="D11:E11" si="13">P11</f>
        <v>46104</v>
      </c>
      <c r="E11" s="11">
        <f t="shared" si="13"/>
        <v>1461.86</v>
      </c>
      <c r="M11" s="78">
        <f>IFERROR(__xludf.DUMMYFUNCTION("""COMPUTED_VALUE"""),45868.0)</f>
        <v>45868</v>
      </c>
      <c r="N11" s="74">
        <f>IFERROR(__xludf.DUMMYFUNCTION("""COMPUTED_VALUE"""),1320.0)</f>
        <v>1320</v>
      </c>
      <c r="O11" s="74" t="str">
        <f t="shared" si="4"/>
        <v>1320</v>
      </c>
      <c r="P11" s="79">
        <f>IFERROR(__xludf.DUMMYFUNCTION("""COMPUTED_VALUE"""),46104.0)</f>
        <v>46104</v>
      </c>
      <c r="Q11" s="36">
        <f>IFERROR(__xludf.DUMMYFUNCTION("""COMPUTED_VALUE"""),1461.86)</f>
        <v>1461.86</v>
      </c>
    </row>
    <row r="12">
      <c r="A12" s="86">
        <v>45918.0</v>
      </c>
      <c r="B12" s="20">
        <f t="shared" ref="B12:B709" si="14">VLOOKUP(A12,{M:N;P:Q},2,0)</f>
        <v>1564.1</v>
      </c>
      <c r="C12" s="41">
        <f t="shared" ref="C12:C613" si="15">1-(B13/B12)</f>
        <v>0.04107793619</v>
      </c>
      <c r="M12" s="78">
        <f>IFERROR(__xludf.DUMMYFUNCTION("""COMPUTED_VALUE"""),45867.0)</f>
        <v>45867</v>
      </c>
      <c r="N12" s="74">
        <f>IFERROR(__xludf.DUMMYFUNCTION("""COMPUTED_VALUE"""),1290.0)</f>
        <v>1290</v>
      </c>
      <c r="O12" s="74"/>
      <c r="P12" s="79">
        <f>IFERROR(__xludf.DUMMYFUNCTION("""COMPUTED_VALUE"""),46101.0)</f>
        <v>46101</v>
      </c>
      <c r="Q12" s="36">
        <f>IFERROR(__xludf.DUMMYFUNCTION("""COMPUTED_VALUE"""),1467.56)</f>
        <v>1467.56</v>
      </c>
    </row>
    <row r="13">
      <c r="A13" s="86">
        <v>45917.0</v>
      </c>
      <c r="B13" s="20">
        <f t="shared" si="14"/>
        <v>1499.85</v>
      </c>
      <c r="C13" s="41">
        <f t="shared" si="15"/>
        <v>0.01157449078</v>
      </c>
      <c r="M13" s="78">
        <f>IFERROR(__xludf.DUMMYFUNCTION("""COMPUTED_VALUE"""),45866.0)</f>
        <v>45866</v>
      </c>
      <c r="N13" s="74">
        <f>IFERROR(__xludf.DUMMYFUNCTION("""COMPUTED_VALUE"""),1299.75)</f>
        <v>1299.75</v>
      </c>
      <c r="O13" s="74" t="str">
        <f t="shared" ref="O13:O32" si="16">SUBSTITUTE(N13,".",",")</f>
        <v>1299,75</v>
      </c>
      <c r="P13" s="79">
        <f>IFERROR(__xludf.DUMMYFUNCTION("""COMPUTED_VALUE"""),46100.0)</f>
        <v>46100</v>
      </c>
      <c r="Q13" s="36">
        <f>IFERROR(__xludf.DUMMYFUNCTION("""COMPUTED_VALUE"""),1469.23)</f>
        <v>1469.23</v>
      </c>
    </row>
    <row r="14">
      <c r="A14" s="86">
        <v>45916.0</v>
      </c>
      <c r="B14" s="20">
        <f t="shared" si="14"/>
        <v>1482.49</v>
      </c>
      <c r="C14" s="41">
        <f t="shared" si="15"/>
        <v>-0.01216871615</v>
      </c>
      <c r="J14" s="35"/>
      <c r="M14" s="78">
        <f>IFERROR(__xludf.DUMMYFUNCTION("""COMPUTED_VALUE"""),45863.0)</f>
        <v>45863</v>
      </c>
      <c r="N14" s="74">
        <f>IFERROR(__xludf.DUMMYFUNCTION("""COMPUTED_VALUE"""),1293.91)</f>
        <v>1293.91</v>
      </c>
      <c r="O14" s="74" t="str">
        <f t="shared" si="16"/>
        <v>1293,91</v>
      </c>
      <c r="P14" s="79">
        <f>IFERROR(__xludf.DUMMYFUNCTION("""COMPUTED_VALUE"""),46099.0)</f>
        <v>46099</v>
      </c>
      <c r="Q14" s="36">
        <f>IFERROR(__xludf.DUMMYFUNCTION("""COMPUTED_VALUE"""),1470.98)</f>
        <v>1470.98</v>
      </c>
    </row>
    <row r="15">
      <c r="A15" s="86">
        <v>45915.0</v>
      </c>
      <c r="B15" s="20">
        <f t="shared" si="14"/>
        <v>1500.53</v>
      </c>
      <c r="C15" s="41" t="str">
        <f t="shared" si="15"/>
        <v>#N/A</v>
      </c>
      <c r="M15" s="78">
        <f>IFERROR(__xludf.DUMMYFUNCTION("""COMPUTED_VALUE"""),45862.0)</f>
        <v>45862</v>
      </c>
      <c r="N15" s="74">
        <f>IFERROR(__xludf.DUMMYFUNCTION("""COMPUTED_VALUE"""),1277.13)</f>
        <v>1277.13</v>
      </c>
      <c r="O15" s="74" t="str">
        <f t="shared" si="16"/>
        <v>1277,13</v>
      </c>
      <c r="P15" s="79">
        <f>IFERROR(__xludf.DUMMYFUNCTION("""COMPUTED_VALUE"""),46098.0)</f>
        <v>46098</v>
      </c>
      <c r="Q15" s="36">
        <f>IFERROR(__xludf.DUMMYFUNCTION("""COMPUTED_VALUE"""),1470.1)</f>
        <v>1470.1</v>
      </c>
    </row>
    <row r="16">
      <c r="A16" s="86">
        <v>45914.0</v>
      </c>
      <c r="B16" s="20" t="str">
        <f t="shared" si="14"/>
        <v>#N/A</v>
      </c>
      <c r="C16" s="41" t="str">
        <f t="shared" si="15"/>
        <v>#N/A</v>
      </c>
      <c r="M16" s="78">
        <f>IFERROR(__xludf.DUMMYFUNCTION("""COMPUTED_VALUE"""),45861.0)</f>
        <v>45861</v>
      </c>
      <c r="N16" s="74">
        <f>IFERROR(__xludf.DUMMYFUNCTION("""COMPUTED_VALUE"""),1266.99)</f>
        <v>1266.99</v>
      </c>
      <c r="O16" s="74" t="str">
        <f t="shared" si="16"/>
        <v>1266,99</v>
      </c>
      <c r="P16" s="79">
        <f>IFERROR(__xludf.DUMMYFUNCTION("""COMPUTED_VALUE"""),46097.0)</f>
        <v>46097</v>
      </c>
      <c r="Q16" s="36">
        <f>IFERROR(__xludf.DUMMYFUNCTION("""COMPUTED_VALUE"""),1473.91)</f>
        <v>1473.91</v>
      </c>
    </row>
    <row r="17">
      <c r="A17" s="86">
        <v>45913.0</v>
      </c>
      <c r="B17" s="20" t="str">
        <f t="shared" si="14"/>
        <v>#N/A</v>
      </c>
      <c r="C17" s="41" t="str">
        <f t="shared" si="15"/>
        <v>#N/A</v>
      </c>
      <c r="M17" s="78">
        <f>IFERROR(__xludf.DUMMYFUNCTION("""COMPUTED_VALUE"""),45860.0)</f>
        <v>45860</v>
      </c>
      <c r="N17" s="74">
        <f>IFERROR(__xludf.DUMMYFUNCTION("""COMPUTED_VALUE"""),1257.9)</f>
        <v>1257.9</v>
      </c>
      <c r="O17" s="74" t="str">
        <f t="shared" si="16"/>
        <v>1257,9</v>
      </c>
      <c r="P17" s="79">
        <f>IFERROR(__xludf.DUMMYFUNCTION("""COMPUTED_VALUE"""),46094.0)</f>
        <v>46094</v>
      </c>
      <c r="Q17" s="36">
        <f>IFERROR(__xludf.DUMMYFUNCTION("""COMPUTED_VALUE"""),1469.49)</f>
        <v>1469.49</v>
      </c>
    </row>
    <row r="18">
      <c r="A18" s="86">
        <v>45912.0</v>
      </c>
      <c r="B18" s="20">
        <f t="shared" si="14"/>
        <v>1481.12</v>
      </c>
      <c r="C18" s="41">
        <f t="shared" si="15"/>
        <v>0.02349573296</v>
      </c>
      <c r="M18" s="78">
        <f>IFERROR(__xludf.DUMMYFUNCTION("""COMPUTED_VALUE"""),45859.0)</f>
        <v>45859</v>
      </c>
      <c r="N18" s="74">
        <f>IFERROR(__xludf.DUMMYFUNCTION("""COMPUTED_VALUE"""),1289.78)</f>
        <v>1289.78</v>
      </c>
      <c r="O18" s="74" t="str">
        <f t="shared" si="16"/>
        <v>1289,78</v>
      </c>
      <c r="P18" s="79">
        <f>IFERROR(__xludf.DUMMYFUNCTION("""COMPUTED_VALUE"""),46093.0)</f>
        <v>46093</v>
      </c>
      <c r="Q18" s="36">
        <f>IFERROR(__xludf.DUMMYFUNCTION("""COMPUTED_VALUE"""),1457.29)</f>
        <v>1457.29</v>
      </c>
    </row>
    <row r="19">
      <c r="A19" s="86">
        <v>45911.0</v>
      </c>
      <c r="B19" s="20">
        <f t="shared" si="14"/>
        <v>1446.32</v>
      </c>
      <c r="C19" s="41">
        <f t="shared" si="15"/>
        <v>0.006519995575</v>
      </c>
      <c r="M19" s="78">
        <f>IFERROR(__xludf.DUMMYFUNCTION("""COMPUTED_VALUE"""),45856.0)</f>
        <v>45856</v>
      </c>
      <c r="N19" s="74">
        <f>IFERROR(__xludf.DUMMYFUNCTION("""COMPUTED_VALUE"""),1301.0)</f>
        <v>1301</v>
      </c>
      <c r="O19" s="74" t="str">
        <f t="shared" si="16"/>
        <v>1301</v>
      </c>
      <c r="P19" s="79">
        <f>IFERROR(__xludf.DUMMYFUNCTION("""COMPUTED_VALUE"""),46092.0)</f>
        <v>46092</v>
      </c>
      <c r="Q19" s="36">
        <f>IFERROR(__xludf.DUMMYFUNCTION("""COMPUTED_VALUE"""),1456.26)</f>
        <v>1456.26</v>
      </c>
    </row>
    <row r="20">
      <c r="A20" s="86">
        <v>45910.0</v>
      </c>
      <c r="B20" s="20">
        <f t="shared" si="14"/>
        <v>1436.89</v>
      </c>
      <c r="C20" s="41">
        <f t="shared" si="15"/>
        <v>-0.001976490894</v>
      </c>
      <c r="M20" s="78">
        <f>IFERROR(__xludf.DUMMYFUNCTION("""COMPUTED_VALUE"""),45855.0)</f>
        <v>45855</v>
      </c>
      <c r="N20" s="74">
        <f>IFERROR(__xludf.DUMMYFUNCTION("""COMPUTED_VALUE"""),1285.59)</f>
        <v>1285.59</v>
      </c>
      <c r="O20" s="74" t="str">
        <f t="shared" si="16"/>
        <v>1285,59</v>
      </c>
      <c r="P20" s="79">
        <f>IFERROR(__xludf.DUMMYFUNCTION("""COMPUTED_VALUE"""),46091.0)</f>
        <v>46091</v>
      </c>
      <c r="Q20" s="36">
        <f>IFERROR(__xludf.DUMMYFUNCTION("""COMPUTED_VALUE"""),1462.51)</f>
        <v>1462.51</v>
      </c>
    </row>
    <row r="21">
      <c r="A21" s="86">
        <v>45909.0</v>
      </c>
      <c r="B21" s="20">
        <f t="shared" si="14"/>
        <v>1439.73</v>
      </c>
      <c r="C21" s="41">
        <f t="shared" si="15"/>
        <v>0.0003195043515</v>
      </c>
      <c r="M21" s="78">
        <f>IFERROR(__xludf.DUMMYFUNCTION("""COMPUTED_VALUE"""),45854.0)</f>
        <v>45854</v>
      </c>
      <c r="N21" s="74">
        <f>IFERROR(__xludf.DUMMYFUNCTION("""COMPUTED_VALUE"""),1274.0)</f>
        <v>1274</v>
      </c>
      <c r="O21" s="74" t="str">
        <f t="shared" si="16"/>
        <v>1274</v>
      </c>
      <c r="P21" s="79">
        <f>IFERROR(__xludf.DUMMYFUNCTION("""COMPUTED_VALUE"""),46090.0)</f>
        <v>46090</v>
      </c>
      <c r="Q21" s="36">
        <f>IFERROR(__xludf.DUMMYFUNCTION("""COMPUTED_VALUE"""),1473.65)</f>
        <v>1473.65</v>
      </c>
    </row>
    <row r="22">
      <c r="A22" s="86">
        <v>45908.0</v>
      </c>
      <c r="B22" s="20">
        <f t="shared" si="14"/>
        <v>1439.27</v>
      </c>
      <c r="C22" s="41" t="str">
        <f t="shared" si="15"/>
        <v>#N/A</v>
      </c>
      <c r="M22" s="78">
        <f>IFERROR(__xludf.DUMMYFUNCTION("""COMPUTED_VALUE"""),45853.0)</f>
        <v>45853</v>
      </c>
      <c r="N22" s="74">
        <f>IFERROR(__xludf.DUMMYFUNCTION("""COMPUTED_VALUE"""),1279.56)</f>
        <v>1279.56</v>
      </c>
      <c r="O22" s="74" t="str">
        <f t="shared" si="16"/>
        <v>1279,56</v>
      </c>
      <c r="P22" s="79">
        <f>IFERROR(__xludf.DUMMYFUNCTION("""COMPUTED_VALUE"""),46087.0)</f>
        <v>46087</v>
      </c>
      <c r="Q22" s="36">
        <f>IFERROR(__xludf.DUMMYFUNCTION("""COMPUTED_VALUE"""),1479.1)</f>
        <v>1479.1</v>
      </c>
    </row>
    <row r="23">
      <c r="A23" s="86">
        <v>45907.0</v>
      </c>
      <c r="B23" s="20" t="str">
        <f t="shared" si="14"/>
        <v>#N/A</v>
      </c>
      <c r="C23" s="41" t="str">
        <f t="shared" si="15"/>
        <v>#N/A</v>
      </c>
      <c r="M23" s="78">
        <f>IFERROR(__xludf.DUMMYFUNCTION("""COMPUTED_VALUE"""),45852.0)</f>
        <v>45852</v>
      </c>
      <c r="N23" s="74">
        <f>IFERROR(__xludf.DUMMYFUNCTION("""COMPUTED_VALUE"""),1295.52)</f>
        <v>1295.52</v>
      </c>
      <c r="O23" s="74" t="str">
        <f t="shared" si="16"/>
        <v>1295,52</v>
      </c>
      <c r="P23" s="79">
        <f>IFERROR(__xludf.DUMMYFUNCTION("""COMPUTED_VALUE"""),46086.0)</f>
        <v>46086</v>
      </c>
      <c r="Q23" s="36">
        <f>IFERROR(__xludf.DUMMYFUNCTION("""COMPUTED_VALUE"""),1466.96)</f>
        <v>1466.96</v>
      </c>
    </row>
    <row r="24">
      <c r="A24" s="86">
        <v>45906.0</v>
      </c>
      <c r="B24" s="20" t="str">
        <f t="shared" si="14"/>
        <v>#N/A</v>
      </c>
      <c r="C24" s="41" t="str">
        <f t="shared" si="15"/>
        <v>#N/A</v>
      </c>
      <c r="M24" s="78">
        <f>IFERROR(__xludf.DUMMYFUNCTION("""COMPUTED_VALUE"""),45849.0)</f>
        <v>45849</v>
      </c>
      <c r="N24" s="74">
        <f>IFERROR(__xludf.DUMMYFUNCTION("""COMPUTED_VALUE"""),1275.58)</f>
        <v>1275.58</v>
      </c>
      <c r="O24" s="74" t="str">
        <f t="shared" si="16"/>
        <v>1275,58</v>
      </c>
      <c r="P24" s="79">
        <f>IFERROR(__xludf.DUMMYFUNCTION("""COMPUTED_VALUE"""),46085.0)</f>
        <v>46085</v>
      </c>
      <c r="Q24" s="36">
        <f>IFERROR(__xludf.DUMMYFUNCTION("""COMPUTED_VALUE"""),1471.19)</f>
        <v>1471.19</v>
      </c>
    </row>
    <row r="25">
      <c r="A25" s="86">
        <v>45905.0</v>
      </c>
      <c r="B25" s="20">
        <f t="shared" si="14"/>
        <v>1390.52</v>
      </c>
      <c r="C25" s="41">
        <f t="shared" si="15"/>
        <v>0.006882317406</v>
      </c>
      <c r="M25" s="78">
        <f>IFERROR(__xludf.DUMMYFUNCTION("""COMPUTED_VALUE"""),45848.0)</f>
        <v>45848</v>
      </c>
      <c r="N25" s="74">
        <f>IFERROR(__xludf.DUMMYFUNCTION("""COMPUTED_VALUE"""),1273.83)</f>
        <v>1273.83</v>
      </c>
      <c r="O25" s="74" t="str">
        <f t="shared" si="16"/>
        <v>1273,83</v>
      </c>
      <c r="P25" s="79">
        <f>IFERROR(__xludf.DUMMYFUNCTION("""COMPUTED_VALUE"""),46084.0)</f>
        <v>46084</v>
      </c>
      <c r="Q25" s="36">
        <f>IFERROR(__xludf.DUMMYFUNCTION("""COMPUTED_VALUE"""),1483.49)</f>
        <v>1483.49</v>
      </c>
    </row>
    <row r="26">
      <c r="A26" s="86">
        <v>45904.0</v>
      </c>
      <c r="B26" s="20">
        <f t="shared" si="14"/>
        <v>1380.95</v>
      </c>
      <c r="C26" s="41">
        <f t="shared" si="15"/>
        <v>0.006785184112</v>
      </c>
      <c r="M26" s="78">
        <f>IFERROR(__xludf.DUMMYFUNCTION("""COMPUTED_VALUE"""),45847.0)</f>
        <v>45847</v>
      </c>
      <c r="N26" s="74">
        <f>IFERROR(__xludf.DUMMYFUNCTION("""COMPUTED_VALUE"""),1275.55)</f>
        <v>1275.55</v>
      </c>
      <c r="O26" s="74" t="str">
        <f t="shared" si="16"/>
        <v>1275,55</v>
      </c>
      <c r="P26" s="79">
        <f>IFERROR(__xludf.DUMMYFUNCTION("""COMPUTED_VALUE"""),46083.0)</f>
        <v>46083</v>
      </c>
      <c r="Q26" s="36">
        <f>IFERROR(__xludf.DUMMYFUNCTION("""COMPUTED_VALUE"""),1468.46)</f>
        <v>1468.46</v>
      </c>
    </row>
    <row r="27">
      <c r="A27" s="86">
        <v>45903.0</v>
      </c>
      <c r="B27" s="20">
        <f t="shared" si="14"/>
        <v>1371.58</v>
      </c>
      <c r="C27" s="41">
        <f t="shared" si="15"/>
        <v>-0.0003062161886</v>
      </c>
      <c r="M27" s="78">
        <f>IFERROR(__xludf.DUMMYFUNCTION("""COMPUTED_VALUE"""),45846.0)</f>
        <v>45846</v>
      </c>
      <c r="N27" s="74">
        <f>IFERROR(__xludf.DUMMYFUNCTION("""COMPUTED_VALUE"""),1261.75)</f>
        <v>1261.75</v>
      </c>
      <c r="O27" s="74" t="str">
        <f t="shared" si="16"/>
        <v>1261,75</v>
      </c>
      <c r="P27" s="79">
        <f>IFERROR(__xludf.DUMMYFUNCTION("""COMPUTED_VALUE"""),46080.0)</f>
        <v>46080</v>
      </c>
      <c r="Q27" s="36">
        <f>IFERROR(__xludf.DUMMYFUNCTION("""COMPUTED_VALUE"""),1460.27)</f>
        <v>1460.27</v>
      </c>
    </row>
    <row r="28">
      <c r="A28" s="86">
        <v>45902.0</v>
      </c>
      <c r="B28" s="20">
        <f t="shared" si="14"/>
        <v>1372</v>
      </c>
      <c r="C28" s="41">
        <f t="shared" si="15"/>
        <v>-0.01422011662</v>
      </c>
      <c r="M28" s="78">
        <f>IFERROR(__xludf.DUMMYFUNCTION("""COMPUTED_VALUE"""),45845.0)</f>
        <v>45845</v>
      </c>
      <c r="N28" s="74">
        <f>IFERROR(__xludf.DUMMYFUNCTION("""COMPUTED_VALUE"""),1279.75)</f>
        <v>1279.75</v>
      </c>
      <c r="O28" s="74" t="str">
        <f t="shared" si="16"/>
        <v>1279,75</v>
      </c>
      <c r="P28" s="79">
        <f>IFERROR(__xludf.DUMMYFUNCTION("""COMPUTED_VALUE"""),46079.0)</f>
        <v>46079</v>
      </c>
      <c r="Q28" s="36">
        <f>IFERROR(__xludf.DUMMYFUNCTION("""COMPUTED_VALUE"""),1480.12)</f>
        <v>1480.12</v>
      </c>
    </row>
    <row r="29">
      <c r="A29" s="86">
        <v>45901.0</v>
      </c>
      <c r="B29" s="20">
        <f t="shared" si="14"/>
        <v>1391.51</v>
      </c>
      <c r="C29" s="41" t="str">
        <f t="shared" si="15"/>
        <v>#N/A</v>
      </c>
      <c r="M29" s="78">
        <f>IFERROR(__xludf.DUMMYFUNCTION("""COMPUTED_VALUE"""),45842.0)</f>
        <v>45842</v>
      </c>
      <c r="N29" s="74">
        <f>IFERROR(__xludf.DUMMYFUNCTION("""COMPUTED_VALUE"""),1249.12)</f>
        <v>1249.12</v>
      </c>
      <c r="O29" s="74" t="str">
        <f t="shared" si="16"/>
        <v>1249,12</v>
      </c>
      <c r="P29" s="79">
        <f>IFERROR(__xludf.DUMMYFUNCTION("""COMPUTED_VALUE"""),46078.0)</f>
        <v>46078</v>
      </c>
      <c r="Q29" s="36">
        <f>IFERROR(__xludf.DUMMYFUNCTION("""COMPUTED_VALUE"""),1465.76)</f>
        <v>1465.76</v>
      </c>
    </row>
    <row r="30">
      <c r="A30" s="86">
        <v>45900.0</v>
      </c>
      <c r="B30" s="20" t="str">
        <f t="shared" si="14"/>
        <v>#N/A</v>
      </c>
      <c r="C30" s="41" t="str">
        <f t="shared" si="15"/>
        <v>#N/A</v>
      </c>
      <c r="M30" s="78">
        <f>IFERROR(__xludf.DUMMYFUNCTION("""COMPUTED_VALUE"""),45841.0)</f>
        <v>45841</v>
      </c>
      <c r="N30" s="74">
        <f>IFERROR(__xludf.DUMMYFUNCTION("""COMPUTED_VALUE"""),1242.12)</f>
        <v>1242.12</v>
      </c>
      <c r="O30" s="74" t="str">
        <f t="shared" si="16"/>
        <v>1242,12</v>
      </c>
      <c r="P30" s="79">
        <f>IFERROR(__xludf.DUMMYFUNCTION("""COMPUTED_VALUE"""),46077.0)</f>
        <v>46077</v>
      </c>
      <c r="Q30" s="36">
        <f>IFERROR(__xludf.DUMMYFUNCTION("""COMPUTED_VALUE"""),1444.5)</f>
        <v>1444.5</v>
      </c>
    </row>
    <row r="31">
      <c r="A31" s="86">
        <v>45899.0</v>
      </c>
      <c r="B31" s="20" t="str">
        <f t="shared" si="14"/>
        <v>#N/A</v>
      </c>
      <c r="C31" s="41" t="str">
        <f t="shared" si="15"/>
        <v>#N/A</v>
      </c>
      <c r="M31" s="78">
        <f>IFERROR(__xludf.DUMMYFUNCTION("""COMPUTED_VALUE"""),45840.0)</f>
        <v>45840</v>
      </c>
      <c r="N31" s="74">
        <f>IFERROR(__xludf.DUMMYFUNCTION("""COMPUTED_VALUE"""),1235.72)</f>
        <v>1235.72</v>
      </c>
      <c r="O31" s="74" t="str">
        <f t="shared" si="16"/>
        <v>1235,72</v>
      </c>
      <c r="P31" s="79">
        <f>IFERROR(__xludf.DUMMYFUNCTION("""COMPUTED_VALUE"""),46076.0)</f>
        <v>46076</v>
      </c>
      <c r="Q31" s="36">
        <f>IFERROR(__xludf.DUMMYFUNCTION("""COMPUTED_VALUE"""),1441.16)</f>
        <v>1441.16</v>
      </c>
    </row>
    <row r="32">
      <c r="A32" s="86">
        <v>45898.0</v>
      </c>
      <c r="B32" s="20">
        <f t="shared" si="14"/>
        <v>1355.27</v>
      </c>
      <c r="C32" s="41">
        <f t="shared" si="15"/>
        <v>0.00562987449</v>
      </c>
      <c r="M32" s="78">
        <f>IFERROR(__xludf.DUMMYFUNCTION("""COMPUTED_VALUE"""),45839.0)</f>
        <v>45839</v>
      </c>
      <c r="N32" s="74">
        <f>IFERROR(__xludf.DUMMYFUNCTION("""COMPUTED_VALUE"""),1233.08)</f>
        <v>1233.08</v>
      </c>
      <c r="O32" s="74" t="str">
        <f t="shared" si="16"/>
        <v>1233,08</v>
      </c>
      <c r="P32" s="79">
        <f>IFERROR(__xludf.DUMMYFUNCTION("""COMPUTED_VALUE"""),46073.0)</f>
        <v>46073</v>
      </c>
      <c r="Q32" s="36">
        <f>IFERROR(__xludf.DUMMYFUNCTION("""COMPUTED_VALUE"""),1439.75)</f>
        <v>1439.75</v>
      </c>
    </row>
    <row r="33">
      <c r="A33" s="86">
        <v>45897.0</v>
      </c>
      <c r="B33" s="20">
        <f t="shared" si="14"/>
        <v>1347.64</v>
      </c>
      <c r="C33" s="41">
        <f t="shared" si="15"/>
        <v>-0.005305571221</v>
      </c>
      <c r="M33" s="78">
        <f>IFERROR(__xludf.DUMMYFUNCTION("""COMPUTED_VALUE"""),45838.0)</f>
        <v>45838</v>
      </c>
      <c r="N33" s="74">
        <f>IFERROR(__xludf.DUMMYFUNCTION("""COMPUTED_VALUE"""),1210.25)</f>
        <v>1210.25</v>
      </c>
      <c r="O33" s="74"/>
      <c r="P33" s="79">
        <f>IFERROR(__xludf.DUMMYFUNCTION("""COMPUTED_VALUE"""),46072.0)</f>
        <v>46072</v>
      </c>
      <c r="Q33" s="36">
        <f>IFERROR(__xludf.DUMMYFUNCTION("""COMPUTED_VALUE"""),1446.58)</f>
        <v>1446.58</v>
      </c>
    </row>
    <row r="34">
      <c r="A34" s="86">
        <v>45896.0</v>
      </c>
      <c r="B34" s="20">
        <f t="shared" si="14"/>
        <v>1354.79</v>
      </c>
      <c r="C34" s="41">
        <f t="shared" si="15"/>
        <v>-0.0001107182663</v>
      </c>
      <c r="M34" s="78">
        <f>IFERROR(__xludf.DUMMYFUNCTION("""COMPUTED_VALUE"""),45835.0)</f>
        <v>45835</v>
      </c>
      <c r="N34" s="74">
        <f>IFERROR(__xludf.DUMMYFUNCTION("""COMPUTED_VALUE"""),1203.26)</f>
        <v>1203.26</v>
      </c>
      <c r="O34" s="74"/>
      <c r="P34" s="79">
        <f>IFERROR(__xludf.DUMMYFUNCTION("""COMPUTED_VALUE"""),46071.0)</f>
        <v>46071</v>
      </c>
      <c r="Q34" s="36">
        <f>IFERROR(__xludf.DUMMYFUNCTION("""COMPUTED_VALUE"""),1446.72)</f>
        <v>1446.72</v>
      </c>
    </row>
    <row r="35">
      <c r="A35" s="86">
        <v>45895.0</v>
      </c>
      <c r="B35" s="20">
        <f t="shared" si="14"/>
        <v>1354.94</v>
      </c>
      <c r="C35" s="41">
        <f t="shared" si="15"/>
        <v>-0.005129378423</v>
      </c>
      <c r="M35" s="78">
        <f>IFERROR(__xludf.DUMMYFUNCTION("""COMPUTED_VALUE"""),45834.0)</f>
        <v>45834</v>
      </c>
      <c r="N35" s="74">
        <f>IFERROR(__xludf.DUMMYFUNCTION("""COMPUTED_VALUE"""),1200.16)</f>
        <v>1200.16</v>
      </c>
      <c r="O35" s="74"/>
      <c r="P35" s="79">
        <f>IFERROR(__xludf.DUMMYFUNCTION("""COMPUTED_VALUE"""),46070.0)</f>
        <v>46070</v>
      </c>
      <c r="Q35" s="36">
        <f>IFERROR(__xludf.DUMMYFUNCTION("""COMPUTED_VALUE"""),1457.39)</f>
        <v>1457.39</v>
      </c>
    </row>
    <row r="36">
      <c r="A36" s="86">
        <v>45894.0</v>
      </c>
      <c r="B36" s="20">
        <f t="shared" si="14"/>
        <v>1361.89</v>
      </c>
      <c r="C36" s="41" t="str">
        <f t="shared" si="15"/>
        <v>#N/A</v>
      </c>
      <c r="M36" s="78">
        <f>IFERROR(__xludf.DUMMYFUNCTION("""COMPUTED_VALUE"""),45833.0)</f>
        <v>45833</v>
      </c>
      <c r="N36" s="74">
        <f>IFERROR(__xludf.DUMMYFUNCTION("""COMPUTED_VALUE"""),1199.2)</f>
        <v>1199.2</v>
      </c>
      <c r="O36" s="74"/>
      <c r="P36" s="79">
        <f>IFERROR(__xludf.DUMMYFUNCTION("""COMPUTED_VALUE"""),46069.0)</f>
        <v>46069</v>
      </c>
      <c r="Q36" s="36">
        <f>IFERROR(__xludf.DUMMYFUNCTION("""COMPUTED_VALUE"""),1473.69)</f>
        <v>1473.69</v>
      </c>
    </row>
    <row r="37">
      <c r="A37" s="86">
        <v>45893.0</v>
      </c>
      <c r="B37" s="20" t="str">
        <f t="shared" si="14"/>
        <v>#N/A</v>
      </c>
      <c r="C37" s="41" t="str">
        <f t="shared" si="15"/>
        <v>#N/A</v>
      </c>
      <c r="M37" s="78">
        <f>IFERROR(__xludf.DUMMYFUNCTION("""COMPUTED_VALUE"""),45832.0)</f>
        <v>45832</v>
      </c>
      <c r="N37" s="74">
        <f>IFERROR(__xludf.DUMMYFUNCTION("""COMPUTED_VALUE"""),1183.95)</f>
        <v>1183.95</v>
      </c>
      <c r="O37" s="74" t="str">
        <f t="shared" ref="O37:O38" si="17">SUBSTITUTE(N37,".",",")</f>
        <v>1183,95</v>
      </c>
      <c r="P37" s="79">
        <f>IFERROR(__xludf.DUMMYFUNCTION("""COMPUTED_VALUE"""),46066.0)</f>
        <v>46066</v>
      </c>
      <c r="Q37" s="36">
        <f>IFERROR(__xludf.DUMMYFUNCTION("""COMPUTED_VALUE"""),1473.06)</f>
        <v>1473.06</v>
      </c>
    </row>
    <row r="38">
      <c r="A38" s="86">
        <v>45892.0</v>
      </c>
      <c r="B38" s="20" t="str">
        <f t="shared" si="14"/>
        <v>#N/A</v>
      </c>
      <c r="C38" s="41" t="str">
        <f t="shared" si="15"/>
        <v>#N/A</v>
      </c>
      <c r="M38" s="78">
        <f>IFERROR(__xludf.DUMMYFUNCTION("""COMPUTED_VALUE"""),45831.0)</f>
        <v>45831</v>
      </c>
      <c r="N38" s="74">
        <f>IFERROR(__xludf.DUMMYFUNCTION("""COMPUTED_VALUE"""),1182.97)</f>
        <v>1182.97</v>
      </c>
      <c r="O38" s="74" t="str">
        <f t="shared" si="17"/>
        <v>1182,97</v>
      </c>
      <c r="P38" s="79">
        <f>IFERROR(__xludf.DUMMYFUNCTION("""COMPUTED_VALUE"""),46065.0)</f>
        <v>46065</v>
      </c>
      <c r="Q38" s="36">
        <f>IFERROR(__xludf.DUMMYFUNCTION("""COMPUTED_VALUE"""),1481.01)</f>
        <v>1481.01</v>
      </c>
    </row>
    <row r="39">
      <c r="A39" s="86">
        <v>45891.0</v>
      </c>
      <c r="B39" s="20">
        <f t="shared" si="14"/>
        <v>1333.81</v>
      </c>
      <c r="C39" s="41">
        <f t="shared" si="15"/>
        <v>0.007084967124</v>
      </c>
      <c r="M39" s="78">
        <f>IFERROR(__xludf.DUMMYFUNCTION("""COMPUTED_VALUE"""),45828.0)</f>
        <v>45828</v>
      </c>
      <c r="N39" s="74">
        <f>IFERROR(__xludf.DUMMYFUNCTION("""COMPUTED_VALUE"""),1157.71)</f>
        <v>1157.71</v>
      </c>
      <c r="O39" s="74"/>
      <c r="P39" s="79">
        <f>IFERROR(__xludf.DUMMYFUNCTION("""COMPUTED_VALUE"""),46064.0)</f>
        <v>46064</v>
      </c>
      <c r="Q39" s="36">
        <f>IFERROR(__xludf.DUMMYFUNCTION("""COMPUTED_VALUE"""),1475.83)</f>
        <v>1475.83</v>
      </c>
    </row>
    <row r="40">
      <c r="A40" s="86">
        <v>45890.0</v>
      </c>
      <c r="B40" s="20">
        <f t="shared" si="14"/>
        <v>1324.36</v>
      </c>
      <c r="C40" s="41">
        <f t="shared" si="15"/>
        <v>0.009627291673</v>
      </c>
      <c r="M40" s="78">
        <f>IFERROR(__xludf.DUMMYFUNCTION("""COMPUTED_VALUE"""),45827.0)</f>
        <v>45827</v>
      </c>
      <c r="N40" s="74">
        <f>IFERROR(__xludf.DUMMYFUNCTION("""COMPUTED_VALUE"""),1157.71)</f>
        <v>1157.71</v>
      </c>
      <c r="O40" s="74"/>
      <c r="P40" s="79">
        <f>IFERROR(__xludf.DUMMYFUNCTION("""COMPUTED_VALUE"""),46063.0)</f>
        <v>46063</v>
      </c>
      <c r="Q40" s="36">
        <f>IFERROR(__xludf.DUMMYFUNCTION("""COMPUTED_VALUE"""),1477.67)</f>
        <v>1477.67</v>
      </c>
    </row>
    <row r="41">
      <c r="A41" s="86">
        <v>45889.0</v>
      </c>
      <c r="B41" s="20">
        <f t="shared" si="14"/>
        <v>1311.61</v>
      </c>
      <c r="C41" s="41">
        <f t="shared" si="15"/>
        <v>0.004544033669</v>
      </c>
      <c r="M41" s="78">
        <f>IFERROR(__xludf.DUMMYFUNCTION("""COMPUTED_VALUE"""),45826.0)</f>
        <v>45826</v>
      </c>
      <c r="N41" s="74">
        <f>IFERROR(__xludf.DUMMYFUNCTION("""COMPUTED_VALUE"""),1172.16)</f>
        <v>1172.16</v>
      </c>
      <c r="O41" s="74"/>
      <c r="P41" s="36" t="str">
        <f>IFERROR(__xludf.DUMMYFUNCTION("""COMPUTED_VALUE"""),"09/02/2026"",0],[""06/02/2026")</f>
        <v>09/02/2026",0],["06/02/2026</v>
      </c>
      <c r="Q41" s="36">
        <f>IFERROR(__xludf.DUMMYFUNCTION("""COMPUTED_VALUE"""),1488.04)</f>
        <v>1488.04</v>
      </c>
    </row>
    <row r="42">
      <c r="A42" s="86">
        <v>45888.0</v>
      </c>
      <c r="B42" s="20">
        <f t="shared" si="14"/>
        <v>1305.65</v>
      </c>
      <c r="C42" s="41">
        <f t="shared" si="15"/>
        <v>0.001263738368</v>
      </c>
      <c r="M42" s="78">
        <f>IFERROR(__xludf.DUMMYFUNCTION("""COMPUTED_VALUE"""),45825.0)</f>
        <v>45825</v>
      </c>
      <c r="N42" s="74">
        <f>IFERROR(__xludf.DUMMYFUNCTION("""COMPUTED_VALUE"""),1204.75)</f>
        <v>1204.75</v>
      </c>
      <c r="O42" s="74"/>
      <c r="P42" s="79">
        <f>IFERROR(__xludf.DUMMYFUNCTION("""COMPUTED_VALUE"""),46058.0)</f>
        <v>46058</v>
      </c>
      <c r="Q42" s="36">
        <f>IFERROR(__xludf.DUMMYFUNCTION("""COMPUTED_VALUE"""),1506.81)</f>
        <v>1506.81</v>
      </c>
    </row>
    <row r="43">
      <c r="A43" s="86">
        <v>45887.0</v>
      </c>
      <c r="B43" s="20">
        <f t="shared" si="14"/>
        <v>1304</v>
      </c>
      <c r="C43" s="41" t="str">
        <f t="shared" si="15"/>
        <v>#N/A</v>
      </c>
      <c r="M43" s="78">
        <f>IFERROR(__xludf.DUMMYFUNCTION("""COMPUTED_VALUE"""),45824.0)</f>
        <v>45824</v>
      </c>
      <c r="N43" s="74">
        <f>IFERROR(__xludf.DUMMYFUNCTION("""COMPUTED_VALUE"""),1205.65)</f>
        <v>1205.65</v>
      </c>
      <c r="O43" s="74"/>
      <c r="P43" s="79">
        <f>IFERROR(__xludf.DUMMYFUNCTION("""COMPUTED_VALUE"""),46057.0)</f>
        <v>46057</v>
      </c>
      <c r="Q43" s="36">
        <f>IFERROR(__xludf.DUMMYFUNCTION("""COMPUTED_VALUE"""),1497.09)</f>
        <v>1497.09</v>
      </c>
    </row>
    <row r="44">
      <c r="A44" s="86">
        <v>45886.0</v>
      </c>
      <c r="B44" s="20" t="str">
        <f t="shared" si="14"/>
        <v>#N/A</v>
      </c>
      <c r="C44" s="41" t="str">
        <f t="shared" si="15"/>
        <v>#N/A</v>
      </c>
      <c r="M44" s="78">
        <f>IFERROR(__xludf.DUMMYFUNCTION("""COMPUTED_VALUE"""),45821.0)</f>
        <v>45821</v>
      </c>
      <c r="N44" s="74">
        <f>IFERROR(__xludf.DUMMYFUNCTION("""COMPUTED_VALUE"""),1200.37)</f>
        <v>1200.37</v>
      </c>
      <c r="O44" s="74"/>
      <c r="P44" s="79">
        <f>IFERROR(__xludf.DUMMYFUNCTION("""COMPUTED_VALUE"""),46056.0)</f>
        <v>46056</v>
      </c>
      <c r="Q44" s="36">
        <f>IFERROR(__xludf.DUMMYFUNCTION("""COMPUTED_VALUE"""),1493.04)</f>
        <v>1493.04</v>
      </c>
    </row>
    <row r="45">
      <c r="A45" s="86">
        <v>45885.0</v>
      </c>
      <c r="B45" s="20" t="str">
        <f t="shared" si="14"/>
        <v>#N/A</v>
      </c>
      <c r="C45" s="41" t="str">
        <f t="shared" si="15"/>
        <v>#N/A</v>
      </c>
      <c r="M45" s="78">
        <f>IFERROR(__xludf.DUMMYFUNCTION("""COMPUTED_VALUE"""),45820.0)</f>
        <v>45820</v>
      </c>
      <c r="N45" s="74">
        <f>IFERROR(__xludf.DUMMYFUNCTION("""COMPUTED_VALUE"""),1187.02)</f>
        <v>1187.02</v>
      </c>
      <c r="O45" s="74"/>
      <c r="P45" s="79">
        <f>IFERROR(__xludf.DUMMYFUNCTION("""COMPUTED_VALUE"""),46055.0)</f>
        <v>46055</v>
      </c>
      <c r="Q45" s="36">
        <f>IFERROR(__xludf.DUMMYFUNCTION("""COMPUTED_VALUE"""),1494.76)</f>
        <v>1494.76</v>
      </c>
    </row>
    <row r="46">
      <c r="A46" s="86">
        <v>45884.0</v>
      </c>
      <c r="B46" s="20">
        <f t="shared" si="14"/>
        <v>1300.74</v>
      </c>
      <c r="C46" s="41">
        <f t="shared" si="15"/>
        <v>-0.007488045267</v>
      </c>
      <c r="M46" s="78">
        <f>IFERROR(__xludf.DUMMYFUNCTION("""COMPUTED_VALUE"""),45819.0)</f>
        <v>45819</v>
      </c>
      <c r="N46" s="74">
        <f>IFERROR(__xludf.DUMMYFUNCTION("""COMPUTED_VALUE"""),1193.28)</f>
        <v>1193.28</v>
      </c>
      <c r="O46" s="74"/>
      <c r="P46" s="79">
        <f>IFERROR(__xludf.DUMMYFUNCTION("""COMPUTED_VALUE"""),46052.0)</f>
        <v>46052</v>
      </c>
      <c r="Q46" s="36">
        <f>IFERROR(__xludf.DUMMYFUNCTION("""COMPUTED_VALUE"""),1493.78)</f>
        <v>1493.78</v>
      </c>
    </row>
    <row r="47">
      <c r="A47" s="86">
        <v>45883.0</v>
      </c>
      <c r="B47" s="20">
        <f t="shared" si="14"/>
        <v>1310.48</v>
      </c>
      <c r="C47" s="41" t="str">
        <f t="shared" si="15"/>
        <v>#N/A</v>
      </c>
      <c r="M47" s="78">
        <f>IFERROR(__xludf.DUMMYFUNCTION("""COMPUTED_VALUE"""),45818.0)</f>
        <v>45818</v>
      </c>
      <c r="N47" s="74">
        <f>IFERROR(__xludf.DUMMYFUNCTION("""COMPUTED_VALUE"""),1193.85)</f>
        <v>1193.85</v>
      </c>
      <c r="O47" s="74"/>
      <c r="P47" s="79">
        <f>IFERROR(__xludf.DUMMYFUNCTION("""COMPUTED_VALUE"""),46051.0)</f>
        <v>46051</v>
      </c>
      <c r="Q47" s="36">
        <f>IFERROR(__xludf.DUMMYFUNCTION("""COMPUTED_VALUE"""),1515.25)</f>
        <v>1515.25</v>
      </c>
    </row>
    <row r="48">
      <c r="A48" s="86">
        <v>45882.0</v>
      </c>
      <c r="B48" s="20" t="str">
        <f t="shared" si="14"/>
        <v>#N/A</v>
      </c>
      <c r="C48" s="41" t="str">
        <f t="shared" si="15"/>
        <v>#N/A</v>
      </c>
      <c r="M48" s="78">
        <f>IFERROR(__xludf.DUMMYFUNCTION("""COMPUTED_VALUE"""),45817.0)</f>
        <v>45817</v>
      </c>
      <c r="N48" s="74">
        <f>IFERROR(__xludf.DUMMYFUNCTION("""COMPUTED_VALUE"""),1198.27)</f>
        <v>1198.27</v>
      </c>
      <c r="O48" s="74"/>
      <c r="P48" s="79">
        <f>IFERROR(__xludf.DUMMYFUNCTION("""COMPUTED_VALUE"""),46050.0)</f>
        <v>46050</v>
      </c>
      <c r="Q48" s="36">
        <f>IFERROR(__xludf.DUMMYFUNCTION("""COMPUTED_VALUE"""),1497.4)</f>
        <v>1497.4</v>
      </c>
    </row>
    <row r="49">
      <c r="A49" s="86">
        <v>45881.0</v>
      </c>
      <c r="B49" s="20">
        <f t="shared" si="14"/>
        <v>1324.07</v>
      </c>
      <c r="C49" s="41">
        <f t="shared" si="15"/>
        <v>-0.00343637421</v>
      </c>
      <c r="M49" s="78">
        <f>IFERROR(__xludf.DUMMYFUNCTION("""COMPUTED_VALUE"""),45814.0)</f>
        <v>45814</v>
      </c>
      <c r="N49" s="74">
        <f>IFERROR(__xludf.DUMMYFUNCTION("""COMPUTED_VALUE"""),1194.81)</f>
        <v>1194.81</v>
      </c>
      <c r="O49" s="74"/>
      <c r="P49" s="79">
        <f>IFERROR(__xludf.DUMMYFUNCTION("""COMPUTED_VALUE"""),46049.0)</f>
        <v>46049</v>
      </c>
      <c r="Q49" s="36">
        <f>IFERROR(__xludf.DUMMYFUNCTION("""COMPUTED_VALUE"""),1503.74)</f>
        <v>1503.74</v>
      </c>
    </row>
    <row r="50">
      <c r="A50" s="86">
        <v>45880.0</v>
      </c>
      <c r="B50" s="20">
        <f t="shared" si="14"/>
        <v>1328.62</v>
      </c>
      <c r="C50" s="41" t="str">
        <f t="shared" si="15"/>
        <v>#N/A</v>
      </c>
      <c r="M50" s="78">
        <f>IFERROR(__xludf.DUMMYFUNCTION("""COMPUTED_VALUE"""),45813.0)</f>
        <v>45813</v>
      </c>
      <c r="N50" s="74">
        <f>IFERROR(__xludf.DUMMYFUNCTION("""COMPUTED_VALUE"""),1193.41)</f>
        <v>1193.41</v>
      </c>
      <c r="O50" s="74"/>
      <c r="P50" s="79">
        <f>IFERROR(__xludf.DUMMYFUNCTION("""COMPUTED_VALUE"""),46048.0)</f>
        <v>46048</v>
      </c>
      <c r="Q50" s="36">
        <f>IFERROR(__xludf.DUMMYFUNCTION("""COMPUTED_VALUE"""),1516.38)</f>
        <v>1516.38</v>
      </c>
    </row>
    <row r="51">
      <c r="A51" s="86">
        <v>45879.0</v>
      </c>
      <c r="B51" s="20" t="str">
        <f t="shared" si="14"/>
        <v>#N/A</v>
      </c>
      <c r="C51" s="41" t="str">
        <f t="shared" si="15"/>
        <v>#N/A</v>
      </c>
      <c r="M51" s="78">
        <f>IFERROR(__xludf.DUMMYFUNCTION("""COMPUTED_VALUE"""),45812.0)</f>
        <v>45812</v>
      </c>
      <c r="N51" s="74">
        <f>IFERROR(__xludf.DUMMYFUNCTION("""COMPUTED_VALUE"""),1201.49)</f>
        <v>1201.49</v>
      </c>
      <c r="O51" s="74" t="str">
        <f t="shared" ref="O51:O755" si="18">SUBSTITUTE(N51,".",",")</f>
        <v>1201,49</v>
      </c>
      <c r="P51" s="79">
        <f>IFERROR(__xludf.DUMMYFUNCTION("""COMPUTED_VALUE"""),46045.0)</f>
        <v>46045</v>
      </c>
      <c r="Q51" s="36">
        <f>IFERROR(__xludf.DUMMYFUNCTION("""COMPUTED_VALUE"""),1507.36)</f>
        <v>1507.36</v>
      </c>
    </row>
    <row r="52">
      <c r="A52" s="86">
        <v>45878.0</v>
      </c>
      <c r="B52" s="20" t="str">
        <f t="shared" si="14"/>
        <v>#N/A</v>
      </c>
      <c r="C52" s="41" t="str">
        <f t="shared" si="15"/>
        <v>#N/A</v>
      </c>
      <c r="M52" s="78">
        <f>IFERROR(__xludf.DUMMYFUNCTION("""COMPUTED_VALUE"""),45811.0)</f>
        <v>45811</v>
      </c>
      <c r="N52" s="74">
        <f>IFERROR(__xludf.DUMMYFUNCTION("""COMPUTED_VALUE"""),1199.76)</f>
        <v>1199.76</v>
      </c>
      <c r="O52" s="74" t="str">
        <f t="shared" si="18"/>
        <v>1199,76</v>
      </c>
      <c r="P52" s="79">
        <f>IFERROR(__xludf.DUMMYFUNCTION("""COMPUTED_VALUE"""),46044.0)</f>
        <v>46044</v>
      </c>
      <c r="Q52" s="36">
        <f>IFERROR(__xludf.DUMMYFUNCTION("""COMPUTED_VALUE"""),1504.11)</f>
        <v>1504.11</v>
      </c>
    </row>
    <row r="53">
      <c r="A53" s="86">
        <v>45877.0</v>
      </c>
      <c r="B53" s="20">
        <f t="shared" si="14"/>
        <v>1336.37</v>
      </c>
      <c r="C53" s="41">
        <f t="shared" si="15"/>
        <v>0.001279585743</v>
      </c>
      <c r="M53" s="78">
        <f>IFERROR(__xludf.DUMMYFUNCTION("""COMPUTED_VALUE"""),45810.0)</f>
        <v>45810</v>
      </c>
      <c r="N53" s="74">
        <f>IFERROR(__xludf.DUMMYFUNCTION("""COMPUTED_VALUE"""),1196.18)</f>
        <v>1196.18</v>
      </c>
      <c r="O53" s="74" t="str">
        <f t="shared" si="18"/>
        <v>1196,18</v>
      </c>
      <c r="P53" s="79">
        <f>IFERROR(__xludf.DUMMYFUNCTION("""COMPUTED_VALUE"""),46043.0)</f>
        <v>46043</v>
      </c>
      <c r="Q53" s="36">
        <f>IFERROR(__xludf.DUMMYFUNCTION("""COMPUTED_VALUE"""),1506.32)</f>
        <v>1506.32</v>
      </c>
    </row>
    <row r="54">
      <c r="A54" s="86">
        <v>45876.0</v>
      </c>
      <c r="B54" s="20">
        <f t="shared" si="14"/>
        <v>1334.66</v>
      </c>
      <c r="C54" s="41">
        <f t="shared" si="15"/>
        <v>-0.002457554733</v>
      </c>
      <c r="M54" s="78">
        <f>IFERROR(__xludf.DUMMYFUNCTION("""COMPUTED_VALUE"""),45807.0)</f>
        <v>45807</v>
      </c>
      <c r="N54" s="74">
        <f>IFERROR(__xludf.DUMMYFUNCTION("""COMPUTED_VALUE"""),1204.92)</f>
        <v>1204.92</v>
      </c>
      <c r="O54" s="74" t="str">
        <f t="shared" si="18"/>
        <v>1204,92</v>
      </c>
      <c r="P54" s="79">
        <f>IFERROR(__xludf.DUMMYFUNCTION("""COMPUTED_VALUE"""),46042.0)</f>
        <v>46042</v>
      </c>
      <c r="Q54" s="36">
        <f>IFERROR(__xludf.DUMMYFUNCTION("""COMPUTED_VALUE"""),1483.62)</f>
        <v>1483.62</v>
      </c>
    </row>
    <row r="55">
      <c r="A55" s="86">
        <v>45875.0</v>
      </c>
      <c r="B55" s="20">
        <f t="shared" si="14"/>
        <v>1337.94</v>
      </c>
      <c r="C55" s="41">
        <f t="shared" si="15"/>
        <v>-0.008012317443</v>
      </c>
      <c r="M55" s="78">
        <f>IFERROR(__xludf.DUMMYFUNCTION("""COMPUTED_VALUE"""),45806.0)</f>
        <v>45806</v>
      </c>
      <c r="N55" s="74">
        <f>IFERROR(__xludf.DUMMYFUNCTION("""COMPUTED_VALUE"""),1194.22)</f>
        <v>1194.22</v>
      </c>
      <c r="O55" s="74" t="str">
        <f t="shared" si="18"/>
        <v>1194,22</v>
      </c>
      <c r="P55" s="79">
        <f>IFERROR(__xludf.DUMMYFUNCTION("""COMPUTED_VALUE"""),46041.0)</f>
        <v>46041</v>
      </c>
      <c r="Q55" s="36">
        <f>IFERROR(__xludf.DUMMYFUNCTION("""COMPUTED_VALUE"""),1512.63)</f>
        <v>1512.63</v>
      </c>
    </row>
    <row r="56">
      <c r="A56" s="86">
        <v>45874.0</v>
      </c>
      <c r="B56" s="20">
        <f t="shared" si="14"/>
        <v>1348.66</v>
      </c>
      <c r="C56" s="41">
        <f t="shared" si="15"/>
        <v>-0.009372265805</v>
      </c>
      <c r="M56" s="78">
        <f>IFERROR(__xludf.DUMMYFUNCTION("""COMPUTED_VALUE"""),45805.0)</f>
        <v>45805</v>
      </c>
      <c r="N56" s="74">
        <f>IFERROR(__xludf.DUMMYFUNCTION("""COMPUTED_VALUE"""),1175.33)</f>
        <v>1175.33</v>
      </c>
      <c r="O56" s="74" t="str">
        <f t="shared" si="18"/>
        <v>1175,33</v>
      </c>
      <c r="P56" s="79">
        <f>IFERROR(__xludf.DUMMYFUNCTION("""COMPUTED_VALUE"""),46038.0)</f>
        <v>46038</v>
      </c>
      <c r="Q56" s="36">
        <f>IFERROR(__xludf.DUMMYFUNCTION("""COMPUTED_VALUE"""),1519.73)</f>
        <v>1519.73</v>
      </c>
    </row>
    <row r="57">
      <c r="A57" s="86">
        <v>45873.0</v>
      </c>
      <c r="B57" s="20">
        <f t="shared" si="14"/>
        <v>1361.3</v>
      </c>
      <c r="C57" s="41" t="str">
        <f t="shared" si="15"/>
        <v>#N/A</v>
      </c>
      <c r="M57" s="78">
        <f>IFERROR(__xludf.DUMMYFUNCTION("""COMPUTED_VALUE"""),45804.0)</f>
        <v>45804</v>
      </c>
      <c r="N57" s="74">
        <f>IFERROR(__xludf.DUMMYFUNCTION("""COMPUTED_VALUE"""),1171.98)</f>
        <v>1171.98</v>
      </c>
      <c r="O57" s="74" t="str">
        <f t="shared" si="18"/>
        <v>1171,98</v>
      </c>
      <c r="P57" s="79">
        <f>IFERROR(__xludf.DUMMYFUNCTION("""COMPUTED_VALUE"""),46037.0)</f>
        <v>46037</v>
      </c>
      <c r="Q57" s="36">
        <f>IFERROR(__xludf.DUMMYFUNCTION("""COMPUTED_VALUE"""),1515.32)</f>
        <v>1515.32</v>
      </c>
    </row>
    <row r="58">
      <c r="A58" s="86">
        <v>45872.0</v>
      </c>
      <c r="B58" s="20" t="str">
        <f t="shared" si="14"/>
        <v>#N/A</v>
      </c>
      <c r="C58" s="41" t="str">
        <f t="shared" si="15"/>
        <v>#N/A</v>
      </c>
      <c r="M58" s="78">
        <f>IFERROR(__xludf.DUMMYFUNCTION("""COMPUTED_VALUE"""),45803.0)</f>
        <v>45803</v>
      </c>
      <c r="N58" s="74">
        <f>IFERROR(__xludf.DUMMYFUNCTION("""COMPUTED_VALUE"""),1151.25)</f>
        <v>1151.25</v>
      </c>
      <c r="O58" s="74" t="str">
        <f t="shared" si="18"/>
        <v>1151,25</v>
      </c>
      <c r="P58" s="79">
        <f>IFERROR(__xludf.DUMMYFUNCTION("""COMPUTED_VALUE"""),46036.0)</f>
        <v>46036</v>
      </c>
      <c r="Q58" s="36">
        <f>IFERROR(__xludf.DUMMYFUNCTION("""COMPUTED_VALUE"""),1527.86)</f>
        <v>1527.86</v>
      </c>
    </row>
    <row r="59">
      <c r="A59" s="86">
        <v>45871.0</v>
      </c>
      <c r="B59" s="20" t="str">
        <f t="shared" si="14"/>
        <v>#N/A</v>
      </c>
      <c r="C59" s="41" t="str">
        <f t="shared" si="15"/>
        <v>#N/A</v>
      </c>
      <c r="M59" s="78">
        <f>IFERROR(__xludf.DUMMYFUNCTION("""COMPUTED_VALUE"""),45800.0)</f>
        <v>45800</v>
      </c>
      <c r="N59" s="74">
        <f>IFERROR(__xludf.DUMMYFUNCTION("""COMPUTED_VALUE"""),1165.18)</f>
        <v>1165.18</v>
      </c>
      <c r="O59" s="74" t="str">
        <f t="shared" si="18"/>
        <v>1165,18</v>
      </c>
      <c r="P59" s="79">
        <f>IFERROR(__xludf.DUMMYFUNCTION("""COMPUTED_VALUE"""),46035.0)</f>
        <v>46035</v>
      </c>
      <c r="Q59" s="36">
        <f>IFERROR(__xludf.DUMMYFUNCTION("""COMPUTED_VALUE"""),1522.32)</f>
        <v>1522.32</v>
      </c>
    </row>
    <row r="60">
      <c r="A60" s="86">
        <v>45870.0</v>
      </c>
      <c r="B60" s="20">
        <f t="shared" si="14"/>
        <v>1366.9</v>
      </c>
      <c r="C60" s="41">
        <f t="shared" si="15"/>
        <v>0.005911185895</v>
      </c>
      <c r="M60" s="78">
        <f>IFERROR(__xludf.DUMMYFUNCTION("""COMPUTED_VALUE"""),45799.0)</f>
        <v>45799</v>
      </c>
      <c r="N60" s="74">
        <f>IFERROR(__xludf.DUMMYFUNCTION("""COMPUTED_VALUE"""),1163.2)</f>
        <v>1163.2</v>
      </c>
      <c r="O60" s="74" t="str">
        <f t="shared" si="18"/>
        <v>1163,2</v>
      </c>
      <c r="P60" s="79">
        <f>IFERROR(__xludf.DUMMYFUNCTION("""COMPUTED_VALUE"""),46034.0)</f>
        <v>46034</v>
      </c>
      <c r="Q60" s="36">
        <f>IFERROR(__xludf.DUMMYFUNCTION("""COMPUTED_VALUE"""),1528.37)</f>
        <v>1528.37</v>
      </c>
    </row>
    <row r="61">
      <c r="A61" s="86">
        <v>45869.0</v>
      </c>
      <c r="B61" s="20">
        <f t="shared" si="14"/>
        <v>1358.82</v>
      </c>
      <c r="C61" s="41">
        <f t="shared" si="15"/>
        <v>0.02856890537</v>
      </c>
      <c r="M61" s="78">
        <f>IFERROR(__xludf.DUMMYFUNCTION("""COMPUTED_VALUE"""),45798.0)</f>
        <v>45798</v>
      </c>
      <c r="N61" s="74">
        <f>IFERROR(__xludf.DUMMYFUNCTION("""COMPUTED_VALUE"""),1162.14)</f>
        <v>1162.14</v>
      </c>
      <c r="O61" s="74" t="str">
        <f t="shared" si="18"/>
        <v>1162,14</v>
      </c>
      <c r="P61" s="79">
        <f>IFERROR(__xludf.DUMMYFUNCTION("""COMPUTED_VALUE"""),46031.0)</f>
        <v>46031</v>
      </c>
      <c r="Q61" s="36">
        <f>IFERROR(__xludf.DUMMYFUNCTION("""COMPUTED_VALUE"""),1528.86)</f>
        <v>1528.86</v>
      </c>
    </row>
    <row r="62">
      <c r="A62" s="86">
        <v>45868.0</v>
      </c>
      <c r="B62" s="20">
        <f t="shared" si="14"/>
        <v>1320</v>
      </c>
      <c r="C62" s="41">
        <f t="shared" si="15"/>
        <v>0.02272727273</v>
      </c>
      <c r="M62" s="78">
        <f>IFERROR(__xludf.DUMMYFUNCTION("""COMPUTED_VALUE"""),45797.0)</f>
        <v>45797</v>
      </c>
      <c r="N62" s="74">
        <f>IFERROR(__xludf.DUMMYFUNCTION("""COMPUTED_VALUE"""),1171.71)</f>
        <v>1171.71</v>
      </c>
      <c r="O62" s="74" t="str">
        <f t="shared" si="18"/>
        <v>1171,71</v>
      </c>
      <c r="P62" s="79">
        <f>IFERROR(__xludf.DUMMYFUNCTION("""COMPUTED_VALUE"""),46030.0)</f>
        <v>46030</v>
      </c>
      <c r="Q62" s="36">
        <f>IFERROR(__xludf.DUMMYFUNCTION("""COMPUTED_VALUE"""),1530.92)</f>
        <v>1530.92</v>
      </c>
    </row>
    <row r="63">
      <c r="A63" s="86">
        <v>45867.0</v>
      </c>
      <c r="B63" s="20">
        <f t="shared" si="14"/>
        <v>1290</v>
      </c>
      <c r="C63" s="41">
        <f t="shared" si="15"/>
        <v>-0.007558139535</v>
      </c>
      <c r="M63" s="78">
        <f>IFERROR(__xludf.DUMMYFUNCTION("""COMPUTED_VALUE"""),45796.0)</f>
        <v>45796</v>
      </c>
      <c r="N63" s="74">
        <f>IFERROR(__xludf.DUMMYFUNCTION("""COMPUTED_VALUE"""),1162.59)</f>
        <v>1162.59</v>
      </c>
      <c r="O63" s="74" t="str">
        <f t="shared" si="18"/>
        <v>1162,59</v>
      </c>
      <c r="P63" s="79">
        <f>IFERROR(__xludf.DUMMYFUNCTION("""COMPUTED_VALUE"""),46029.0)</f>
        <v>46029</v>
      </c>
      <c r="Q63" s="36">
        <f>IFERROR(__xludf.DUMMYFUNCTION("""COMPUTED_VALUE"""),1533.17)</f>
        <v>1533.17</v>
      </c>
    </row>
    <row r="64">
      <c r="A64" s="86">
        <v>45866.0</v>
      </c>
      <c r="B64" s="20">
        <f t="shared" si="14"/>
        <v>1299.75</v>
      </c>
      <c r="C64" s="41" t="str">
        <f t="shared" si="15"/>
        <v>#N/A</v>
      </c>
      <c r="M64" s="78">
        <f>IFERROR(__xludf.DUMMYFUNCTION("""COMPUTED_VALUE"""),45793.0)</f>
        <v>45793</v>
      </c>
      <c r="N64" s="74">
        <f>IFERROR(__xludf.DUMMYFUNCTION("""COMPUTED_VALUE"""),1178.82)</f>
        <v>1178.82</v>
      </c>
      <c r="O64" s="74" t="str">
        <f t="shared" si="18"/>
        <v>1178,82</v>
      </c>
      <c r="P64" s="79">
        <f>IFERROR(__xludf.DUMMYFUNCTION("""COMPUTED_VALUE"""),46028.0)</f>
        <v>46028</v>
      </c>
      <c r="Q64" s="36">
        <f>IFERROR(__xludf.DUMMYFUNCTION("""COMPUTED_VALUE"""),1539.65)</f>
        <v>1539.65</v>
      </c>
    </row>
    <row r="65">
      <c r="A65" s="86">
        <v>45865.0</v>
      </c>
      <c r="B65" s="20" t="str">
        <f t="shared" si="14"/>
        <v>#N/A</v>
      </c>
      <c r="C65" s="41" t="str">
        <f t="shared" si="15"/>
        <v>#N/A</v>
      </c>
      <c r="M65" s="78">
        <f>IFERROR(__xludf.DUMMYFUNCTION("""COMPUTED_VALUE"""),45792.0)</f>
        <v>45792</v>
      </c>
      <c r="N65" s="74">
        <f>IFERROR(__xludf.DUMMYFUNCTION("""COMPUTED_VALUE"""),1166.04)</f>
        <v>1166.04</v>
      </c>
      <c r="O65" s="74" t="str">
        <f t="shared" si="18"/>
        <v>1166,04</v>
      </c>
      <c r="P65" s="79">
        <f>IFERROR(__xludf.DUMMYFUNCTION("""COMPUTED_VALUE"""),46027.0)</f>
        <v>46027</v>
      </c>
      <c r="Q65" s="36">
        <f>IFERROR(__xludf.DUMMYFUNCTION("""COMPUTED_VALUE"""),1544.75)</f>
        <v>1544.75</v>
      </c>
    </row>
    <row r="66">
      <c r="A66" s="86">
        <v>45864.0</v>
      </c>
      <c r="B66" s="20" t="str">
        <f t="shared" si="14"/>
        <v>#N/A</v>
      </c>
      <c r="C66" s="41" t="str">
        <f t="shared" si="15"/>
        <v>#N/A</v>
      </c>
      <c r="M66" s="78">
        <f>IFERROR(__xludf.DUMMYFUNCTION("""COMPUTED_VALUE"""),45791.0)</f>
        <v>45791</v>
      </c>
      <c r="N66" s="74">
        <f>IFERROR(__xludf.DUMMYFUNCTION("""COMPUTED_VALUE"""),1158.28)</f>
        <v>1158.28</v>
      </c>
      <c r="O66" s="74" t="str">
        <f t="shared" si="18"/>
        <v>1158,28</v>
      </c>
      <c r="P66" s="79">
        <f>IFERROR(__xludf.DUMMYFUNCTION("""COMPUTED_VALUE"""),46024.0)</f>
        <v>46024</v>
      </c>
      <c r="Q66" s="36">
        <f>IFERROR(__xludf.DUMMYFUNCTION("""COMPUTED_VALUE"""),1545.86)</f>
        <v>1545.86</v>
      </c>
    </row>
    <row r="67">
      <c r="A67" s="86">
        <v>45863.0</v>
      </c>
      <c r="B67" s="20">
        <f t="shared" si="14"/>
        <v>1293.91</v>
      </c>
      <c r="C67" s="41">
        <f t="shared" si="15"/>
        <v>0.01296844448</v>
      </c>
      <c r="M67" s="78">
        <f>IFERROR(__xludf.DUMMYFUNCTION("""COMPUTED_VALUE"""),45790.0)</f>
        <v>45790</v>
      </c>
      <c r="N67" s="74">
        <f>IFERROR(__xludf.DUMMYFUNCTION("""COMPUTED_VALUE"""),1158.28)</f>
        <v>1158.28</v>
      </c>
      <c r="O67" s="74" t="str">
        <f t="shared" si="18"/>
        <v>1158,28</v>
      </c>
      <c r="P67" s="79">
        <f>IFERROR(__xludf.DUMMYFUNCTION("""COMPUTED_VALUE"""),46023.0)</f>
        <v>46023</v>
      </c>
      <c r="Q67" s="36">
        <f>IFERROR(__xludf.DUMMYFUNCTION("""COMPUTED_VALUE"""),1524.82)</f>
        <v>1524.82</v>
      </c>
    </row>
    <row r="68">
      <c r="A68" s="86">
        <v>45862.0</v>
      </c>
      <c r="B68" s="20">
        <f t="shared" si="14"/>
        <v>1277.13</v>
      </c>
      <c r="C68" s="41">
        <f t="shared" si="15"/>
        <v>0.007939677245</v>
      </c>
      <c r="M68" s="78">
        <f>IFERROR(__xludf.DUMMYFUNCTION("""COMPUTED_VALUE"""),45789.0)</f>
        <v>45789</v>
      </c>
      <c r="N68" s="74">
        <f>IFERROR(__xludf.DUMMYFUNCTION("""COMPUTED_VALUE"""),1155.98)</f>
        <v>1155.98</v>
      </c>
      <c r="O68" s="74" t="str">
        <f t="shared" si="18"/>
        <v>1155,98</v>
      </c>
      <c r="P68" s="87">
        <f>IFERROR(__xludf.DUMMYFUNCTION("""COMPUTED_VALUE"""),46022.0)</f>
        <v>46022</v>
      </c>
      <c r="Q68" s="36">
        <f>IFERROR(__xludf.DUMMYFUNCTION("""COMPUTED_VALUE"""),1524.82)</f>
        <v>1524.82</v>
      </c>
    </row>
    <row r="69">
      <c r="A69" s="86">
        <v>45861.0</v>
      </c>
      <c r="B69" s="20">
        <f t="shared" si="14"/>
        <v>1266.99</v>
      </c>
      <c r="C69" s="41">
        <f t="shared" si="15"/>
        <v>0.007174484408</v>
      </c>
      <c r="M69" s="78">
        <f>IFERROR(__xludf.DUMMYFUNCTION("""COMPUTED_VALUE"""),45786.0)</f>
        <v>45786</v>
      </c>
      <c r="N69" s="74">
        <f>IFERROR(__xludf.DUMMYFUNCTION("""COMPUTED_VALUE"""),1159.25)</f>
        <v>1159.25</v>
      </c>
      <c r="O69" s="74" t="str">
        <f t="shared" si="18"/>
        <v>1159,25</v>
      </c>
      <c r="P69" s="87">
        <f>IFERROR(__xludf.DUMMYFUNCTION("""COMPUTED_VALUE"""),46021.0)</f>
        <v>46021</v>
      </c>
      <c r="Q69" s="36">
        <f>IFERROR(__xludf.DUMMYFUNCTION("""COMPUTED_VALUE"""),1521.34)</f>
        <v>1521.34</v>
      </c>
    </row>
    <row r="70">
      <c r="A70" s="86">
        <v>45860.0</v>
      </c>
      <c r="B70" s="20">
        <f t="shared" si="14"/>
        <v>1257.9</v>
      </c>
      <c r="C70" s="41">
        <f t="shared" si="15"/>
        <v>-0.02534382701</v>
      </c>
      <c r="M70" s="78">
        <f>IFERROR(__xludf.DUMMYFUNCTION("""COMPUTED_VALUE"""),45785.0)</f>
        <v>45785</v>
      </c>
      <c r="N70" s="74">
        <f>IFERROR(__xludf.DUMMYFUNCTION("""COMPUTED_VALUE"""),1157.44)</f>
        <v>1157.44</v>
      </c>
      <c r="O70" s="74" t="str">
        <f t="shared" si="18"/>
        <v>1157,44</v>
      </c>
      <c r="P70" s="87">
        <f>IFERROR(__xludf.DUMMYFUNCTION("""COMPUTED_VALUE"""),46020.0)</f>
        <v>46020</v>
      </c>
      <c r="Q70" s="36">
        <f>IFERROR(__xludf.DUMMYFUNCTION("""COMPUTED_VALUE"""),1527.22)</f>
        <v>1527.22</v>
      </c>
    </row>
    <row r="71">
      <c r="A71" s="86">
        <v>45859.0</v>
      </c>
      <c r="B71" s="20">
        <f t="shared" si="14"/>
        <v>1289.78</v>
      </c>
      <c r="C71" s="41" t="str">
        <f t="shared" si="15"/>
        <v>#N/A</v>
      </c>
      <c r="M71" s="78">
        <f>IFERROR(__xludf.DUMMYFUNCTION("""COMPUTED_VALUE"""),45784.0)</f>
        <v>45784</v>
      </c>
      <c r="N71" s="74">
        <f>IFERROR(__xludf.DUMMYFUNCTION("""COMPUTED_VALUE"""),1165.4)</f>
        <v>1165.4</v>
      </c>
      <c r="O71" s="74" t="str">
        <f t="shared" si="18"/>
        <v>1165,4</v>
      </c>
      <c r="P71" s="87">
        <f>IFERROR(__xludf.DUMMYFUNCTION("""COMPUTED_VALUE"""),46017.0)</f>
        <v>46017</v>
      </c>
      <c r="Q71" s="36">
        <f>IFERROR(__xludf.DUMMYFUNCTION("""COMPUTED_VALUE"""),1530.7)</f>
        <v>1530.7</v>
      </c>
    </row>
    <row r="72">
      <c r="A72" s="86">
        <v>45858.0</v>
      </c>
      <c r="B72" s="20" t="str">
        <f t="shared" si="14"/>
        <v>#N/A</v>
      </c>
      <c r="C72" s="41" t="str">
        <f t="shared" si="15"/>
        <v>#N/A</v>
      </c>
      <c r="M72" s="78">
        <f>IFERROR(__xludf.DUMMYFUNCTION("""COMPUTED_VALUE"""),45783.0)</f>
        <v>45783</v>
      </c>
      <c r="N72" s="74">
        <f>IFERROR(__xludf.DUMMYFUNCTION("""COMPUTED_VALUE"""),1211.31)</f>
        <v>1211.31</v>
      </c>
      <c r="O72" s="74" t="str">
        <f t="shared" si="18"/>
        <v>1211,31</v>
      </c>
      <c r="P72" s="87">
        <f>IFERROR(__xludf.DUMMYFUNCTION("""COMPUTED_VALUE"""),46016.0)</f>
        <v>46016</v>
      </c>
      <c r="Q72" s="36">
        <f>IFERROR(__xludf.DUMMYFUNCTION("""COMPUTED_VALUE"""),1526.89)</f>
        <v>1526.89</v>
      </c>
    </row>
    <row r="73">
      <c r="A73" s="86">
        <v>45857.0</v>
      </c>
      <c r="B73" s="20" t="str">
        <f t="shared" si="14"/>
        <v>#N/A</v>
      </c>
      <c r="C73" s="41" t="str">
        <f t="shared" si="15"/>
        <v>#N/A</v>
      </c>
      <c r="M73" s="78">
        <f>IFERROR(__xludf.DUMMYFUNCTION("""COMPUTED_VALUE"""),45782.0)</f>
        <v>45782</v>
      </c>
      <c r="N73" s="74">
        <f>IFERROR(__xludf.DUMMYFUNCTION("""COMPUTED_VALUE"""),1211.65)</f>
        <v>1211.65</v>
      </c>
      <c r="O73" s="74" t="str">
        <f t="shared" si="18"/>
        <v>1211,65</v>
      </c>
      <c r="P73" s="87">
        <f>IFERROR(__xludf.DUMMYFUNCTION("""COMPUTED_VALUE"""),46015.0)</f>
        <v>46015</v>
      </c>
      <c r="Q73" s="36">
        <f>IFERROR(__xludf.DUMMYFUNCTION("""COMPUTED_VALUE"""),1526.89)</f>
        <v>1526.89</v>
      </c>
    </row>
    <row r="74">
      <c r="A74" s="86">
        <v>45856.0</v>
      </c>
      <c r="B74" s="20">
        <f t="shared" si="14"/>
        <v>1301</v>
      </c>
      <c r="C74" s="41">
        <f t="shared" si="15"/>
        <v>0.01184473482</v>
      </c>
      <c r="M74" s="78">
        <f>IFERROR(__xludf.DUMMYFUNCTION("""COMPUTED_VALUE"""),45779.0)</f>
        <v>45779</v>
      </c>
      <c r="N74" s="74">
        <f>IFERROR(__xludf.DUMMYFUNCTION("""COMPUTED_VALUE"""),1195.73)</f>
        <v>1195.73</v>
      </c>
      <c r="O74" s="74" t="str">
        <f t="shared" si="18"/>
        <v>1195,73</v>
      </c>
      <c r="P74" s="87">
        <f>IFERROR(__xludf.DUMMYFUNCTION("""COMPUTED_VALUE"""),46014.0)</f>
        <v>46014</v>
      </c>
      <c r="Q74" s="36">
        <f>IFERROR(__xludf.DUMMYFUNCTION("""COMPUTED_VALUE"""),1530.7)</f>
        <v>1530.7</v>
      </c>
    </row>
    <row r="75">
      <c r="A75" s="86">
        <v>45855.0</v>
      </c>
      <c r="B75" s="20">
        <f t="shared" si="14"/>
        <v>1285.59</v>
      </c>
      <c r="C75" s="41">
        <f t="shared" si="15"/>
        <v>0.009015315925</v>
      </c>
      <c r="M75" s="78">
        <f>IFERROR(__xludf.DUMMYFUNCTION("""COMPUTED_VALUE"""),45778.0)</f>
        <v>45778</v>
      </c>
      <c r="N75" s="74">
        <f>IFERROR(__xludf.DUMMYFUNCTION("""COMPUTED_VALUE"""),1195.73)</f>
        <v>1195.73</v>
      </c>
      <c r="O75" s="74" t="str">
        <f t="shared" si="18"/>
        <v>1195,73</v>
      </c>
      <c r="P75" s="87">
        <f>IFERROR(__xludf.DUMMYFUNCTION("""COMPUTED_VALUE"""),46013.0)</f>
        <v>46013</v>
      </c>
      <c r="Q75" s="36">
        <f>IFERROR(__xludf.DUMMYFUNCTION("""COMPUTED_VALUE"""),1542.52)</f>
        <v>1542.52</v>
      </c>
    </row>
    <row r="76">
      <c r="A76" s="86">
        <v>45854.0</v>
      </c>
      <c r="B76" s="20">
        <f t="shared" si="14"/>
        <v>1274</v>
      </c>
      <c r="C76" s="41">
        <f t="shared" si="15"/>
        <v>-0.004364207221</v>
      </c>
      <c r="M76" s="78">
        <f>IFERROR(__xludf.DUMMYFUNCTION("""COMPUTED_VALUE"""),45777.0)</f>
        <v>45777</v>
      </c>
      <c r="N76" s="74">
        <f>IFERROR(__xludf.DUMMYFUNCTION("""COMPUTED_VALUE"""),1195.73)</f>
        <v>1195.73</v>
      </c>
      <c r="O76" s="74" t="str">
        <f t="shared" si="18"/>
        <v>1195,73</v>
      </c>
      <c r="P76" s="87">
        <f>IFERROR(__xludf.DUMMYFUNCTION("""COMPUTED_VALUE"""),46010.0)</f>
        <v>46010</v>
      </c>
      <c r="Q76" s="36">
        <f>IFERROR(__xludf.DUMMYFUNCTION("""COMPUTED_VALUE"""),1555.81)</f>
        <v>1555.81</v>
      </c>
    </row>
    <row r="77">
      <c r="A77" s="86">
        <v>45853.0</v>
      </c>
      <c r="B77" s="20">
        <f t="shared" si="14"/>
        <v>1279.56</v>
      </c>
      <c r="C77" s="41">
        <f t="shared" si="15"/>
        <v>-0.01247303761</v>
      </c>
      <c r="M77" s="78">
        <f>IFERROR(__xludf.DUMMYFUNCTION("""COMPUTED_VALUE"""),45776.0)</f>
        <v>45776</v>
      </c>
      <c r="N77" s="74">
        <f>IFERROR(__xludf.DUMMYFUNCTION("""COMPUTED_VALUE"""),1188.67)</f>
        <v>1188.67</v>
      </c>
      <c r="O77" s="74" t="str">
        <f t="shared" si="18"/>
        <v>1188,67</v>
      </c>
      <c r="P77" s="87">
        <f>IFERROR(__xludf.DUMMYFUNCTION("""COMPUTED_VALUE"""),46009.0)</f>
        <v>46009</v>
      </c>
      <c r="Q77" s="36">
        <f>IFERROR(__xludf.DUMMYFUNCTION("""COMPUTED_VALUE"""),1552.02)</f>
        <v>1552.02</v>
      </c>
    </row>
    <row r="78">
      <c r="A78" s="86">
        <v>45852.0</v>
      </c>
      <c r="B78" s="20">
        <f t="shared" si="14"/>
        <v>1295.52</v>
      </c>
      <c r="C78" s="41" t="str">
        <f t="shared" si="15"/>
        <v>#N/A</v>
      </c>
      <c r="M78" s="78">
        <f>IFERROR(__xludf.DUMMYFUNCTION("""COMPUTED_VALUE"""),45775.0)</f>
        <v>45775</v>
      </c>
      <c r="N78" s="74">
        <f>IFERROR(__xludf.DUMMYFUNCTION("""COMPUTED_VALUE"""),1190.97)</f>
        <v>1190.97</v>
      </c>
      <c r="O78" s="74" t="str">
        <f t="shared" si="18"/>
        <v>1190,97</v>
      </c>
      <c r="P78" s="87">
        <f>IFERROR(__xludf.DUMMYFUNCTION("""COMPUTED_VALUE"""),46008.0)</f>
        <v>46008</v>
      </c>
      <c r="Q78" s="36">
        <f>IFERROR(__xludf.DUMMYFUNCTION("""COMPUTED_VALUE"""),1556.53)</f>
        <v>1556.53</v>
      </c>
    </row>
    <row r="79">
      <c r="A79" s="86">
        <v>45851.0</v>
      </c>
      <c r="B79" s="20" t="str">
        <f t="shared" si="14"/>
        <v>#N/A</v>
      </c>
      <c r="C79" s="41" t="str">
        <f t="shared" si="15"/>
        <v>#N/A</v>
      </c>
      <c r="M79" s="78">
        <f>IFERROR(__xludf.DUMMYFUNCTION("""COMPUTED_VALUE"""),45772.0)</f>
        <v>45772</v>
      </c>
      <c r="N79" s="74">
        <f>IFERROR(__xludf.DUMMYFUNCTION("""COMPUTED_VALUE"""),1201.15)</f>
        <v>1201.15</v>
      </c>
      <c r="O79" s="74" t="str">
        <f t="shared" si="18"/>
        <v>1201,15</v>
      </c>
      <c r="P79" s="87">
        <f>IFERROR(__xludf.DUMMYFUNCTION("""COMPUTED_VALUE"""),46007.0)</f>
        <v>46007</v>
      </c>
      <c r="Q79" s="36">
        <f>IFERROR(__xludf.DUMMYFUNCTION("""COMPUTED_VALUE"""),1544.69)</f>
        <v>1544.69</v>
      </c>
    </row>
    <row r="80">
      <c r="A80" s="86">
        <v>45850.0</v>
      </c>
      <c r="B80" s="20" t="str">
        <f t="shared" si="14"/>
        <v>#N/A</v>
      </c>
      <c r="C80" s="41" t="str">
        <f t="shared" si="15"/>
        <v>#N/A</v>
      </c>
      <c r="M80" s="78">
        <f>IFERROR(__xludf.DUMMYFUNCTION("""COMPUTED_VALUE"""),45771.0)</f>
        <v>45771</v>
      </c>
      <c r="N80" s="74">
        <f>IFERROR(__xludf.DUMMYFUNCTION("""COMPUTED_VALUE"""),1199.67)</f>
        <v>1199.67</v>
      </c>
      <c r="O80" s="74" t="str">
        <f t="shared" si="18"/>
        <v>1199,67</v>
      </c>
      <c r="P80" s="87">
        <f>IFERROR(__xludf.DUMMYFUNCTION("""COMPUTED_VALUE"""),46006.0)</f>
        <v>46006</v>
      </c>
      <c r="Q80" s="36">
        <f>IFERROR(__xludf.DUMMYFUNCTION("""COMPUTED_VALUE"""),1528.81)</f>
        <v>1528.81</v>
      </c>
    </row>
    <row r="81">
      <c r="A81" s="86">
        <v>45849.0</v>
      </c>
      <c r="B81" s="20">
        <f t="shared" si="14"/>
        <v>1275.58</v>
      </c>
      <c r="C81" s="41">
        <f t="shared" si="15"/>
        <v>0.001371924928</v>
      </c>
      <c r="M81" s="78">
        <f>IFERROR(__xludf.DUMMYFUNCTION("""COMPUTED_VALUE"""),45770.0)</f>
        <v>45770</v>
      </c>
      <c r="N81" s="74">
        <f>IFERROR(__xludf.DUMMYFUNCTION("""COMPUTED_VALUE"""),1181.79)</f>
        <v>1181.79</v>
      </c>
      <c r="O81" s="74" t="str">
        <f t="shared" si="18"/>
        <v>1181,79</v>
      </c>
      <c r="P81" s="87">
        <f>IFERROR(__xludf.DUMMYFUNCTION("""COMPUTED_VALUE"""),46003.0)</f>
        <v>46003</v>
      </c>
      <c r="Q81" s="36">
        <f>IFERROR(__xludf.DUMMYFUNCTION("""COMPUTED_VALUE"""),1508.79)</f>
        <v>1508.79</v>
      </c>
    </row>
    <row r="82">
      <c r="A82" s="86">
        <v>45848.0</v>
      </c>
      <c r="B82" s="20">
        <f t="shared" si="14"/>
        <v>1273.83</v>
      </c>
      <c r="C82" s="41">
        <f t="shared" si="15"/>
        <v>-0.001350258669</v>
      </c>
      <c r="M82" s="78">
        <f>IFERROR(__xludf.DUMMYFUNCTION("""COMPUTED_VALUE"""),45769.0)</f>
        <v>45769</v>
      </c>
      <c r="N82" s="74">
        <f>IFERROR(__xludf.DUMMYFUNCTION("""COMPUTED_VALUE"""),1153.59)</f>
        <v>1153.59</v>
      </c>
      <c r="O82" s="74" t="str">
        <f t="shared" si="18"/>
        <v>1153,59</v>
      </c>
      <c r="P82" s="87">
        <f>IFERROR(__xludf.DUMMYFUNCTION("""COMPUTED_VALUE"""),46002.0)</f>
        <v>46002</v>
      </c>
      <c r="Q82" s="36">
        <f>IFERROR(__xludf.DUMMYFUNCTION("""COMPUTED_VALUE"""),1508.46)</f>
        <v>1508.46</v>
      </c>
    </row>
    <row r="83">
      <c r="A83" s="86">
        <v>45847.0</v>
      </c>
      <c r="B83" s="20">
        <f t="shared" si="14"/>
        <v>1275.55</v>
      </c>
      <c r="C83" s="41">
        <f t="shared" si="15"/>
        <v>0.01081886245</v>
      </c>
      <c r="M83" s="78">
        <f>IFERROR(__xludf.DUMMYFUNCTION("""COMPUTED_VALUE"""),45768.0)</f>
        <v>45768</v>
      </c>
      <c r="N83" s="74">
        <f>IFERROR(__xludf.DUMMYFUNCTION("""COMPUTED_VALUE"""),1132.46)</f>
        <v>1132.46</v>
      </c>
      <c r="O83" s="74" t="str">
        <f t="shared" si="18"/>
        <v>1132,46</v>
      </c>
      <c r="P83" s="87">
        <f>IFERROR(__xludf.DUMMYFUNCTION("""COMPUTED_VALUE"""),46001.0)</f>
        <v>46001</v>
      </c>
      <c r="Q83" s="36">
        <f>IFERROR(__xludf.DUMMYFUNCTION("""COMPUTED_VALUE"""),1496.94)</f>
        <v>1496.94</v>
      </c>
    </row>
    <row r="84">
      <c r="A84" s="86">
        <v>45846.0</v>
      </c>
      <c r="B84" s="20">
        <f t="shared" si="14"/>
        <v>1261.75</v>
      </c>
      <c r="C84" s="41">
        <f t="shared" si="15"/>
        <v>-0.01426590053</v>
      </c>
      <c r="M84" s="78">
        <f>IFERROR(__xludf.DUMMYFUNCTION("""COMPUTED_VALUE"""),45765.0)</f>
        <v>45765</v>
      </c>
      <c r="N84" s="74">
        <f>IFERROR(__xludf.DUMMYFUNCTION("""COMPUTED_VALUE"""),1177.11)</f>
        <v>1177.11</v>
      </c>
      <c r="O84" s="74" t="str">
        <f t="shared" si="18"/>
        <v>1177,11</v>
      </c>
      <c r="P84" s="79">
        <f>IFERROR(__xludf.DUMMYFUNCTION("""COMPUTED_VALUE"""),46000.0)</f>
        <v>46000</v>
      </c>
      <c r="Q84" s="36">
        <f>IFERROR(__xludf.DUMMYFUNCTION("""COMPUTED_VALUE"""),1508.06)</f>
        <v>1508.06</v>
      </c>
    </row>
    <row r="85">
      <c r="A85" s="86">
        <v>45845.0</v>
      </c>
      <c r="B85" s="20">
        <f t="shared" si="14"/>
        <v>1279.75</v>
      </c>
      <c r="C85" s="41" t="str">
        <f t="shared" si="15"/>
        <v>#N/A</v>
      </c>
      <c r="M85" s="78">
        <f>IFERROR(__xludf.DUMMYFUNCTION("""COMPUTED_VALUE"""),45764.0)</f>
        <v>45764</v>
      </c>
      <c r="N85" s="74">
        <f>IFERROR(__xludf.DUMMYFUNCTION("""COMPUTED_VALUE"""),1177.11)</f>
        <v>1177.11</v>
      </c>
      <c r="O85" s="74" t="str">
        <f t="shared" si="18"/>
        <v>1177,11</v>
      </c>
      <c r="P85" s="79">
        <f>IFERROR(__xludf.DUMMYFUNCTION("""COMPUTED_VALUE"""),45999.0)</f>
        <v>45999</v>
      </c>
      <c r="Q85" s="36">
        <f>IFERROR(__xludf.DUMMYFUNCTION("""COMPUTED_VALUE"""),1507.47)</f>
        <v>1507.47</v>
      </c>
    </row>
    <row r="86">
      <c r="A86" s="86">
        <v>45844.0</v>
      </c>
      <c r="B86" s="20" t="str">
        <f t="shared" si="14"/>
        <v>#N/A</v>
      </c>
      <c r="C86" s="41" t="str">
        <f t="shared" si="15"/>
        <v>#N/A</v>
      </c>
      <c r="M86" s="78">
        <f>IFERROR(__xludf.DUMMYFUNCTION("""COMPUTED_VALUE"""),45763.0)</f>
        <v>45763</v>
      </c>
      <c r="N86" s="74">
        <f>IFERROR(__xludf.DUMMYFUNCTION("""COMPUTED_VALUE"""),1177.11)</f>
        <v>1177.11</v>
      </c>
      <c r="O86" s="74" t="str">
        <f t="shared" si="18"/>
        <v>1177,11</v>
      </c>
      <c r="P86" s="79">
        <f>IFERROR(__xludf.DUMMYFUNCTION("""COMPUTED_VALUE"""),45996.0)</f>
        <v>45996</v>
      </c>
      <c r="Q86" s="36">
        <f>IFERROR(__xludf.DUMMYFUNCTION("""COMPUTED_VALUE"""),1512.86)</f>
        <v>1512.86</v>
      </c>
    </row>
    <row r="87">
      <c r="A87" s="86">
        <v>45843.0</v>
      </c>
      <c r="B87" s="20" t="str">
        <f t="shared" si="14"/>
        <v>#N/A</v>
      </c>
      <c r="C87" s="41" t="str">
        <f t="shared" si="15"/>
        <v>#N/A</v>
      </c>
      <c r="M87" s="78">
        <f>IFERROR(__xludf.DUMMYFUNCTION("""COMPUTED_VALUE"""),45762.0)</f>
        <v>45762</v>
      </c>
      <c r="N87" s="74">
        <f>IFERROR(__xludf.DUMMYFUNCTION("""COMPUTED_VALUE"""),1242.0)</f>
        <v>1242</v>
      </c>
      <c r="O87" s="74" t="str">
        <f t="shared" si="18"/>
        <v>1242</v>
      </c>
      <c r="P87" s="79">
        <f>IFERROR(__xludf.DUMMYFUNCTION("""COMPUTED_VALUE"""),45995.0)</f>
        <v>45995</v>
      </c>
      <c r="Q87" s="36">
        <f>IFERROR(__xludf.DUMMYFUNCTION("""COMPUTED_VALUE"""),1511.0)</f>
        <v>1511</v>
      </c>
    </row>
    <row r="88">
      <c r="A88" s="86">
        <v>45842.0</v>
      </c>
      <c r="B88" s="20">
        <f t="shared" si="14"/>
        <v>1249.12</v>
      </c>
      <c r="C88" s="41">
        <f t="shared" si="15"/>
        <v>0.005603945177</v>
      </c>
      <c r="M88" s="78">
        <f>IFERROR(__xludf.DUMMYFUNCTION("""COMPUTED_VALUE"""),45761.0)</f>
        <v>45761</v>
      </c>
      <c r="N88" s="74">
        <f>IFERROR(__xludf.DUMMYFUNCTION("""COMPUTED_VALUE"""),1256.04)</f>
        <v>1256.04</v>
      </c>
      <c r="O88" s="74" t="str">
        <f t="shared" si="18"/>
        <v>1256,04</v>
      </c>
      <c r="P88" s="79">
        <f>IFERROR(__xludf.DUMMYFUNCTION("""COMPUTED_VALUE"""),45994.0)</f>
        <v>45994</v>
      </c>
      <c r="Q88" s="36">
        <f>IFERROR(__xludf.DUMMYFUNCTION("""COMPUTED_VALUE"""),1508.97)</f>
        <v>1508.97</v>
      </c>
    </row>
    <row r="89">
      <c r="A89" s="86">
        <v>45841.0</v>
      </c>
      <c r="B89" s="20">
        <f t="shared" si="14"/>
        <v>1242.12</v>
      </c>
      <c r="C89" s="41">
        <f t="shared" si="15"/>
        <v>0.005152481242</v>
      </c>
      <c r="M89" s="78">
        <f>IFERROR(__xludf.DUMMYFUNCTION("""COMPUTED_VALUE"""),45758.0)</f>
        <v>45758</v>
      </c>
      <c r="N89" s="74">
        <f>IFERROR(__xludf.DUMMYFUNCTION("""COMPUTED_VALUE"""),1340.47)</f>
        <v>1340.47</v>
      </c>
      <c r="O89" s="74" t="str">
        <f t="shared" si="18"/>
        <v>1340,47</v>
      </c>
      <c r="P89" s="79">
        <f>IFERROR(__xludf.DUMMYFUNCTION("""COMPUTED_VALUE"""),45993.0)</f>
        <v>45993</v>
      </c>
      <c r="Q89" s="36">
        <f>IFERROR(__xludf.DUMMYFUNCTION("""COMPUTED_VALUE"""),1519.74)</f>
        <v>1519.74</v>
      </c>
    </row>
    <row r="90">
      <c r="A90" s="86">
        <v>45840.0</v>
      </c>
      <c r="B90" s="20">
        <f t="shared" si="14"/>
        <v>1235.72</v>
      </c>
      <c r="C90" s="41">
        <f t="shared" si="15"/>
        <v>0.002136406306</v>
      </c>
      <c r="M90" s="78">
        <f>IFERROR(__xludf.DUMMYFUNCTION("""COMPUTED_VALUE"""),45757.0)</f>
        <v>45757</v>
      </c>
      <c r="N90" s="74">
        <f>IFERROR(__xludf.DUMMYFUNCTION("""COMPUTED_VALUE"""),1367.3)</f>
        <v>1367.3</v>
      </c>
      <c r="O90" s="74" t="str">
        <f t="shared" si="18"/>
        <v>1367,3</v>
      </c>
      <c r="P90" s="79">
        <f>IFERROR(__xludf.DUMMYFUNCTION("""COMPUTED_VALUE"""),45992.0)</f>
        <v>45992</v>
      </c>
      <c r="Q90" s="36">
        <f>IFERROR(__xludf.DUMMYFUNCTION("""COMPUTED_VALUE"""),1496.85)</f>
        <v>1496.85</v>
      </c>
    </row>
    <row r="91">
      <c r="A91" s="86">
        <v>45839.0</v>
      </c>
      <c r="B91" s="20">
        <f t="shared" si="14"/>
        <v>1233.08</v>
      </c>
      <c r="C91" s="41">
        <f t="shared" si="15"/>
        <v>0.01851461381</v>
      </c>
      <c r="M91" s="78">
        <f>IFERROR(__xludf.DUMMYFUNCTION("""COMPUTED_VALUE"""),45756.0)</f>
        <v>45756</v>
      </c>
      <c r="N91" s="74">
        <f>IFERROR(__xludf.DUMMYFUNCTION("""COMPUTED_VALUE"""),1342.03)</f>
        <v>1342.03</v>
      </c>
      <c r="O91" s="74" t="str">
        <f t="shared" si="18"/>
        <v>1342,03</v>
      </c>
      <c r="P91" s="87">
        <f>IFERROR(__xludf.DUMMYFUNCTION("""COMPUTED_VALUE"""),45989.0)</f>
        <v>45989</v>
      </c>
      <c r="Q91" s="36">
        <f>IFERROR(__xludf.DUMMYFUNCTION("""COMPUTED_VALUE"""),1518.74)</f>
        <v>1518.74</v>
      </c>
    </row>
    <row r="92">
      <c r="A92" s="86">
        <v>45838.0</v>
      </c>
      <c r="B92" s="20">
        <f t="shared" si="14"/>
        <v>1210.25</v>
      </c>
      <c r="C92" s="41" t="str">
        <f t="shared" si="15"/>
        <v>#N/A</v>
      </c>
      <c r="M92" s="78">
        <f>IFERROR(__xludf.DUMMYFUNCTION("""COMPUTED_VALUE"""),45755.0)</f>
        <v>45755</v>
      </c>
      <c r="N92" s="74">
        <f>IFERROR(__xludf.DUMMYFUNCTION("""COMPUTED_VALUE"""),1368.39)</f>
        <v>1368.39</v>
      </c>
      <c r="O92" s="74" t="str">
        <f t="shared" si="18"/>
        <v>1368,39</v>
      </c>
      <c r="P92" s="87">
        <f>IFERROR(__xludf.DUMMYFUNCTION("""COMPUTED_VALUE"""),45988.0)</f>
        <v>45988</v>
      </c>
      <c r="Q92" s="36">
        <f>IFERROR(__xludf.DUMMYFUNCTION("""COMPUTED_VALUE"""),1523.74)</f>
        <v>1523.74</v>
      </c>
    </row>
    <row r="93">
      <c r="A93" s="86">
        <v>45837.0</v>
      </c>
      <c r="B93" s="20" t="str">
        <f t="shared" si="14"/>
        <v>#N/A</v>
      </c>
      <c r="C93" s="41" t="str">
        <f t="shared" si="15"/>
        <v>#N/A</v>
      </c>
      <c r="M93" s="78">
        <f>IFERROR(__xludf.DUMMYFUNCTION("""COMPUTED_VALUE"""),45754.0)</f>
        <v>45754</v>
      </c>
      <c r="N93" s="74">
        <f>IFERROR(__xludf.DUMMYFUNCTION("""COMPUTED_VALUE"""),1360.25)</f>
        <v>1360.25</v>
      </c>
      <c r="O93" s="74" t="str">
        <f t="shared" si="18"/>
        <v>1360,25</v>
      </c>
      <c r="P93" s="87">
        <f>IFERROR(__xludf.DUMMYFUNCTION("""COMPUTED_VALUE"""),45987.0)</f>
        <v>45987</v>
      </c>
      <c r="Q93" s="36">
        <f>IFERROR(__xludf.DUMMYFUNCTION("""COMPUTED_VALUE"""),1532.66)</f>
        <v>1532.66</v>
      </c>
    </row>
    <row r="94">
      <c r="A94" s="86">
        <v>45836.0</v>
      </c>
      <c r="B94" s="20" t="str">
        <f t="shared" si="14"/>
        <v>#N/A</v>
      </c>
      <c r="C94" s="41" t="str">
        <f t="shared" si="15"/>
        <v>#N/A</v>
      </c>
      <c r="M94" s="78">
        <f>IFERROR(__xludf.DUMMYFUNCTION("""COMPUTED_VALUE"""),45751.0)</f>
        <v>45751</v>
      </c>
      <c r="N94" s="74">
        <f>IFERROR(__xludf.DUMMYFUNCTION("""COMPUTED_VALUE"""),1337.05)</f>
        <v>1337.05</v>
      </c>
      <c r="O94" s="74" t="str">
        <f t="shared" si="18"/>
        <v>1337,05</v>
      </c>
      <c r="P94" s="87">
        <f>IFERROR(__xludf.DUMMYFUNCTION("""COMPUTED_VALUE"""),45986.0)</f>
        <v>45986</v>
      </c>
      <c r="Q94" s="36">
        <f>IFERROR(__xludf.DUMMYFUNCTION("""COMPUTED_VALUE"""),1521.83)</f>
        <v>1521.83</v>
      </c>
    </row>
    <row r="95">
      <c r="A95" s="86">
        <v>45835.0</v>
      </c>
      <c r="B95" s="20">
        <f t="shared" si="14"/>
        <v>1203.26</v>
      </c>
      <c r="C95" s="41">
        <f t="shared" si="15"/>
        <v>0.002576334292</v>
      </c>
      <c r="M95" s="78">
        <f>IFERROR(__xludf.DUMMYFUNCTION("""COMPUTED_VALUE"""),45750.0)</f>
        <v>45750</v>
      </c>
      <c r="N95" s="74">
        <f>IFERROR(__xludf.DUMMYFUNCTION("""COMPUTED_VALUE"""),1320.37)</f>
        <v>1320.37</v>
      </c>
      <c r="O95" s="74" t="str">
        <f t="shared" si="18"/>
        <v>1320,37</v>
      </c>
      <c r="P95" s="87">
        <f>IFERROR(__xludf.DUMMYFUNCTION("""COMPUTED_VALUE"""),45985.0)</f>
        <v>45985</v>
      </c>
      <c r="Q95" s="36">
        <f>IFERROR(__xludf.DUMMYFUNCTION("""COMPUTED_VALUE"""),1509.85)</f>
        <v>1509.85</v>
      </c>
    </row>
    <row r="96">
      <c r="A96" s="86">
        <v>45834.0</v>
      </c>
      <c r="B96" s="20">
        <f t="shared" si="14"/>
        <v>1200.16</v>
      </c>
      <c r="C96" s="41">
        <f t="shared" si="15"/>
        <v>0.0007998933476</v>
      </c>
      <c r="M96" s="78">
        <f>IFERROR(__xludf.DUMMYFUNCTION("""COMPUTED_VALUE"""),45749.0)</f>
        <v>45749</v>
      </c>
      <c r="N96" s="74">
        <f>IFERROR(__xludf.DUMMYFUNCTION("""COMPUTED_VALUE"""),1307.92)</f>
        <v>1307.92</v>
      </c>
      <c r="O96" s="74" t="str">
        <f t="shared" si="18"/>
        <v>1307,92</v>
      </c>
      <c r="P96" s="87">
        <f>IFERROR(__xludf.DUMMYFUNCTION("""COMPUTED_VALUE"""),45982.0)</f>
        <v>45982</v>
      </c>
      <c r="Q96" s="36">
        <f>IFERROR(__xludf.DUMMYFUNCTION("""COMPUTED_VALUE"""),1502.4)</f>
        <v>1502.4</v>
      </c>
    </row>
    <row r="97">
      <c r="A97" s="86">
        <v>45833.0</v>
      </c>
      <c r="B97" s="20">
        <f t="shared" si="14"/>
        <v>1199.2</v>
      </c>
      <c r="C97" s="41">
        <f t="shared" si="15"/>
        <v>0.01271681121</v>
      </c>
      <c r="M97" s="78">
        <f>IFERROR(__xludf.DUMMYFUNCTION("""COMPUTED_VALUE"""),45748.0)</f>
        <v>45748</v>
      </c>
      <c r="N97" s="74">
        <f>IFERROR(__xludf.DUMMYFUNCTION("""COMPUTED_VALUE"""),1307.92)</f>
        <v>1307.92</v>
      </c>
      <c r="O97" s="74" t="str">
        <f t="shared" si="18"/>
        <v>1307,92</v>
      </c>
      <c r="P97" s="87">
        <f>IFERROR(__xludf.DUMMYFUNCTION("""COMPUTED_VALUE"""),45981.0)</f>
        <v>45981</v>
      </c>
      <c r="Q97" s="36">
        <f>IFERROR(__xludf.DUMMYFUNCTION("""COMPUTED_VALUE"""),1492.07)</f>
        <v>1492.07</v>
      </c>
    </row>
    <row r="98">
      <c r="A98" s="86">
        <v>45832.0</v>
      </c>
      <c r="B98" s="20">
        <f t="shared" si="14"/>
        <v>1183.95</v>
      </c>
      <c r="C98" s="41">
        <f t="shared" si="15"/>
        <v>0.0008277376578</v>
      </c>
      <c r="M98" s="78">
        <f>IFERROR(__xludf.DUMMYFUNCTION("""COMPUTED_VALUE"""),45747.0)</f>
        <v>45747</v>
      </c>
      <c r="N98" s="74">
        <f>IFERROR(__xludf.DUMMYFUNCTION("""COMPUTED_VALUE"""),1319.46)</f>
        <v>1319.46</v>
      </c>
      <c r="O98" s="74" t="str">
        <f t="shared" si="18"/>
        <v>1319,46</v>
      </c>
      <c r="P98" s="87">
        <f>IFERROR(__xludf.DUMMYFUNCTION("""COMPUTED_VALUE"""),45980.0)</f>
        <v>45980</v>
      </c>
      <c r="Q98" s="36">
        <f>IFERROR(__xludf.DUMMYFUNCTION("""COMPUTED_VALUE"""),1472.37)</f>
        <v>1472.37</v>
      </c>
    </row>
    <row r="99">
      <c r="A99" s="86">
        <v>45831.0</v>
      </c>
      <c r="B99" s="20">
        <f t="shared" si="14"/>
        <v>1182.97</v>
      </c>
      <c r="C99" s="41" t="str">
        <f t="shared" si="15"/>
        <v>#N/A</v>
      </c>
      <c r="M99" s="78">
        <f>IFERROR(__xludf.DUMMYFUNCTION("""COMPUTED_VALUE"""),45744.0)</f>
        <v>45744</v>
      </c>
      <c r="N99" s="74">
        <f>IFERROR(__xludf.DUMMYFUNCTION("""COMPUTED_VALUE"""),1309.15)</f>
        <v>1309.15</v>
      </c>
      <c r="O99" s="74" t="str">
        <f t="shared" si="18"/>
        <v>1309,15</v>
      </c>
      <c r="P99" s="87">
        <f>IFERROR(__xludf.DUMMYFUNCTION("""COMPUTED_VALUE"""),45979.0)</f>
        <v>45979</v>
      </c>
      <c r="Q99" s="36">
        <f>IFERROR(__xludf.DUMMYFUNCTION("""COMPUTED_VALUE"""),1471.5)</f>
        <v>1471.5</v>
      </c>
    </row>
    <row r="100">
      <c r="A100" s="86">
        <v>45830.0</v>
      </c>
      <c r="B100" s="20" t="str">
        <f t="shared" si="14"/>
        <v>#N/A</v>
      </c>
      <c r="C100" s="41" t="str">
        <f t="shared" si="15"/>
        <v>#N/A</v>
      </c>
      <c r="M100" s="78">
        <f>IFERROR(__xludf.DUMMYFUNCTION("""COMPUTED_VALUE"""),45743.0)</f>
        <v>45743</v>
      </c>
      <c r="N100" s="74">
        <f>IFERROR(__xludf.DUMMYFUNCTION("""COMPUTED_VALUE"""),1298.77)</f>
        <v>1298.77</v>
      </c>
      <c r="O100" s="74" t="str">
        <f t="shared" si="18"/>
        <v>1298,77</v>
      </c>
      <c r="P100" s="87">
        <f>IFERROR(__xludf.DUMMYFUNCTION("""COMPUTED_VALUE"""),45978.0)</f>
        <v>45978</v>
      </c>
      <c r="Q100" s="36">
        <f>IFERROR(__xludf.DUMMYFUNCTION("""COMPUTED_VALUE"""),1494.06)</f>
        <v>1494.06</v>
      </c>
    </row>
    <row r="101">
      <c r="A101" s="86">
        <v>45829.0</v>
      </c>
      <c r="B101" s="20" t="str">
        <f t="shared" si="14"/>
        <v>#N/A</v>
      </c>
      <c r="C101" s="41" t="str">
        <f t="shared" si="15"/>
        <v>#N/A</v>
      </c>
      <c r="M101" s="78">
        <f>IFERROR(__xludf.DUMMYFUNCTION("""COMPUTED_VALUE"""),45742.0)</f>
        <v>45742</v>
      </c>
      <c r="N101" s="74">
        <f>IFERROR(__xludf.DUMMYFUNCTION("""COMPUTED_VALUE"""),1299.63)</f>
        <v>1299.63</v>
      </c>
      <c r="O101" s="74" t="str">
        <f t="shared" si="18"/>
        <v>1299,63</v>
      </c>
      <c r="P101" s="87">
        <f>IFERROR(__xludf.DUMMYFUNCTION("""COMPUTED_VALUE"""),45975.0)</f>
        <v>45975</v>
      </c>
      <c r="Q101" s="36">
        <f>IFERROR(__xludf.DUMMYFUNCTION("""COMPUTED_VALUE"""),1483.98)</f>
        <v>1483.98</v>
      </c>
    </row>
    <row r="102">
      <c r="A102" s="86">
        <v>45828.0</v>
      </c>
      <c r="B102" s="20">
        <f t="shared" si="14"/>
        <v>1157.71</v>
      </c>
      <c r="C102" s="41">
        <f t="shared" si="15"/>
        <v>0</v>
      </c>
      <c r="M102" s="78">
        <f>IFERROR(__xludf.DUMMYFUNCTION("""COMPUTED_VALUE"""),45741.0)</f>
        <v>45741</v>
      </c>
      <c r="N102" s="74">
        <f>IFERROR(__xludf.DUMMYFUNCTION("""COMPUTED_VALUE"""),1297.05)</f>
        <v>1297.05</v>
      </c>
      <c r="O102" s="74" t="str">
        <f t="shared" si="18"/>
        <v>1297,05</v>
      </c>
      <c r="P102" s="87">
        <f>IFERROR(__xludf.DUMMYFUNCTION("""COMPUTED_VALUE"""),45974.0)</f>
        <v>45974</v>
      </c>
      <c r="Q102" s="36">
        <f>IFERROR(__xludf.DUMMYFUNCTION("""COMPUTED_VALUE"""),1486.56)</f>
        <v>1486.56</v>
      </c>
    </row>
    <row r="103">
      <c r="A103" s="86">
        <v>45827.0</v>
      </c>
      <c r="B103" s="20">
        <f t="shared" si="14"/>
        <v>1157.71</v>
      </c>
      <c r="C103" s="41">
        <f t="shared" si="15"/>
        <v>-0.01248153683</v>
      </c>
      <c r="M103" s="78">
        <f>IFERROR(__xludf.DUMMYFUNCTION("""COMPUTED_VALUE"""),45740.0)</f>
        <v>45740</v>
      </c>
      <c r="N103" s="74">
        <f>IFERROR(__xludf.DUMMYFUNCTION("""COMPUTED_VALUE"""),1286.95)</f>
        <v>1286.95</v>
      </c>
      <c r="O103" s="74" t="str">
        <f t="shared" si="18"/>
        <v>1286,95</v>
      </c>
      <c r="P103" s="87">
        <f>IFERROR(__xludf.DUMMYFUNCTION("""COMPUTED_VALUE"""),45973.0)</f>
        <v>45973</v>
      </c>
      <c r="Q103" s="36">
        <f>IFERROR(__xludf.DUMMYFUNCTION("""COMPUTED_VALUE"""),1477.42)</f>
        <v>1477.42</v>
      </c>
    </row>
    <row r="104">
      <c r="A104" s="86">
        <v>45826.0</v>
      </c>
      <c r="B104" s="20">
        <f t="shared" si="14"/>
        <v>1172.16</v>
      </c>
      <c r="C104" s="41">
        <f t="shared" si="15"/>
        <v>-0.02780337155</v>
      </c>
      <c r="M104" s="78">
        <f>IFERROR(__xludf.DUMMYFUNCTION("""COMPUTED_VALUE"""),45737.0)</f>
        <v>45737</v>
      </c>
      <c r="N104" s="74">
        <f>IFERROR(__xludf.DUMMYFUNCTION("""COMPUTED_VALUE"""),1286.95)</f>
        <v>1286.95</v>
      </c>
      <c r="O104" s="74" t="str">
        <f t="shared" si="18"/>
        <v>1286,95</v>
      </c>
      <c r="P104" s="87">
        <f>IFERROR(__xludf.DUMMYFUNCTION("""COMPUTED_VALUE"""),45972.0)</f>
        <v>45972</v>
      </c>
      <c r="Q104" s="36">
        <f>IFERROR(__xludf.DUMMYFUNCTION("""COMPUTED_VALUE"""),1476.05)</f>
        <v>1476.05</v>
      </c>
    </row>
    <row r="105">
      <c r="A105" s="86">
        <v>45825.0</v>
      </c>
      <c r="B105" s="20">
        <f t="shared" si="14"/>
        <v>1204.75</v>
      </c>
      <c r="C105" s="41">
        <f t="shared" si="15"/>
        <v>-0.000747042955</v>
      </c>
      <c r="M105" s="78">
        <f>IFERROR(__xludf.DUMMYFUNCTION("""COMPUTED_VALUE"""),45736.0)</f>
        <v>45736</v>
      </c>
      <c r="N105" s="74">
        <f>IFERROR(__xludf.DUMMYFUNCTION("""COMPUTED_VALUE"""),1283.89)</f>
        <v>1283.89</v>
      </c>
      <c r="O105" s="74" t="str">
        <f t="shared" si="18"/>
        <v>1283,89</v>
      </c>
      <c r="P105" s="87">
        <f>IFERROR(__xludf.DUMMYFUNCTION("""COMPUTED_VALUE"""),45971.0)</f>
        <v>45971</v>
      </c>
      <c r="Q105" s="36">
        <f>IFERROR(__xludf.DUMMYFUNCTION("""COMPUTED_VALUE"""),1476.89)</f>
        <v>1476.89</v>
      </c>
    </row>
    <row r="106">
      <c r="A106" s="86">
        <v>45824.0</v>
      </c>
      <c r="B106" s="20">
        <f t="shared" si="14"/>
        <v>1205.65</v>
      </c>
      <c r="C106" s="41" t="str">
        <f t="shared" si="15"/>
        <v>#N/A</v>
      </c>
      <c r="M106" s="78">
        <f>IFERROR(__xludf.DUMMYFUNCTION("""COMPUTED_VALUE"""),45735.0)</f>
        <v>45735</v>
      </c>
      <c r="N106" s="74">
        <f>IFERROR(__xludf.DUMMYFUNCTION("""COMPUTED_VALUE"""),1291.86)</f>
        <v>1291.86</v>
      </c>
      <c r="O106" s="74" t="str">
        <f t="shared" si="18"/>
        <v>1291,86</v>
      </c>
      <c r="P106" s="79">
        <f>IFERROR(__xludf.DUMMYFUNCTION("""COMPUTED_VALUE"""),45968.0)</f>
        <v>45968</v>
      </c>
      <c r="Q106" s="36">
        <f>IFERROR(__xludf.DUMMYFUNCTION("""COMPUTED_VALUE"""),1471.3)</f>
        <v>1471.3</v>
      </c>
    </row>
    <row r="107">
      <c r="A107" s="86">
        <v>45823.0</v>
      </c>
      <c r="B107" s="20" t="str">
        <f t="shared" si="14"/>
        <v>#N/A</v>
      </c>
      <c r="C107" s="41" t="str">
        <f t="shared" si="15"/>
        <v>#N/A</v>
      </c>
      <c r="M107" s="78">
        <f>IFERROR(__xludf.DUMMYFUNCTION("""COMPUTED_VALUE"""),45734.0)</f>
        <v>45734</v>
      </c>
      <c r="N107" s="74">
        <f>IFERROR(__xludf.DUMMYFUNCTION("""COMPUTED_VALUE"""),1299.01)</f>
        <v>1299.01</v>
      </c>
      <c r="O107" s="74" t="str">
        <f t="shared" si="18"/>
        <v>1299,01</v>
      </c>
      <c r="P107" s="79">
        <f>IFERROR(__xludf.DUMMYFUNCTION("""COMPUTED_VALUE"""),45967.0)</f>
        <v>45967</v>
      </c>
      <c r="Q107" s="36">
        <f>IFERROR(__xludf.DUMMYFUNCTION("""COMPUTED_VALUE"""),1493.63)</f>
        <v>1493.63</v>
      </c>
    </row>
    <row r="108">
      <c r="A108" s="86">
        <v>45822.0</v>
      </c>
      <c r="B108" s="20" t="str">
        <f t="shared" si="14"/>
        <v>#N/A</v>
      </c>
      <c r="C108" s="41" t="str">
        <f t="shared" si="15"/>
        <v>#N/A</v>
      </c>
      <c r="M108" s="78">
        <f>IFERROR(__xludf.DUMMYFUNCTION("""COMPUTED_VALUE"""),45733.0)</f>
        <v>45733</v>
      </c>
      <c r="N108" s="74">
        <f>IFERROR(__xludf.DUMMYFUNCTION("""COMPUTED_VALUE"""),1254.99)</f>
        <v>1254.99</v>
      </c>
      <c r="O108" s="74" t="str">
        <f t="shared" si="18"/>
        <v>1254,99</v>
      </c>
      <c r="P108" s="79">
        <f>IFERROR(__xludf.DUMMYFUNCTION("""COMPUTED_VALUE"""),45966.0)</f>
        <v>45966</v>
      </c>
      <c r="Q108" s="36">
        <f>IFERROR(__xludf.DUMMYFUNCTION("""COMPUTED_VALUE"""),1495.4)</f>
        <v>1495.4</v>
      </c>
    </row>
    <row r="109">
      <c r="A109" s="86">
        <v>45821.0</v>
      </c>
      <c r="B109" s="20">
        <f t="shared" si="14"/>
        <v>1200.37</v>
      </c>
      <c r="C109" s="41">
        <f t="shared" si="15"/>
        <v>0.01112157085</v>
      </c>
      <c r="M109" s="78">
        <f>IFERROR(__xludf.DUMMYFUNCTION("""COMPUTED_VALUE"""),45730.0)</f>
        <v>45730</v>
      </c>
      <c r="N109" s="74">
        <f>IFERROR(__xludf.DUMMYFUNCTION("""COMPUTED_VALUE"""),1239.88)</f>
        <v>1239.88</v>
      </c>
      <c r="O109" s="74" t="str">
        <f t="shared" si="18"/>
        <v>1239,88</v>
      </c>
      <c r="P109" s="79">
        <f>IFERROR(__xludf.DUMMYFUNCTION("""COMPUTED_VALUE"""),45965.0)</f>
        <v>45965</v>
      </c>
      <c r="Q109" s="36">
        <f>IFERROR(__xludf.DUMMYFUNCTION("""COMPUTED_VALUE"""),1513.25)</f>
        <v>1513.25</v>
      </c>
    </row>
    <row r="110">
      <c r="A110" s="86">
        <v>45820.0</v>
      </c>
      <c r="B110" s="20">
        <f t="shared" si="14"/>
        <v>1187.02</v>
      </c>
      <c r="C110" s="41">
        <f t="shared" si="15"/>
        <v>-0.005273710637</v>
      </c>
      <c r="M110" s="78">
        <f>IFERROR(__xludf.DUMMYFUNCTION("""COMPUTED_VALUE"""),45729.0)</f>
        <v>45729</v>
      </c>
      <c r="N110" s="74">
        <f>IFERROR(__xludf.DUMMYFUNCTION("""COMPUTED_VALUE"""),1233.48)</f>
        <v>1233.48</v>
      </c>
      <c r="O110" s="74" t="str">
        <f t="shared" si="18"/>
        <v>1233,48</v>
      </c>
      <c r="P110" s="79">
        <f>IFERROR(__xludf.DUMMYFUNCTION("""COMPUTED_VALUE"""),45964.0)</f>
        <v>45964</v>
      </c>
      <c r="Q110" s="36">
        <f>IFERROR(__xludf.DUMMYFUNCTION("""COMPUTED_VALUE"""),1521.99)</f>
        <v>1521.99</v>
      </c>
    </row>
    <row r="111">
      <c r="A111" s="86">
        <v>45819.0</v>
      </c>
      <c r="B111" s="20">
        <f t="shared" si="14"/>
        <v>1193.28</v>
      </c>
      <c r="C111" s="41">
        <f t="shared" si="15"/>
        <v>-0.0004776749799</v>
      </c>
      <c r="M111" s="78">
        <f>IFERROR(__xludf.DUMMYFUNCTION("""COMPUTED_VALUE"""),45728.0)</f>
        <v>45728</v>
      </c>
      <c r="N111" s="74">
        <f>IFERROR(__xludf.DUMMYFUNCTION("""COMPUTED_VALUE"""),1229.63)</f>
        <v>1229.63</v>
      </c>
      <c r="O111" s="74" t="str">
        <f t="shared" si="18"/>
        <v>1229,63</v>
      </c>
      <c r="P111" s="87">
        <f>IFERROR(__xludf.DUMMYFUNCTION("""COMPUTED_VALUE"""),45961.0)</f>
        <v>45961</v>
      </c>
      <c r="Q111" s="36">
        <f>IFERROR(__xludf.DUMMYFUNCTION("""COMPUTED_VALUE"""),1506.53)</f>
        <v>1506.53</v>
      </c>
    </row>
    <row r="112">
      <c r="A112" s="86">
        <v>45818.0</v>
      </c>
      <c r="B112" s="20">
        <f t="shared" si="14"/>
        <v>1193.85</v>
      </c>
      <c r="C112" s="41">
        <f t="shared" si="15"/>
        <v>-0.00370230766</v>
      </c>
      <c r="M112" s="78">
        <f>IFERROR(__xludf.DUMMYFUNCTION("""COMPUTED_VALUE"""),45727.0)</f>
        <v>45727</v>
      </c>
      <c r="N112" s="74">
        <f>IFERROR(__xludf.DUMMYFUNCTION("""COMPUTED_VALUE"""),1226.42)</f>
        <v>1226.42</v>
      </c>
      <c r="O112" s="74" t="str">
        <f t="shared" si="18"/>
        <v>1226,42</v>
      </c>
      <c r="P112" s="87">
        <f>IFERROR(__xludf.DUMMYFUNCTION("""COMPUTED_VALUE"""),45960.0)</f>
        <v>45960</v>
      </c>
      <c r="Q112" s="36">
        <f>IFERROR(__xludf.DUMMYFUNCTION("""COMPUTED_VALUE"""),1491.01)</f>
        <v>1491.01</v>
      </c>
    </row>
    <row r="113">
      <c r="A113" s="86">
        <v>45817.0</v>
      </c>
      <c r="B113" s="20">
        <f t="shared" si="14"/>
        <v>1198.27</v>
      </c>
      <c r="C113" s="41" t="str">
        <f t="shared" si="15"/>
        <v>#N/A</v>
      </c>
      <c r="M113" s="78">
        <f>IFERROR(__xludf.DUMMYFUNCTION("""COMPUTED_VALUE"""),45726.0)</f>
        <v>45726</v>
      </c>
      <c r="N113" s="74">
        <f>IFERROR(__xludf.DUMMYFUNCTION("""COMPUTED_VALUE"""),1231.63)</f>
        <v>1231.63</v>
      </c>
      <c r="O113" s="74" t="str">
        <f t="shared" si="18"/>
        <v>1231,63</v>
      </c>
      <c r="P113" s="87">
        <f>IFERROR(__xludf.DUMMYFUNCTION("""COMPUTED_VALUE"""),45959.0)</f>
        <v>45959</v>
      </c>
      <c r="Q113" s="36">
        <f>IFERROR(__xludf.DUMMYFUNCTION("""COMPUTED_VALUE"""),1487.2)</f>
        <v>1487.2</v>
      </c>
    </row>
    <row r="114">
      <c r="A114" s="86">
        <v>45816.0</v>
      </c>
      <c r="B114" s="20" t="str">
        <f t="shared" si="14"/>
        <v>#N/A</v>
      </c>
      <c r="C114" s="41" t="str">
        <f t="shared" si="15"/>
        <v>#N/A</v>
      </c>
      <c r="M114" s="78">
        <f>IFERROR(__xludf.DUMMYFUNCTION("""COMPUTED_VALUE"""),45723.0)</f>
        <v>45723</v>
      </c>
      <c r="N114" s="74">
        <f>IFERROR(__xludf.DUMMYFUNCTION("""COMPUTED_VALUE"""),1219.73)</f>
        <v>1219.73</v>
      </c>
      <c r="O114" s="74" t="str">
        <f t="shared" si="18"/>
        <v>1219,73</v>
      </c>
      <c r="P114" s="87">
        <f>IFERROR(__xludf.DUMMYFUNCTION("""COMPUTED_VALUE"""),45958.0)</f>
        <v>45958</v>
      </c>
      <c r="Q114" s="36">
        <f>IFERROR(__xludf.DUMMYFUNCTION("""COMPUTED_VALUE"""),1485.89)</f>
        <v>1485.89</v>
      </c>
    </row>
    <row r="115">
      <c r="A115" s="86">
        <v>45815.0</v>
      </c>
      <c r="B115" s="20" t="str">
        <f t="shared" si="14"/>
        <v>#N/A</v>
      </c>
      <c r="C115" s="41" t="str">
        <f t="shared" si="15"/>
        <v>#N/A</v>
      </c>
      <c r="M115" s="78">
        <f>IFERROR(__xludf.DUMMYFUNCTION("""COMPUTED_VALUE"""),45722.0)</f>
        <v>45722</v>
      </c>
      <c r="N115" s="74">
        <f>IFERROR(__xludf.DUMMYFUNCTION("""COMPUTED_VALUE"""),1227.65)</f>
        <v>1227.65</v>
      </c>
      <c r="O115" s="74" t="str">
        <f t="shared" si="18"/>
        <v>1227,65</v>
      </c>
      <c r="P115" s="87">
        <f>IFERROR(__xludf.DUMMYFUNCTION("""COMPUTED_VALUE"""),45957.0)</f>
        <v>45957</v>
      </c>
      <c r="Q115" s="36">
        <f>IFERROR(__xludf.DUMMYFUNCTION("""COMPUTED_VALUE"""),1459.46)</f>
        <v>1459.46</v>
      </c>
    </row>
    <row r="116">
      <c r="A116" s="86">
        <v>45814.0</v>
      </c>
      <c r="B116" s="20">
        <f t="shared" si="14"/>
        <v>1194.81</v>
      </c>
      <c r="C116" s="41">
        <f t="shared" si="15"/>
        <v>0.001171734418</v>
      </c>
      <c r="M116" s="78">
        <f>IFERROR(__xludf.DUMMYFUNCTION("""COMPUTED_VALUE"""),45721.0)</f>
        <v>45721</v>
      </c>
      <c r="N116" s="74">
        <f>IFERROR(__xludf.DUMMYFUNCTION("""COMPUTED_VALUE"""),1241.44)</f>
        <v>1241.44</v>
      </c>
      <c r="O116" s="74" t="str">
        <f t="shared" si="18"/>
        <v>1241,44</v>
      </c>
      <c r="P116" s="87">
        <f>IFERROR(__xludf.DUMMYFUNCTION("""COMPUTED_VALUE"""),45954.0)</f>
        <v>45954</v>
      </c>
      <c r="Q116" s="36">
        <f>IFERROR(__xludf.DUMMYFUNCTION("""COMPUTED_VALUE"""),1567.21)</f>
        <v>1567.21</v>
      </c>
    </row>
    <row r="117">
      <c r="A117" s="86">
        <v>45813.0</v>
      </c>
      <c r="B117" s="20">
        <f t="shared" si="14"/>
        <v>1193.41</v>
      </c>
      <c r="C117" s="41">
        <f t="shared" si="15"/>
        <v>-0.006770514743</v>
      </c>
      <c r="M117" s="78">
        <f>IFERROR(__xludf.DUMMYFUNCTION("""COMPUTED_VALUE"""),45720.0)</f>
        <v>45720</v>
      </c>
      <c r="N117" s="74">
        <f>IFERROR(__xludf.DUMMYFUNCTION("""COMPUTED_VALUE"""),1219.98)</f>
        <v>1219.98</v>
      </c>
      <c r="O117" s="74" t="str">
        <f t="shared" si="18"/>
        <v>1219,98</v>
      </c>
      <c r="P117" s="87">
        <f>IFERROR(__xludf.DUMMYFUNCTION("""COMPUTED_VALUE"""),45953.0)</f>
        <v>45953</v>
      </c>
      <c r="Q117" s="36">
        <f>IFERROR(__xludf.DUMMYFUNCTION("""COMPUTED_VALUE"""),1551.33)</f>
        <v>1551.33</v>
      </c>
    </row>
    <row r="118">
      <c r="A118" s="86">
        <v>45812.0</v>
      </c>
      <c r="B118" s="20">
        <f t="shared" si="14"/>
        <v>1201.49</v>
      </c>
      <c r="C118" s="41">
        <f t="shared" si="15"/>
        <v>0.001439878817</v>
      </c>
      <c r="M118" s="78">
        <f>IFERROR(__xludf.DUMMYFUNCTION("""COMPUTED_VALUE"""),45719.0)</f>
        <v>45719</v>
      </c>
      <c r="N118" s="74">
        <f>IFERROR(__xludf.DUMMYFUNCTION("""COMPUTED_VALUE"""),1219.98)</f>
        <v>1219.98</v>
      </c>
      <c r="O118" s="74" t="str">
        <f t="shared" si="18"/>
        <v>1219,98</v>
      </c>
      <c r="P118" s="87">
        <f>IFERROR(__xludf.DUMMYFUNCTION("""COMPUTED_VALUE"""),45952.0)</f>
        <v>45952</v>
      </c>
      <c r="Q118" s="36">
        <f>IFERROR(__xludf.DUMMYFUNCTION("""COMPUTED_VALUE"""),1612.06)</f>
        <v>1612.06</v>
      </c>
    </row>
    <row r="119">
      <c r="A119" s="86">
        <v>45811.0</v>
      </c>
      <c r="B119" s="20">
        <f t="shared" si="14"/>
        <v>1199.76</v>
      </c>
      <c r="C119" s="41">
        <f t="shared" si="15"/>
        <v>0.002983930119</v>
      </c>
      <c r="M119" s="78">
        <f>IFERROR(__xludf.DUMMYFUNCTION("""COMPUTED_VALUE"""),45716.0)</f>
        <v>45716</v>
      </c>
      <c r="N119" s="74">
        <f>IFERROR(__xludf.DUMMYFUNCTION("""COMPUTED_VALUE"""),1219.98)</f>
        <v>1219.98</v>
      </c>
      <c r="O119" s="74" t="str">
        <f t="shared" si="18"/>
        <v>1219,98</v>
      </c>
      <c r="P119" s="87">
        <f>IFERROR(__xludf.DUMMYFUNCTION("""COMPUTED_VALUE"""),45951.0)</f>
        <v>45951</v>
      </c>
      <c r="Q119" s="36">
        <f>IFERROR(__xludf.DUMMYFUNCTION("""COMPUTED_VALUE"""),1607.69)</f>
        <v>1607.69</v>
      </c>
    </row>
    <row r="120">
      <c r="A120" s="86">
        <v>45810.0</v>
      </c>
      <c r="B120" s="20">
        <f t="shared" si="14"/>
        <v>1196.18</v>
      </c>
      <c r="C120" s="41" t="str">
        <f t="shared" si="15"/>
        <v>#N/A</v>
      </c>
      <c r="M120" s="78">
        <f>IFERROR(__xludf.DUMMYFUNCTION("""COMPUTED_VALUE"""),45715.0)</f>
        <v>45715</v>
      </c>
      <c r="N120" s="74">
        <f>IFERROR(__xludf.DUMMYFUNCTION("""COMPUTED_VALUE"""),1224.07)</f>
        <v>1224.07</v>
      </c>
      <c r="O120" s="74" t="str">
        <f t="shared" si="18"/>
        <v>1224,07</v>
      </c>
      <c r="P120" s="87">
        <f>IFERROR(__xludf.DUMMYFUNCTION("""COMPUTED_VALUE"""),45950.0)</f>
        <v>45950</v>
      </c>
      <c r="Q120" s="36">
        <f>IFERROR(__xludf.DUMMYFUNCTION("""COMPUTED_VALUE"""),1569.99)</f>
        <v>1569.99</v>
      </c>
    </row>
    <row r="121">
      <c r="A121" s="86">
        <v>45809.0</v>
      </c>
      <c r="B121" s="20" t="str">
        <f t="shared" si="14"/>
        <v>#N/A</v>
      </c>
      <c r="C121" s="41" t="str">
        <f t="shared" si="15"/>
        <v>#N/A</v>
      </c>
      <c r="M121" s="78">
        <f>IFERROR(__xludf.DUMMYFUNCTION("""COMPUTED_VALUE"""),45714.0)</f>
        <v>45714</v>
      </c>
      <c r="N121" s="74">
        <f>IFERROR(__xludf.DUMMYFUNCTION("""COMPUTED_VALUE"""),1219.99)</f>
        <v>1219.99</v>
      </c>
      <c r="O121" s="74" t="str">
        <f t="shared" si="18"/>
        <v>1219,99</v>
      </c>
      <c r="P121" s="87">
        <f>IFERROR(__xludf.DUMMYFUNCTION("""COMPUTED_VALUE"""),45947.0)</f>
        <v>45947</v>
      </c>
      <c r="Q121" s="36">
        <f>IFERROR(__xludf.DUMMYFUNCTION("""COMPUTED_VALUE"""),1543.69)</f>
        <v>1543.69</v>
      </c>
    </row>
    <row r="122">
      <c r="A122" s="86">
        <v>45808.0</v>
      </c>
      <c r="B122" s="20" t="str">
        <f t="shared" si="14"/>
        <v>#N/A</v>
      </c>
      <c r="C122" s="41" t="str">
        <f t="shared" si="15"/>
        <v>#N/A</v>
      </c>
      <c r="M122" s="78">
        <f>IFERROR(__xludf.DUMMYFUNCTION("""COMPUTED_VALUE"""),45713.0)</f>
        <v>45713</v>
      </c>
      <c r="N122" s="74">
        <f>IFERROR(__xludf.DUMMYFUNCTION("""COMPUTED_VALUE"""),1208.21)</f>
        <v>1208.21</v>
      </c>
      <c r="O122" s="74" t="str">
        <f t="shared" si="18"/>
        <v>1208,21</v>
      </c>
      <c r="P122" s="87">
        <f>IFERROR(__xludf.DUMMYFUNCTION("""COMPUTED_VALUE"""),45946.0)</f>
        <v>45946</v>
      </c>
      <c r="Q122" s="36">
        <f>IFERROR(__xludf.DUMMYFUNCTION("""COMPUTED_VALUE"""),1491.34)</f>
        <v>1491.34</v>
      </c>
    </row>
    <row r="123">
      <c r="A123" s="86">
        <v>45807.0</v>
      </c>
      <c r="B123" s="20">
        <f t="shared" si="14"/>
        <v>1204.92</v>
      </c>
      <c r="C123" s="41">
        <f t="shared" si="15"/>
        <v>0.00888025761</v>
      </c>
      <c r="M123" s="78">
        <f>IFERROR(__xludf.DUMMYFUNCTION("""COMPUTED_VALUE"""),45712.0)</f>
        <v>45712</v>
      </c>
      <c r="N123" s="74">
        <f>IFERROR(__xludf.DUMMYFUNCTION("""COMPUTED_VALUE"""),1213.16)</f>
        <v>1213.16</v>
      </c>
      <c r="O123" s="74" t="str">
        <f t="shared" si="18"/>
        <v>1213,16</v>
      </c>
      <c r="P123" s="87">
        <f>IFERROR(__xludf.DUMMYFUNCTION("""COMPUTED_VALUE"""),45945.0)</f>
        <v>45945</v>
      </c>
      <c r="Q123" s="36">
        <f>IFERROR(__xludf.DUMMYFUNCTION("""COMPUTED_VALUE"""),1461.69)</f>
        <v>1461.69</v>
      </c>
    </row>
    <row r="124">
      <c r="A124" s="86">
        <v>45806.0</v>
      </c>
      <c r="B124" s="20">
        <f t="shared" si="14"/>
        <v>1194.22</v>
      </c>
      <c r="C124" s="41">
        <f t="shared" si="15"/>
        <v>0.01581785601</v>
      </c>
      <c r="M124" s="78">
        <f>IFERROR(__xludf.DUMMYFUNCTION("""COMPUTED_VALUE"""),45709.0)</f>
        <v>45709</v>
      </c>
      <c r="N124" s="74">
        <f>IFERROR(__xludf.DUMMYFUNCTION("""COMPUTED_VALUE"""),1218.15)</f>
        <v>1218.15</v>
      </c>
      <c r="O124" s="74" t="str">
        <f t="shared" si="18"/>
        <v>1218,15</v>
      </c>
      <c r="P124" s="87">
        <f>IFERROR(__xludf.DUMMYFUNCTION("""COMPUTED_VALUE"""),45944.0)</f>
        <v>45944</v>
      </c>
      <c r="Q124" s="36">
        <f>IFERROR(__xludf.DUMMYFUNCTION("""COMPUTED_VALUE"""),1475.34)</f>
        <v>1475.34</v>
      </c>
    </row>
    <row r="125">
      <c r="A125" s="86">
        <v>45805.0</v>
      </c>
      <c r="B125" s="20">
        <f t="shared" si="14"/>
        <v>1175.33</v>
      </c>
      <c r="C125" s="41">
        <f t="shared" si="15"/>
        <v>0.00285026333</v>
      </c>
      <c r="M125" s="78">
        <f>IFERROR(__xludf.DUMMYFUNCTION("""COMPUTED_VALUE"""),45708.0)</f>
        <v>45708</v>
      </c>
      <c r="N125" s="74">
        <f>IFERROR(__xludf.DUMMYFUNCTION("""COMPUTED_VALUE"""),1214.76)</f>
        <v>1214.76</v>
      </c>
      <c r="O125" s="74" t="str">
        <f t="shared" si="18"/>
        <v>1214,76</v>
      </c>
      <c r="P125" s="87">
        <f>IFERROR(__xludf.DUMMYFUNCTION("""COMPUTED_VALUE"""),45943.0)</f>
        <v>45943</v>
      </c>
      <c r="Q125" s="36">
        <f>IFERROR(__xludf.DUMMYFUNCTION("""COMPUTED_VALUE"""),1440.12)</f>
        <v>1440.12</v>
      </c>
    </row>
    <row r="126">
      <c r="A126" s="86">
        <v>45804.0</v>
      </c>
      <c r="B126" s="20">
        <f t="shared" si="14"/>
        <v>1171.98</v>
      </c>
      <c r="C126" s="41">
        <f t="shared" si="15"/>
        <v>0.01768801515</v>
      </c>
      <c r="M126" s="78">
        <f>IFERROR(__xludf.DUMMYFUNCTION("""COMPUTED_VALUE"""),45707.0)</f>
        <v>45707</v>
      </c>
      <c r="N126" s="74">
        <f>IFERROR(__xludf.DUMMYFUNCTION("""COMPUTED_VALUE"""),1207.55)</f>
        <v>1207.55</v>
      </c>
      <c r="O126" s="74" t="str">
        <f t="shared" si="18"/>
        <v>1207,55</v>
      </c>
      <c r="P126" s="87">
        <f>IFERROR(__xludf.DUMMYFUNCTION("""COMPUTED_VALUE"""),45940.0)</f>
        <v>45940</v>
      </c>
      <c r="Q126" s="36">
        <f>IFERROR(__xludf.DUMMYFUNCTION("""COMPUTED_VALUE"""),1438.69)</f>
        <v>1438.69</v>
      </c>
    </row>
    <row r="127">
      <c r="A127" s="86">
        <v>45803.0</v>
      </c>
      <c r="B127" s="20">
        <f t="shared" si="14"/>
        <v>1151.25</v>
      </c>
      <c r="C127" s="41" t="str">
        <f t="shared" si="15"/>
        <v>#N/A</v>
      </c>
      <c r="M127" s="78">
        <f>IFERROR(__xludf.DUMMYFUNCTION("""COMPUTED_VALUE"""),45706.0)</f>
        <v>45706</v>
      </c>
      <c r="N127" s="74">
        <f>IFERROR(__xludf.DUMMYFUNCTION("""COMPUTED_VALUE"""),1215.71)</f>
        <v>1215.71</v>
      </c>
      <c r="O127" s="74" t="str">
        <f t="shared" si="18"/>
        <v>1215,71</v>
      </c>
      <c r="P127" s="79">
        <f>IFERROR(__xludf.DUMMYFUNCTION("""COMPUTED_VALUE"""),45939.0)</f>
        <v>45939</v>
      </c>
      <c r="Q127" s="36">
        <f>IFERROR(__xludf.DUMMYFUNCTION("""COMPUTED_VALUE"""),1453.22)</f>
        <v>1453.22</v>
      </c>
    </row>
    <row r="128">
      <c r="A128" s="86">
        <v>45802.0</v>
      </c>
      <c r="B128" s="20" t="str">
        <f t="shared" si="14"/>
        <v>#N/A</v>
      </c>
      <c r="C128" s="41" t="str">
        <f t="shared" si="15"/>
        <v>#N/A</v>
      </c>
      <c r="M128" s="78">
        <f>IFERROR(__xludf.DUMMYFUNCTION("""COMPUTED_VALUE"""),45705.0)</f>
        <v>45705</v>
      </c>
      <c r="N128" s="74">
        <f>IFERROR(__xludf.DUMMYFUNCTION("""COMPUTED_VALUE"""),1210.61)</f>
        <v>1210.61</v>
      </c>
      <c r="O128" s="74" t="str">
        <f t="shared" si="18"/>
        <v>1210,61</v>
      </c>
      <c r="P128" s="79">
        <f>IFERROR(__xludf.DUMMYFUNCTION("""COMPUTED_VALUE"""),45938.0)</f>
        <v>45938</v>
      </c>
      <c r="Q128" s="36">
        <f>IFERROR(__xludf.DUMMYFUNCTION("""COMPUTED_VALUE"""),1543.41)</f>
        <v>1543.41</v>
      </c>
    </row>
    <row r="129">
      <c r="A129" s="86">
        <v>45801.0</v>
      </c>
      <c r="B129" s="20" t="str">
        <f t="shared" si="14"/>
        <v>#N/A</v>
      </c>
      <c r="C129" s="41" t="str">
        <f t="shared" si="15"/>
        <v>#N/A</v>
      </c>
      <c r="M129" s="78">
        <f>IFERROR(__xludf.DUMMYFUNCTION("""COMPUTED_VALUE"""),45702.0)</f>
        <v>45702</v>
      </c>
      <c r="N129" s="74">
        <f>IFERROR(__xludf.DUMMYFUNCTION("""COMPUTED_VALUE"""),1197.21)</f>
        <v>1197.21</v>
      </c>
      <c r="O129" s="74" t="str">
        <f t="shared" si="18"/>
        <v>1197,21</v>
      </c>
      <c r="P129" s="79">
        <f>IFERROR(__xludf.DUMMYFUNCTION("""COMPUTED_VALUE"""),45937.0)</f>
        <v>45937</v>
      </c>
      <c r="Q129" s="36">
        <f>IFERROR(__xludf.DUMMYFUNCTION("""COMPUTED_VALUE"""),1560.11)</f>
        <v>1560.11</v>
      </c>
    </row>
    <row r="130">
      <c r="A130" s="86">
        <v>45800.0</v>
      </c>
      <c r="B130" s="20">
        <f t="shared" si="14"/>
        <v>1165.18</v>
      </c>
      <c r="C130" s="41">
        <f t="shared" si="15"/>
        <v>0.001699308261</v>
      </c>
      <c r="M130" s="78">
        <f>IFERROR(__xludf.DUMMYFUNCTION("""COMPUTED_VALUE"""),45701.0)</f>
        <v>45701</v>
      </c>
      <c r="N130" s="74">
        <f>IFERROR(__xludf.DUMMYFUNCTION("""COMPUTED_VALUE"""),1191.08)</f>
        <v>1191.08</v>
      </c>
      <c r="O130" s="74" t="str">
        <f t="shared" si="18"/>
        <v>1191,08</v>
      </c>
      <c r="P130" s="79">
        <f>IFERROR(__xludf.DUMMYFUNCTION("""COMPUTED_VALUE"""),45936.0)</f>
        <v>45936</v>
      </c>
      <c r="Q130" s="36">
        <f>IFERROR(__xludf.DUMMYFUNCTION("""COMPUTED_VALUE"""),1516.64)</f>
        <v>1516.64</v>
      </c>
    </row>
    <row r="131">
      <c r="A131" s="86">
        <v>45799.0</v>
      </c>
      <c r="B131" s="20">
        <f t="shared" si="14"/>
        <v>1163.2</v>
      </c>
      <c r="C131" s="41">
        <f t="shared" si="15"/>
        <v>0.0009112792297</v>
      </c>
      <c r="M131" s="78">
        <f>IFERROR(__xludf.DUMMYFUNCTION("""COMPUTED_VALUE"""),45700.0)</f>
        <v>45700</v>
      </c>
      <c r="N131" s="74">
        <f>IFERROR(__xludf.DUMMYFUNCTION("""COMPUTED_VALUE"""),1185.19)</f>
        <v>1185.19</v>
      </c>
      <c r="O131" s="74" t="str">
        <f t="shared" si="18"/>
        <v>1185,19</v>
      </c>
      <c r="P131" s="79">
        <f>IFERROR(__xludf.DUMMYFUNCTION("""COMPUTED_VALUE"""),45933.0)</f>
        <v>45933</v>
      </c>
      <c r="Q131" s="36">
        <f>IFERROR(__xludf.DUMMYFUNCTION("""COMPUTED_VALUE"""),1525.88)</f>
        <v>1525.88</v>
      </c>
    </row>
    <row r="132">
      <c r="A132" s="86">
        <v>45798.0</v>
      </c>
      <c r="B132" s="20">
        <f t="shared" si="14"/>
        <v>1162.14</v>
      </c>
      <c r="C132" s="41">
        <f t="shared" si="15"/>
        <v>-0.008234808199</v>
      </c>
      <c r="M132" s="78">
        <f>IFERROR(__xludf.DUMMYFUNCTION("""COMPUTED_VALUE"""),45699.0)</f>
        <v>45699</v>
      </c>
      <c r="N132" s="74">
        <f>IFERROR(__xludf.DUMMYFUNCTION("""COMPUTED_VALUE"""),1189.68)</f>
        <v>1189.68</v>
      </c>
      <c r="O132" s="74" t="str">
        <f t="shared" si="18"/>
        <v>1189,68</v>
      </c>
      <c r="P132" s="79">
        <f>IFERROR(__xludf.DUMMYFUNCTION("""COMPUTED_VALUE"""),45932.0)</f>
        <v>45932</v>
      </c>
      <c r="Q132" s="36">
        <f>IFERROR(__xludf.DUMMYFUNCTION("""COMPUTED_VALUE"""),1548.41)</f>
        <v>1548.41</v>
      </c>
    </row>
    <row r="133">
      <c r="A133" s="86">
        <v>45797.0</v>
      </c>
      <c r="B133" s="20">
        <f t="shared" si="14"/>
        <v>1171.71</v>
      </c>
      <c r="C133" s="41">
        <f t="shared" si="15"/>
        <v>0.007783495916</v>
      </c>
      <c r="M133" s="78">
        <f>IFERROR(__xludf.DUMMYFUNCTION("""COMPUTED_VALUE"""),45698.0)</f>
        <v>45698</v>
      </c>
      <c r="N133" s="74">
        <f>IFERROR(__xludf.DUMMYFUNCTION("""COMPUTED_VALUE"""),1190.38)</f>
        <v>1190.38</v>
      </c>
      <c r="O133" s="74" t="str">
        <f t="shared" si="18"/>
        <v>1190,38</v>
      </c>
      <c r="P133" s="79">
        <f>IFERROR(__xludf.DUMMYFUNCTION("""COMPUTED_VALUE"""),45931.0)</f>
        <v>45931</v>
      </c>
      <c r="Q133" s="36">
        <f>IFERROR(__xludf.DUMMYFUNCTION("""COMPUTED_VALUE"""),1573.08)</f>
        <v>1573.08</v>
      </c>
    </row>
    <row r="134">
      <c r="A134" s="86">
        <v>45796.0</v>
      </c>
      <c r="B134" s="20">
        <f t="shared" si="14"/>
        <v>1162.59</v>
      </c>
      <c r="C134" s="41" t="str">
        <f t="shared" si="15"/>
        <v>#N/A</v>
      </c>
      <c r="M134" s="78">
        <f>IFERROR(__xludf.DUMMYFUNCTION("""COMPUTED_VALUE"""),45695.0)</f>
        <v>45695</v>
      </c>
      <c r="N134" s="74">
        <f>IFERROR(__xludf.DUMMYFUNCTION("""COMPUTED_VALUE"""),1203.17)</f>
        <v>1203.17</v>
      </c>
      <c r="O134" s="74" t="str">
        <f t="shared" si="18"/>
        <v>1203,17</v>
      </c>
      <c r="P134" s="79">
        <f>IFERROR(__xludf.DUMMYFUNCTION("""COMPUTED_VALUE"""),45930.0)</f>
        <v>45930</v>
      </c>
      <c r="Q134" s="36">
        <f>IFERROR(__xludf.DUMMYFUNCTION("""COMPUTED_VALUE"""),1541.77)</f>
        <v>1541.77</v>
      </c>
    </row>
    <row r="135">
      <c r="A135" s="86">
        <v>45795.0</v>
      </c>
      <c r="B135" s="20" t="str">
        <f t="shared" si="14"/>
        <v>#N/A</v>
      </c>
      <c r="C135" s="41" t="str">
        <f t="shared" si="15"/>
        <v>#N/A</v>
      </c>
      <c r="M135" s="78">
        <f>IFERROR(__xludf.DUMMYFUNCTION("""COMPUTED_VALUE"""),45694.0)</f>
        <v>45694</v>
      </c>
      <c r="N135" s="74">
        <f>IFERROR(__xludf.DUMMYFUNCTION("""COMPUTED_VALUE"""),1201.96)</f>
        <v>1201.96</v>
      </c>
      <c r="O135" s="74" t="str">
        <f t="shared" si="18"/>
        <v>1201,96</v>
      </c>
      <c r="P135" s="79">
        <f>IFERROR(__xludf.DUMMYFUNCTION("""COMPUTED_VALUE"""),45929.0)</f>
        <v>45929</v>
      </c>
      <c r="Q135" s="36">
        <f>IFERROR(__xludf.DUMMYFUNCTION("""COMPUTED_VALUE"""),1496.06)</f>
        <v>1496.06</v>
      </c>
    </row>
    <row r="136">
      <c r="A136" s="86">
        <v>45794.0</v>
      </c>
      <c r="B136" s="20" t="str">
        <f t="shared" si="14"/>
        <v>#N/A</v>
      </c>
      <c r="C136" s="41" t="str">
        <f t="shared" si="15"/>
        <v>#N/A</v>
      </c>
      <c r="M136" s="78">
        <f>IFERROR(__xludf.DUMMYFUNCTION("""COMPUTED_VALUE"""),45693.0)</f>
        <v>45693</v>
      </c>
      <c r="N136" s="74">
        <f>IFERROR(__xludf.DUMMYFUNCTION("""COMPUTED_VALUE"""),1200.48)</f>
        <v>1200.48</v>
      </c>
      <c r="O136" s="74" t="str">
        <f t="shared" si="18"/>
        <v>1200,48</v>
      </c>
      <c r="P136" s="79">
        <f>IFERROR(__xludf.DUMMYFUNCTION("""COMPUTED_VALUE"""),45926.0)</f>
        <v>45926</v>
      </c>
      <c r="Q136" s="36">
        <f>IFERROR(__xludf.DUMMYFUNCTION("""COMPUTED_VALUE"""),1470.23)</f>
        <v>1470.23</v>
      </c>
    </row>
    <row r="137">
      <c r="A137" s="86">
        <v>45793.0</v>
      </c>
      <c r="B137" s="20">
        <f t="shared" si="14"/>
        <v>1178.82</v>
      </c>
      <c r="C137" s="41">
        <f t="shared" si="15"/>
        <v>0.01084134982</v>
      </c>
      <c r="M137" s="78">
        <f>IFERROR(__xludf.DUMMYFUNCTION("""COMPUTED_VALUE"""),45692.0)</f>
        <v>45692</v>
      </c>
      <c r="N137" s="74">
        <f>IFERROR(__xludf.DUMMYFUNCTION("""COMPUTED_VALUE"""),1199.7)</f>
        <v>1199.7</v>
      </c>
      <c r="O137" s="74" t="str">
        <f t="shared" si="18"/>
        <v>1199,7</v>
      </c>
      <c r="P137" s="79">
        <f>IFERROR(__xludf.DUMMYFUNCTION("""COMPUTED_VALUE"""),45925.0)</f>
        <v>45925</v>
      </c>
      <c r="Q137" s="36">
        <f>IFERROR(__xludf.DUMMYFUNCTION("""COMPUTED_VALUE"""),1403.46)</f>
        <v>1403.46</v>
      </c>
    </row>
    <row r="138">
      <c r="A138" s="86">
        <v>45792.0</v>
      </c>
      <c r="B138" s="20">
        <f t="shared" si="14"/>
        <v>1166.04</v>
      </c>
      <c r="C138" s="41">
        <f t="shared" si="15"/>
        <v>0.006655003259</v>
      </c>
      <c r="M138" s="78">
        <f>IFERROR(__xludf.DUMMYFUNCTION("""COMPUTED_VALUE"""),45691.0)</f>
        <v>45691</v>
      </c>
      <c r="N138" s="74">
        <f>IFERROR(__xludf.DUMMYFUNCTION("""COMPUTED_VALUE"""),1195.55)</f>
        <v>1195.55</v>
      </c>
      <c r="O138" s="74" t="str">
        <f t="shared" si="18"/>
        <v>1195,55</v>
      </c>
      <c r="P138" s="79">
        <f>IFERROR(__xludf.DUMMYFUNCTION("""COMPUTED_VALUE"""),45924.0)</f>
        <v>45924</v>
      </c>
      <c r="Q138" s="36">
        <f>IFERROR(__xludf.DUMMYFUNCTION("""COMPUTED_VALUE"""),1391.27)</f>
        <v>1391.27</v>
      </c>
    </row>
    <row r="139">
      <c r="A139" s="86">
        <v>45791.0</v>
      </c>
      <c r="B139" s="20">
        <f t="shared" si="14"/>
        <v>1158.28</v>
      </c>
      <c r="C139" s="41">
        <f t="shared" si="15"/>
        <v>0</v>
      </c>
      <c r="M139" s="78">
        <f>IFERROR(__xludf.DUMMYFUNCTION("""COMPUTED_VALUE"""),45688.0)</f>
        <v>45688</v>
      </c>
      <c r="N139" s="74">
        <f>IFERROR(__xludf.DUMMYFUNCTION("""COMPUTED_VALUE"""),1185.97)</f>
        <v>1185.97</v>
      </c>
      <c r="O139" s="74" t="str">
        <f t="shared" si="18"/>
        <v>1185,97</v>
      </c>
      <c r="P139" s="79">
        <f>IFERROR(__xludf.DUMMYFUNCTION("""COMPUTED_VALUE"""),45923.0)</f>
        <v>45923</v>
      </c>
      <c r="Q139" s="36">
        <f>IFERROR(__xludf.DUMMYFUNCTION("""COMPUTED_VALUE"""),1415.08)</f>
        <v>1415.08</v>
      </c>
    </row>
    <row r="140">
      <c r="A140" s="86">
        <v>45790.0</v>
      </c>
      <c r="B140" s="20">
        <f t="shared" si="14"/>
        <v>1158.28</v>
      </c>
      <c r="C140" s="41">
        <f t="shared" si="15"/>
        <v>0.001985702939</v>
      </c>
      <c r="M140" s="78">
        <f>IFERROR(__xludf.DUMMYFUNCTION("""COMPUTED_VALUE"""),45687.0)</f>
        <v>45687</v>
      </c>
      <c r="N140" s="74">
        <f>IFERROR(__xludf.DUMMYFUNCTION("""COMPUTED_VALUE"""),1180.7)</f>
        <v>1180.7</v>
      </c>
      <c r="O140" s="74" t="str">
        <f t="shared" si="18"/>
        <v>1180,7</v>
      </c>
      <c r="P140" s="79">
        <f>IFERROR(__xludf.DUMMYFUNCTION("""COMPUTED_VALUE"""),45922.0)</f>
        <v>45922</v>
      </c>
      <c r="Q140" s="36">
        <f>IFERROR(__xludf.DUMMYFUNCTION("""COMPUTED_VALUE"""),1440.87)</f>
        <v>1440.87</v>
      </c>
    </row>
    <row r="141">
      <c r="A141" s="86">
        <v>45789.0</v>
      </c>
      <c r="B141" s="20">
        <f t="shared" si="14"/>
        <v>1155.98</v>
      </c>
      <c r="C141" s="41" t="str">
        <f t="shared" si="15"/>
        <v>#N/A</v>
      </c>
      <c r="M141" s="78">
        <f>IFERROR(__xludf.DUMMYFUNCTION("""COMPUTED_VALUE"""),45686.0)</f>
        <v>45686</v>
      </c>
      <c r="N141" s="74">
        <f>IFERROR(__xludf.DUMMYFUNCTION("""COMPUTED_VALUE"""),1181.87)</f>
        <v>1181.87</v>
      </c>
      <c r="O141" s="74" t="str">
        <f t="shared" si="18"/>
        <v>1181,87</v>
      </c>
      <c r="P141" s="79">
        <f>IFERROR(__xludf.DUMMYFUNCTION("""COMPUTED_VALUE"""),45919.0)</f>
        <v>45919</v>
      </c>
      <c r="Q141" s="36">
        <f>IFERROR(__xludf.DUMMYFUNCTION("""COMPUTED_VALUE"""),1567.06)</f>
        <v>1567.06</v>
      </c>
    </row>
    <row r="142">
      <c r="A142" s="86">
        <v>45788.0</v>
      </c>
      <c r="B142" s="20" t="str">
        <f t="shared" si="14"/>
        <v>#N/A</v>
      </c>
      <c r="C142" s="41" t="str">
        <f t="shared" si="15"/>
        <v>#N/A</v>
      </c>
      <c r="M142" s="78">
        <f>IFERROR(__xludf.DUMMYFUNCTION("""COMPUTED_VALUE"""),45685.0)</f>
        <v>45685</v>
      </c>
      <c r="N142" s="74">
        <f>IFERROR(__xludf.DUMMYFUNCTION("""COMPUTED_VALUE"""),1175.5)</f>
        <v>1175.5</v>
      </c>
      <c r="O142" s="74" t="str">
        <f t="shared" si="18"/>
        <v>1175,5</v>
      </c>
      <c r="P142" s="79">
        <f>IFERROR(__xludf.DUMMYFUNCTION("""COMPUTED_VALUE"""),45918.0)</f>
        <v>45918</v>
      </c>
      <c r="Q142" s="36">
        <f>IFERROR(__xludf.DUMMYFUNCTION("""COMPUTED_VALUE"""),1564.1)</f>
        <v>1564.1</v>
      </c>
    </row>
    <row r="143">
      <c r="A143" s="86">
        <v>45787.0</v>
      </c>
      <c r="B143" s="20" t="str">
        <f t="shared" si="14"/>
        <v>#N/A</v>
      </c>
      <c r="C143" s="41" t="str">
        <f t="shared" si="15"/>
        <v>#N/A</v>
      </c>
      <c r="M143" s="78">
        <f>IFERROR(__xludf.DUMMYFUNCTION("""COMPUTED_VALUE"""),45684.0)</f>
        <v>45684</v>
      </c>
      <c r="N143" s="74">
        <f>IFERROR(__xludf.DUMMYFUNCTION("""COMPUTED_VALUE"""),1176.15)</f>
        <v>1176.15</v>
      </c>
      <c r="O143" s="74" t="str">
        <f t="shared" si="18"/>
        <v>1176,15</v>
      </c>
      <c r="P143" s="79">
        <f>IFERROR(__xludf.DUMMYFUNCTION("""COMPUTED_VALUE"""),45917.0)</f>
        <v>45917</v>
      </c>
      <c r="Q143" s="36">
        <f>IFERROR(__xludf.DUMMYFUNCTION("""COMPUTED_VALUE"""),1499.85)</f>
        <v>1499.85</v>
      </c>
    </row>
    <row r="144">
      <c r="A144" s="86">
        <v>45786.0</v>
      </c>
      <c r="B144" s="20">
        <f t="shared" si="14"/>
        <v>1159.25</v>
      </c>
      <c r="C144" s="41">
        <f t="shared" si="15"/>
        <v>0.001561354324</v>
      </c>
      <c r="M144" s="78">
        <f>IFERROR(__xludf.DUMMYFUNCTION("""COMPUTED_VALUE"""),45681.0)</f>
        <v>45681</v>
      </c>
      <c r="N144" s="74">
        <f>IFERROR(__xludf.DUMMYFUNCTION("""COMPUTED_VALUE"""),1164.77)</f>
        <v>1164.77</v>
      </c>
      <c r="O144" s="74" t="str">
        <f t="shared" si="18"/>
        <v>1164,77</v>
      </c>
      <c r="P144" s="79">
        <f>IFERROR(__xludf.DUMMYFUNCTION("""COMPUTED_VALUE"""),45916.0)</f>
        <v>45916</v>
      </c>
      <c r="Q144" s="36">
        <f>IFERROR(__xludf.DUMMYFUNCTION("""COMPUTED_VALUE"""),1482.49)</f>
        <v>1482.49</v>
      </c>
    </row>
    <row r="145">
      <c r="A145" s="86">
        <v>45785.0</v>
      </c>
      <c r="B145" s="20">
        <f t="shared" si="14"/>
        <v>1157.44</v>
      </c>
      <c r="C145" s="41">
        <f t="shared" si="15"/>
        <v>-0.006877246337</v>
      </c>
      <c r="M145" s="78">
        <f>IFERROR(__xludf.DUMMYFUNCTION("""COMPUTED_VALUE"""),45680.0)</f>
        <v>45680</v>
      </c>
      <c r="N145" s="74">
        <f>IFERROR(__xludf.DUMMYFUNCTION("""COMPUTED_VALUE"""),1187.0)</f>
        <v>1187</v>
      </c>
      <c r="O145" s="74" t="str">
        <f t="shared" si="18"/>
        <v>1187</v>
      </c>
      <c r="P145" s="79">
        <f>IFERROR(__xludf.DUMMYFUNCTION("""COMPUTED_VALUE"""),45915.0)</f>
        <v>45915</v>
      </c>
      <c r="Q145" s="36">
        <f>IFERROR(__xludf.DUMMYFUNCTION("""COMPUTED_VALUE"""),1500.53)</f>
        <v>1500.53</v>
      </c>
    </row>
    <row r="146">
      <c r="A146" s="86">
        <v>45784.0</v>
      </c>
      <c r="B146" s="20">
        <f t="shared" si="14"/>
        <v>1165.4</v>
      </c>
      <c r="C146" s="41">
        <f t="shared" si="15"/>
        <v>-0.03939419942</v>
      </c>
      <c r="M146" s="78">
        <f>IFERROR(__xludf.DUMMYFUNCTION("""COMPUTED_VALUE"""),45679.0)</f>
        <v>45679</v>
      </c>
      <c r="N146" s="74">
        <f>IFERROR(__xludf.DUMMYFUNCTION("""COMPUTED_VALUE"""),1187.49)</f>
        <v>1187.49</v>
      </c>
      <c r="O146" s="74" t="str">
        <f t="shared" si="18"/>
        <v>1187,49</v>
      </c>
      <c r="P146" s="79">
        <f>IFERROR(__xludf.DUMMYFUNCTION("""COMPUTED_VALUE"""),45912.0)</f>
        <v>45912</v>
      </c>
      <c r="Q146" s="36">
        <f>IFERROR(__xludf.DUMMYFUNCTION("""COMPUTED_VALUE"""),1481.12)</f>
        <v>1481.12</v>
      </c>
    </row>
    <row r="147">
      <c r="A147" s="86">
        <v>45783.0</v>
      </c>
      <c r="B147" s="20">
        <f t="shared" si="14"/>
        <v>1211.31</v>
      </c>
      <c r="C147" s="41">
        <f t="shared" si="15"/>
        <v>-0.0002806878503</v>
      </c>
      <c r="M147" s="78">
        <f>IFERROR(__xludf.DUMMYFUNCTION("""COMPUTED_VALUE"""),45678.0)</f>
        <v>45678</v>
      </c>
      <c r="N147" s="74">
        <f>IFERROR(__xludf.DUMMYFUNCTION("""COMPUTED_VALUE"""),1189.33)</f>
        <v>1189.33</v>
      </c>
      <c r="O147" s="74" t="str">
        <f t="shared" si="18"/>
        <v>1189,33</v>
      </c>
      <c r="P147" s="79">
        <f>IFERROR(__xludf.DUMMYFUNCTION("""COMPUTED_VALUE"""),45911.0)</f>
        <v>45911</v>
      </c>
      <c r="Q147" s="36">
        <f>IFERROR(__xludf.DUMMYFUNCTION("""COMPUTED_VALUE"""),1446.32)</f>
        <v>1446.32</v>
      </c>
    </row>
    <row r="148">
      <c r="A148" s="86">
        <v>45782.0</v>
      </c>
      <c r="B148" s="20">
        <f t="shared" si="14"/>
        <v>1211.65</v>
      </c>
      <c r="C148" s="41" t="str">
        <f t="shared" si="15"/>
        <v>#N/A</v>
      </c>
      <c r="M148" s="78">
        <f>IFERROR(__xludf.DUMMYFUNCTION("""COMPUTED_VALUE"""),45677.0)</f>
        <v>45677</v>
      </c>
      <c r="N148" s="74">
        <f>IFERROR(__xludf.DUMMYFUNCTION("""COMPUTED_VALUE"""),1195.98)</f>
        <v>1195.98</v>
      </c>
      <c r="O148" s="74" t="str">
        <f t="shared" si="18"/>
        <v>1195,98</v>
      </c>
      <c r="P148" s="79">
        <f>IFERROR(__xludf.DUMMYFUNCTION("""COMPUTED_VALUE"""),45910.0)</f>
        <v>45910</v>
      </c>
      <c r="Q148" s="36">
        <f>IFERROR(__xludf.DUMMYFUNCTION("""COMPUTED_VALUE"""),1436.89)</f>
        <v>1436.89</v>
      </c>
    </row>
    <row r="149">
      <c r="A149" s="86">
        <v>45781.0</v>
      </c>
      <c r="B149" s="20" t="str">
        <f t="shared" si="14"/>
        <v>#N/A</v>
      </c>
      <c r="C149" s="41" t="str">
        <f t="shared" si="15"/>
        <v>#N/A</v>
      </c>
      <c r="M149" s="78">
        <f>IFERROR(__xludf.DUMMYFUNCTION("""COMPUTED_VALUE"""),45674.0)</f>
        <v>45674</v>
      </c>
      <c r="N149" s="74">
        <f>IFERROR(__xludf.DUMMYFUNCTION("""COMPUTED_VALUE"""),1187.63)</f>
        <v>1187.63</v>
      </c>
      <c r="O149" s="74" t="str">
        <f t="shared" si="18"/>
        <v>1187,63</v>
      </c>
      <c r="P149" s="79">
        <f>IFERROR(__xludf.DUMMYFUNCTION("""COMPUTED_VALUE"""),45909.0)</f>
        <v>45909</v>
      </c>
      <c r="Q149" s="36">
        <f>IFERROR(__xludf.DUMMYFUNCTION("""COMPUTED_VALUE"""),1439.73)</f>
        <v>1439.73</v>
      </c>
    </row>
    <row r="150">
      <c r="A150" s="86">
        <v>45780.0</v>
      </c>
      <c r="B150" s="20" t="str">
        <f t="shared" si="14"/>
        <v>#N/A</v>
      </c>
      <c r="C150" s="41" t="str">
        <f t="shared" si="15"/>
        <v>#N/A</v>
      </c>
      <c r="M150" s="78">
        <f>IFERROR(__xludf.DUMMYFUNCTION("""COMPUTED_VALUE"""),45673.0)</f>
        <v>45673</v>
      </c>
      <c r="N150" s="74">
        <f>IFERROR(__xludf.DUMMYFUNCTION("""COMPUTED_VALUE"""),1180.53)</f>
        <v>1180.53</v>
      </c>
      <c r="O150" s="74" t="str">
        <f t="shared" si="18"/>
        <v>1180,53</v>
      </c>
      <c r="P150" s="79">
        <f>IFERROR(__xludf.DUMMYFUNCTION("""COMPUTED_VALUE"""),45908.0)</f>
        <v>45908</v>
      </c>
      <c r="Q150" s="36">
        <f>IFERROR(__xludf.DUMMYFUNCTION("""COMPUTED_VALUE"""),1439.27)</f>
        <v>1439.27</v>
      </c>
    </row>
    <row r="151">
      <c r="A151" s="86">
        <v>45779.0</v>
      </c>
      <c r="B151" s="20">
        <f t="shared" si="14"/>
        <v>1195.73</v>
      </c>
      <c r="C151" s="41">
        <f t="shared" si="15"/>
        <v>0</v>
      </c>
      <c r="M151" s="78">
        <f>IFERROR(__xludf.DUMMYFUNCTION("""COMPUTED_VALUE"""),45672.0)</f>
        <v>45672</v>
      </c>
      <c r="N151" s="74">
        <f>IFERROR(__xludf.DUMMYFUNCTION("""COMPUTED_VALUE"""),1194.14)</f>
        <v>1194.14</v>
      </c>
      <c r="O151" s="74" t="str">
        <f t="shared" si="18"/>
        <v>1194,14</v>
      </c>
      <c r="P151" s="79">
        <f>IFERROR(__xludf.DUMMYFUNCTION("""COMPUTED_VALUE"""),45905.0)</f>
        <v>45905</v>
      </c>
      <c r="Q151" s="36">
        <f>IFERROR(__xludf.DUMMYFUNCTION("""COMPUTED_VALUE"""),1390.52)</f>
        <v>1390.52</v>
      </c>
    </row>
    <row r="152">
      <c r="A152" s="86">
        <v>45778.0</v>
      </c>
      <c r="B152" s="20">
        <f t="shared" si="14"/>
        <v>1195.73</v>
      </c>
      <c r="C152" s="41">
        <f t="shared" si="15"/>
        <v>0</v>
      </c>
      <c r="M152" s="78">
        <f>IFERROR(__xludf.DUMMYFUNCTION("""COMPUTED_VALUE"""),45671.0)</f>
        <v>45671</v>
      </c>
      <c r="N152" s="74">
        <f>IFERROR(__xludf.DUMMYFUNCTION("""COMPUTED_VALUE"""),1191.05)</f>
        <v>1191.05</v>
      </c>
      <c r="O152" s="74" t="str">
        <f t="shared" si="18"/>
        <v>1191,05</v>
      </c>
      <c r="P152" s="79">
        <f>IFERROR(__xludf.DUMMYFUNCTION("""COMPUTED_VALUE"""),45904.0)</f>
        <v>45904</v>
      </c>
      <c r="Q152" s="36">
        <f>IFERROR(__xludf.DUMMYFUNCTION("""COMPUTED_VALUE"""),1380.95)</f>
        <v>1380.95</v>
      </c>
    </row>
    <row r="153">
      <c r="A153" s="86">
        <v>45777.0</v>
      </c>
      <c r="B153" s="20">
        <f t="shared" si="14"/>
        <v>1195.73</v>
      </c>
      <c r="C153" s="41">
        <f t="shared" si="15"/>
        <v>0.005904342954</v>
      </c>
      <c r="M153" s="78">
        <f>IFERROR(__xludf.DUMMYFUNCTION("""COMPUTED_VALUE"""),45670.0)</f>
        <v>45670</v>
      </c>
      <c r="N153" s="74">
        <f>IFERROR(__xludf.DUMMYFUNCTION("""COMPUTED_VALUE"""),1196.75)</f>
        <v>1196.75</v>
      </c>
      <c r="O153" s="74" t="str">
        <f t="shared" si="18"/>
        <v>1196,75</v>
      </c>
      <c r="P153" s="79">
        <f>IFERROR(__xludf.DUMMYFUNCTION("""COMPUTED_VALUE"""),45903.0)</f>
        <v>45903</v>
      </c>
      <c r="Q153" s="36">
        <f>IFERROR(__xludf.DUMMYFUNCTION("""COMPUTED_VALUE"""),1371.58)</f>
        <v>1371.58</v>
      </c>
    </row>
    <row r="154">
      <c r="A154" s="86">
        <v>45776.0</v>
      </c>
      <c r="B154" s="20">
        <f t="shared" si="14"/>
        <v>1188.67</v>
      </c>
      <c r="C154" s="41">
        <f t="shared" si="15"/>
        <v>-0.001934935684</v>
      </c>
      <c r="M154" s="78">
        <f>IFERROR(__xludf.DUMMYFUNCTION("""COMPUTED_VALUE"""),45667.0)</f>
        <v>45667</v>
      </c>
      <c r="N154" s="74">
        <f>IFERROR(__xludf.DUMMYFUNCTION("""COMPUTED_VALUE"""),1188.33)</f>
        <v>1188.33</v>
      </c>
      <c r="O154" s="74" t="str">
        <f t="shared" si="18"/>
        <v>1188,33</v>
      </c>
      <c r="P154" s="79">
        <f>IFERROR(__xludf.DUMMYFUNCTION("""COMPUTED_VALUE"""),45902.0)</f>
        <v>45902</v>
      </c>
      <c r="Q154" s="36">
        <f>IFERROR(__xludf.DUMMYFUNCTION("""COMPUTED_VALUE"""),1372.0)</f>
        <v>1372</v>
      </c>
    </row>
    <row r="155">
      <c r="A155" s="86">
        <v>45775.0</v>
      </c>
      <c r="B155" s="20">
        <f t="shared" si="14"/>
        <v>1190.97</v>
      </c>
      <c r="C155" s="41" t="str">
        <f t="shared" si="15"/>
        <v>#N/A</v>
      </c>
      <c r="M155" s="78">
        <f>IFERROR(__xludf.DUMMYFUNCTION("""COMPUTED_VALUE"""),45666.0)</f>
        <v>45666</v>
      </c>
      <c r="N155" s="74">
        <f>IFERROR(__xludf.DUMMYFUNCTION("""COMPUTED_VALUE"""),1184.98)</f>
        <v>1184.98</v>
      </c>
      <c r="O155" s="74" t="str">
        <f t="shared" si="18"/>
        <v>1184,98</v>
      </c>
      <c r="P155" s="79">
        <f>IFERROR(__xludf.DUMMYFUNCTION("""COMPUTED_VALUE"""),45901.0)</f>
        <v>45901</v>
      </c>
      <c r="Q155" s="36">
        <f>IFERROR(__xludf.DUMMYFUNCTION("""COMPUTED_VALUE"""),1391.51)</f>
        <v>1391.51</v>
      </c>
    </row>
    <row r="156">
      <c r="A156" s="86">
        <v>45774.0</v>
      </c>
      <c r="B156" s="20" t="str">
        <f t="shared" si="14"/>
        <v>#N/A</v>
      </c>
      <c r="C156" s="41" t="str">
        <f t="shared" si="15"/>
        <v>#N/A</v>
      </c>
      <c r="M156" s="78">
        <f>IFERROR(__xludf.DUMMYFUNCTION("""COMPUTED_VALUE"""),45665.0)</f>
        <v>45665</v>
      </c>
      <c r="N156" s="74">
        <f>IFERROR(__xludf.DUMMYFUNCTION("""COMPUTED_VALUE"""),1184.88)</f>
        <v>1184.88</v>
      </c>
      <c r="O156" s="74" t="str">
        <f t="shared" si="18"/>
        <v>1184,88</v>
      </c>
      <c r="P156" s="79">
        <f>IFERROR(__xludf.DUMMYFUNCTION("""COMPUTED_VALUE"""),45898.0)</f>
        <v>45898</v>
      </c>
      <c r="Q156" s="36">
        <f>IFERROR(__xludf.DUMMYFUNCTION("""COMPUTED_VALUE"""),1355.27)</f>
        <v>1355.27</v>
      </c>
    </row>
    <row r="157">
      <c r="A157" s="86">
        <v>45773.0</v>
      </c>
      <c r="B157" s="20" t="str">
        <f t="shared" si="14"/>
        <v>#N/A</v>
      </c>
      <c r="C157" s="41" t="str">
        <f t="shared" si="15"/>
        <v>#N/A</v>
      </c>
      <c r="M157" s="78">
        <f>IFERROR(__xludf.DUMMYFUNCTION("""COMPUTED_VALUE"""),45664.0)</f>
        <v>45664</v>
      </c>
      <c r="N157" s="74">
        <f>IFERROR(__xludf.DUMMYFUNCTION("""COMPUTED_VALUE"""),1186.07)</f>
        <v>1186.07</v>
      </c>
      <c r="O157" s="74" t="str">
        <f t="shared" si="18"/>
        <v>1186,07</v>
      </c>
      <c r="P157" s="79">
        <f>IFERROR(__xludf.DUMMYFUNCTION("""COMPUTED_VALUE"""),45897.0)</f>
        <v>45897</v>
      </c>
      <c r="Q157" s="36">
        <f>IFERROR(__xludf.DUMMYFUNCTION("""COMPUTED_VALUE"""),1347.64)</f>
        <v>1347.64</v>
      </c>
    </row>
    <row r="158">
      <c r="A158" s="86">
        <v>45772.0</v>
      </c>
      <c r="B158" s="20">
        <f t="shared" si="14"/>
        <v>1201.15</v>
      </c>
      <c r="C158" s="41">
        <f t="shared" si="15"/>
        <v>0.001232152521</v>
      </c>
      <c r="M158" s="78">
        <f>IFERROR(__xludf.DUMMYFUNCTION("""COMPUTED_VALUE"""),45663.0)</f>
        <v>45663</v>
      </c>
      <c r="N158" s="74">
        <f>IFERROR(__xludf.DUMMYFUNCTION("""COMPUTED_VALUE"""),1187.05)</f>
        <v>1187.05</v>
      </c>
      <c r="O158" s="74" t="str">
        <f t="shared" si="18"/>
        <v>1187,05</v>
      </c>
      <c r="P158" s="79">
        <f>IFERROR(__xludf.DUMMYFUNCTION("""COMPUTED_VALUE"""),45896.0)</f>
        <v>45896</v>
      </c>
      <c r="Q158" s="36">
        <f>IFERROR(__xludf.DUMMYFUNCTION("""COMPUTED_VALUE"""),1354.79)</f>
        <v>1354.79</v>
      </c>
    </row>
    <row r="159">
      <c r="A159" s="86">
        <v>45771.0</v>
      </c>
      <c r="B159" s="20">
        <f t="shared" si="14"/>
        <v>1199.67</v>
      </c>
      <c r="C159" s="41">
        <f t="shared" si="15"/>
        <v>0.01490409863</v>
      </c>
      <c r="M159" s="78">
        <f>IFERROR(__xludf.DUMMYFUNCTION("""COMPUTED_VALUE"""),45660.0)</f>
        <v>45660</v>
      </c>
      <c r="N159" s="74">
        <f>IFERROR(__xludf.DUMMYFUNCTION("""COMPUTED_VALUE"""),1186.04)</f>
        <v>1186.04</v>
      </c>
      <c r="O159" s="74" t="str">
        <f t="shared" si="18"/>
        <v>1186,04</v>
      </c>
      <c r="P159" s="79">
        <f>IFERROR(__xludf.DUMMYFUNCTION("""COMPUTED_VALUE"""),45895.0)</f>
        <v>45895</v>
      </c>
      <c r="Q159" s="36">
        <f>IFERROR(__xludf.DUMMYFUNCTION("""COMPUTED_VALUE"""),1354.94)</f>
        <v>1354.94</v>
      </c>
    </row>
    <row r="160">
      <c r="A160" s="86">
        <v>45770.0</v>
      </c>
      <c r="B160" s="20">
        <f t="shared" si="14"/>
        <v>1181.79</v>
      </c>
      <c r="C160" s="41">
        <f t="shared" si="15"/>
        <v>0.02386210748</v>
      </c>
      <c r="M160" s="78">
        <f>IFERROR(__xludf.DUMMYFUNCTION("""COMPUTED_VALUE"""),45659.0)</f>
        <v>45659</v>
      </c>
      <c r="N160" s="74">
        <f>IFERROR(__xludf.DUMMYFUNCTION("""COMPUTED_VALUE"""),1174.59)</f>
        <v>1174.59</v>
      </c>
      <c r="O160" s="74" t="str">
        <f t="shared" si="18"/>
        <v>1174,59</v>
      </c>
      <c r="P160" s="79">
        <f>IFERROR(__xludf.DUMMYFUNCTION("""COMPUTED_VALUE"""),45894.0)</f>
        <v>45894</v>
      </c>
      <c r="Q160" s="36">
        <f>IFERROR(__xludf.DUMMYFUNCTION("""COMPUTED_VALUE"""),1361.89)</f>
        <v>1361.89</v>
      </c>
    </row>
    <row r="161">
      <c r="A161" s="86">
        <v>45769.0</v>
      </c>
      <c r="B161" s="20">
        <f t="shared" si="14"/>
        <v>1153.59</v>
      </c>
      <c r="C161" s="41">
        <f t="shared" si="15"/>
        <v>0.01831673298</v>
      </c>
      <c r="M161" s="78">
        <f>IFERROR(__xludf.DUMMYFUNCTION("""COMPUTED_VALUE"""),45658.0)</f>
        <v>45658</v>
      </c>
      <c r="N161" s="74">
        <f>IFERROR(__xludf.DUMMYFUNCTION("""COMPUTED_VALUE"""),1186.93)</f>
        <v>1186.93</v>
      </c>
      <c r="O161" s="74" t="str">
        <f t="shared" si="18"/>
        <v>1186,93</v>
      </c>
      <c r="P161" s="79">
        <f>IFERROR(__xludf.DUMMYFUNCTION("""COMPUTED_VALUE"""),45891.0)</f>
        <v>45891</v>
      </c>
      <c r="Q161" s="36">
        <f>IFERROR(__xludf.DUMMYFUNCTION("""COMPUTED_VALUE"""),1333.81)</f>
        <v>1333.81</v>
      </c>
    </row>
    <row r="162">
      <c r="A162" s="86">
        <v>45768.0</v>
      </c>
      <c r="B162" s="20">
        <f t="shared" si="14"/>
        <v>1132.46</v>
      </c>
      <c r="C162" s="41" t="str">
        <f t="shared" si="15"/>
        <v>#N/A</v>
      </c>
      <c r="M162" s="78">
        <f>IFERROR(__xludf.DUMMYFUNCTION("""COMPUTED_VALUE"""),45657.0)</f>
        <v>45657</v>
      </c>
      <c r="N162" s="74">
        <f>IFERROR(__xludf.DUMMYFUNCTION("""COMPUTED_VALUE"""),1186.93)</f>
        <v>1186.93</v>
      </c>
      <c r="O162" s="74" t="str">
        <f t="shared" si="18"/>
        <v>1186,93</v>
      </c>
      <c r="P162" s="79">
        <f>IFERROR(__xludf.DUMMYFUNCTION("""COMPUTED_VALUE"""),45890.0)</f>
        <v>45890</v>
      </c>
      <c r="Q162" s="36">
        <f>IFERROR(__xludf.DUMMYFUNCTION("""COMPUTED_VALUE"""),1324.36)</f>
        <v>1324.36</v>
      </c>
    </row>
    <row r="163">
      <c r="A163" s="86">
        <v>45767.0</v>
      </c>
      <c r="B163" s="20" t="str">
        <f t="shared" si="14"/>
        <v>#N/A</v>
      </c>
      <c r="C163" s="41" t="str">
        <f t="shared" si="15"/>
        <v>#N/A</v>
      </c>
      <c r="M163" s="78">
        <f>IFERROR(__xludf.DUMMYFUNCTION("""COMPUTED_VALUE"""),45656.0)</f>
        <v>45656</v>
      </c>
      <c r="N163" s="74">
        <f>IFERROR(__xludf.DUMMYFUNCTION("""COMPUTED_VALUE"""),1184.16)</f>
        <v>1184.16</v>
      </c>
      <c r="O163" s="74" t="str">
        <f t="shared" si="18"/>
        <v>1184,16</v>
      </c>
      <c r="P163" s="79">
        <f>IFERROR(__xludf.DUMMYFUNCTION("""COMPUTED_VALUE"""),45889.0)</f>
        <v>45889</v>
      </c>
      <c r="Q163" s="36">
        <f>IFERROR(__xludf.DUMMYFUNCTION("""COMPUTED_VALUE"""),1311.61)</f>
        <v>1311.61</v>
      </c>
    </row>
    <row r="164">
      <c r="A164" s="86">
        <v>45766.0</v>
      </c>
      <c r="B164" s="20" t="str">
        <f t="shared" si="14"/>
        <v>#N/A</v>
      </c>
      <c r="C164" s="41" t="str">
        <f t="shared" si="15"/>
        <v>#N/A</v>
      </c>
      <c r="M164" s="78">
        <f>IFERROR(__xludf.DUMMYFUNCTION("""COMPUTED_VALUE"""),45653.0)</f>
        <v>45653</v>
      </c>
      <c r="N164" s="74">
        <f>IFERROR(__xludf.DUMMYFUNCTION("""COMPUTED_VALUE"""),1180.3)</f>
        <v>1180.3</v>
      </c>
      <c r="O164" s="74" t="str">
        <f t="shared" si="18"/>
        <v>1180,3</v>
      </c>
      <c r="P164" s="79">
        <f>IFERROR(__xludf.DUMMYFUNCTION("""COMPUTED_VALUE"""),45888.0)</f>
        <v>45888</v>
      </c>
      <c r="Q164" s="36">
        <f>IFERROR(__xludf.DUMMYFUNCTION("""COMPUTED_VALUE"""),1305.65)</f>
        <v>1305.65</v>
      </c>
    </row>
    <row r="165">
      <c r="A165" s="86">
        <v>45765.0</v>
      </c>
      <c r="B165" s="20">
        <f t="shared" si="14"/>
        <v>1177.11</v>
      </c>
      <c r="C165" s="41">
        <f t="shared" si="15"/>
        <v>0</v>
      </c>
      <c r="M165" s="78">
        <f>IFERROR(__xludf.DUMMYFUNCTION("""COMPUTED_VALUE"""),45652.0)</f>
        <v>45652</v>
      </c>
      <c r="N165" s="74">
        <f>IFERROR(__xludf.DUMMYFUNCTION("""COMPUTED_VALUE"""),1187.62)</f>
        <v>1187.62</v>
      </c>
      <c r="O165" s="74" t="str">
        <f t="shared" si="18"/>
        <v>1187,62</v>
      </c>
      <c r="P165" s="79">
        <f>IFERROR(__xludf.DUMMYFUNCTION("""COMPUTED_VALUE"""),45887.0)</f>
        <v>45887</v>
      </c>
      <c r="Q165" s="36">
        <f>IFERROR(__xludf.DUMMYFUNCTION("""COMPUTED_VALUE"""),1304.0)</f>
        <v>1304</v>
      </c>
    </row>
    <row r="166">
      <c r="A166" s="86">
        <v>45764.0</v>
      </c>
      <c r="B166" s="20">
        <f t="shared" si="14"/>
        <v>1177.11</v>
      </c>
      <c r="C166" s="41">
        <f t="shared" si="15"/>
        <v>0</v>
      </c>
      <c r="M166" s="78">
        <f>IFERROR(__xludf.DUMMYFUNCTION("""COMPUTED_VALUE"""),45651.0)</f>
        <v>45651</v>
      </c>
      <c r="N166" s="74">
        <f>IFERROR(__xludf.DUMMYFUNCTION("""COMPUTED_VALUE"""),1173.62)</f>
        <v>1173.62</v>
      </c>
      <c r="O166" s="74" t="str">
        <f t="shared" si="18"/>
        <v>1173,62</v>
      </c>
      <c r="P166" s="79">
        <f>IFERROR(__xludf.DUMMYFUNCTION("""COMPUTED_VALUE"""),45884.0)</f>
        <v>45884</v>
      </c>
      <c r="Q166" s="36">
        <f>IFERROR(__xludf.DUMMYFUNCTION("""COMPUTED_VALUE"""),1300.74)</f>
        <v>1300.74</v>
      </c>
    </row>
    <row r="167">
      <c r="A167" s="86">
        <v>45763.0</v>
      </c>
      <c r="B167" s="20">
        <f t="shared" si="14"/>
        <v>1177.11</v>
      </c>
      <c r="C167" s="41">
        <f t="shared" si="15"/>
        <v>-0.05512653873</v>
      </c>
      <c r="M167" s="78">
        <f>IFERROR(__xludf.DUMMYFUNCTION("""COMPUTED_VALUE"""),45650.0)</f>
        <v>45650</v>
      </c>
      <c r="N167" s="74">
        <f>IFERROR(__xludf.DUMMYFUNCTION("""COMPUTED_VALUE"""),1174.55)</f>
        <v>1174.55</v>
      </c>
      <c r="O167" s="74" t="str">
        <f t="shared" si="18"/>
        <v>1174,55</v>
      </c>
      <c r="P167" s="79">
        <f>IFERROR(__xludf.DUMMYFUNCTION("""COMPUTED_VALUE"""),45883.0)</f>
        <v>45883</v>
      </c>
      <c r="Q167" s="36">
        <f>IFERROR(__xludf.DUMMYFUNCTION("""COMPUTED_VALUE"""),1310.48)</f>
        <v>1310.48</v>
      </c>
    </row>
    <row r="168">
      <c r="A168" s="86">
        <v>45762.0</v>
      </c>
      <c r="B168" s="20">
        <f t="shared" si="14"/>
        <v>1242</v>
      </c>
      <c r="C168" s="41">
        <f t="shared" si="15"/>
        <v>-0.01130434783</v>
      </c>
      <c r="M168" s="78">
        <f>IFERROR(__xludf.DUMMYFUNCTION("""COMPUTED_VALUE"""),45649.0)</f>
        <v>45649</v>
      </c>
      <c r="N168" s="74">
        <f>IFERROR(__xludf.DUMMYFUNCTION("""COMPUTED_VALUE"""),1166.99)</f>
        <v>1166.99</v>
      </c>
      <c r="O168" s="74" t="str">
        <f t="shared" si="18"/>
        <v>1166,99</v>
      </c>
    </row>
    <row r="169">
      <c r="A169" s="86">
        <v>45761.0</v>
      </c>
      <c r="B169" s="20">
        <f t="shared" si="14"/>
        <v>1256.04</v>
      </c>
      <c r="C169" s="41" t="str">
        <f t="shared" si="15"/>
        <v>#N/A</v>
      </c>
      <c r="M169" s="78">
        <f>IFERROR(__xludf.DUMMYFUNCTION("""COMPUTED_VALUE"""),45646.0)</f>
        <v>45646</v>
      </c>
      <c r="N169" s="74">
        <f>IFERROR(__xludf.DUMMYFUNCTION("""COMPUTED_VALUE"""),1164.65)</f>
        <v>1164.65</v>
      </c>
      <c r="O169" s="74" t="str">
        <f t="shared" si="18"/>
        <v>1164,65</v>
      </c>
    </row>
    <row r="170">
      <c r="A170" s="86">
        <v>45760.0</v>
      </c>
      <c r="B170" s="20" t="str">
        <f t="shared" si="14"/>
        <v>#N/A</v>
      </c>
      <c r="C170" s="41" t="str">
        <f t="shared" si="15"/>
        <v>#N/A</v>
      </c>
      <c r="M170" s="78">
        <f>IFERROR(__xludf.DUMMYFUNCTION("""COMPUTED_VALUE"""),45645.0)</f>
        <v>45645</v>
      </c>
      <c r="N170" s="74">
        <f>IFERROR(__xludf.DUMMYFUNCTION("""COMPUTED_VALUE"""),1157.59)</f>
        <v>1157.59</v>
      </c>
      <c r="O170" s="74" t="str">
        <f t="shared" si="18"/>
        <v>1157,59</v>
      </c>
    </row>
    <row r="171">
      <c r="A171" s="86">
        <v>45759.0</v>
      </c>
      <c r="B171" s="20" t="str">
        <f t="shared" si="14"/>
        <v>#N/A</v>
      </c>
      <c r="C171" s="41" t="str">
        <f t="shared" si="15"/>
        <v>#N/A</v>
      </c>
      <c r="M171" s="78">
        <f>IFERROR(__xludf.DUMMYFUNCTION("""COMPUTED_VALUE"""),45644.0)</f>
        <v>45644</v>
      </c>
      <c r="N171" s="74">
        <f>IFERROR(__xludf.DUMMYFUNCTION("""COMPUTED_VALUE"""),1161.64)</f>
        <v>1161.64</v>
      </c>
      <c r="O171" s="74" t="str">
        <f t="shared" si="18"/>
        <v>1161,64</v>
      </c>
    </row>
    <row r="172">
      <c r="A172" s="86">
        <v>45758.0</v>
      </c>
      <c r="B172" s="20">
        <f t="shared" si="14"/>
        <v>1340.47</v>
      </c>
      <c r="C172" s="41">
        <f t="shared" si="15"/>
        <v>-0.02001536774</v>
      </c>
      <c r="M172" s="78">
        <f>IFERROR(__xludf.DUMMYFUNCTION("""COMPUTED_VALUE"""),45643.0)</f>
        <v>45643</v>
      </c>
      <c r="N172" s="74">
        <f>IFERROR(__xludf.DUMMYFUNCTION("""COMPUTED_VALUE"""),1150.78)</f>
        <v>1150.78</v>
      </c>
      <c r="O172" s="74" t="str">
        <f t="shared" si="18"/>
        <v>1150,78</v>
      </c>
    </row>
    <row r="173">
      <c r="A173" s="86">
        <v>45757.0</v>
      </c>
      <c r="B173" s="20">
        <f t="shared" si="14"/>
        <v>1367.3</v>
      </c>
      <c r="C173" s="41">
        <f t="shared" si="15"/>
        <v>0.01848167922</v>
      </c>
      <c r="M173" s="78">
        <f>IFERROR(__xludf.DUMMYFUNCTION("""COMPUTED_VALUE"""),45642.0)</f>
        <v>45642</v>
      </c>
      <c r="N173" s="74">
        <f>IFERROR(__xludf.DUMMYFUNCTION("""COMPUTED_VALUE"""),1122.06)</f>
        <v>1122.06</v>
      </c>
      <c r="O173" s="74" t="str">
        <f t="shared" si="18"/>
        <v>1122,06</v>
      </c>
    </row>
    <row r="174">
      <c r="A174" s="86">
        <v>45756.0</v>
      </c>
      <c r="B174" s="20">
        <f t="shared" si="14"/>
        <v>1342.03</v>
      </c>
      <c r="C174" s="41">
        <f t="shared" si="15"/>
        <v>-0.0196418858</v>
      </c>
      <c r="M174" s="78">
        <f>IFERROR(__xludf.DUMMYFUNCTION("""COMPUTED_VALUE"""),45639.0)</f>
        <v>45639</v>
      </c>
      <c r="N174" s="74">
        <f>IFERROR(__xludf.DUMMYFUNCTION("""COMPUTED_VALUE"""),1092.37)</f>
        <v>1092.37</v>
      </c>
      <c r="O174" s="74" t="str">
        <f t="shared" si="18"/>
        <v>1092,37</v>
      </c>
    </row>
    <row r="175">
      <c r="A175" s="86">
        <v>45755.0</v>
      </c>
      <c r="B175" s="20">
        <f t="shared" si="14"/>
        <v>1368.39</v>
      </c>
      <c r="C175" s="41">
        <f t="shared" si="15"/>
        <v>0.005948596526</v>
      </c>
      <c r="M175" s="78">
        <f>IFERROR(__xludf.DUMMYFUNCTION("""COMPUTED_VALUE"""),45638.0)</f>
        <v>45638</v>
      </c>
      <c r="N175" s="74">
        <f>IFERROR(__xludf.DUMMYFUNCTION("""COMPUTED_VALUE"""),1066.95)</f>
        <v>1066.95</v>
      </c>
      <c r="O175" s="74" t="str">
        <f t="shared" si="18"/>
        <v>1066,95</v>
      </c>
    </row>
    <row r="176">
      <c r="A176" s="86">
        <v>45754.0</v>
      </c>
      <c r="B176" s="20">
        <f t="shared" si="14"/>
        <v>1360.25</v>
      </c>
      <c r="C176" s="41" t="str">
        <f t="shared" si="15"/>
        <v>#N/A</v>
      </c>
      <c r="M176" s="78">
        <f>IFERROR(__xludf.DUMMYFUNCTION("""COMPUTED_VALUE"""),45637.0)</f>
        <v>45637</v>
      </c>
      <c r="N176" s="74">
        <f>IFERROR(__xludf.DUMMYFUNCTION("""COMPUTED_VALUE"""),1071.43)</f>
        <v>1071.43</v>
      </c>
      <c r="O176" s="74" t="str">
        <f t="shared" si="18"/>
        <v>1071,43</v>
      </c>
    </row>
    <row r="177">
      <c r="A177" s="86">
        <v>45753.0</v>
      </c>
      <c r="B177" s="20" t="str">
        <f t="shared" si="14"/>
        <v>#N/A</v>
      </c>
      <c r="C177" s="41" t="str">
        <f t="shared" si="15"/>
        <v>#N/A</v>
      </c>
      <c r="M177" s="78">
        <f>IFERROR(__xludf.DUMMYFUNCTION("""COMPUTED_VALUE"""),45636.0)</f>
        <v>45636</v>
      </c>
      <c r="N177" s="74">
        <f>IFERROR(__xludf.DUMMYFUNCTION("""COMPUTED_VALUE"""),1076.4)</f>
        <v>1076.4</v>
      </c>
      <c r="O177" s="74" t="str">
        <f t="shared" si="18"/>
        <v>1076,4</v>
      </c>
    </row>
    <row r="178">
      <c r="A178" s="86">
        <v>45752.0</v>
      </c>
      <c r="B178" s="20" t="str">
        <f t="shared" si="14"/>
        <v>#N/A</v>
      </c>
      <c r="C178" s="41" t="str">
        <f t="shared" si="15"/>
        <v>#N/A</v>
      </c>
      <c r="M178" s="78">
        <f>IFERROR(__xludf.DUMMYFUNCTION("""COMPUTED_VALUE"""),45635.0)</f>
        <v>45635</v>
      </c>
      <c r="N178" s="74">
        <f>IFERROR(__xludf.DUMMYFUNCTION("""COMPUTED_VALUE"""),1071.43)</f>
        <v>1071.43</v>
      </c>
      <c r="O178" s="74" t="str">
        <f t="shared" si="18"/>
        <v>1071,43</v>
      </c>
    </row>
    <row r="179">
      <c r="A179" s="86">
        <v>45751.0</v>
      </c>
      <c r="B179" s="20">
        <f t="shared" si="14"/>
        <v>1337.05</v>
      </c>
      <c r="C179" s="41">
        <f t="shared" si="15"/>
        <v>0.01247522531</v>
      </c>
      <c r="M179" s="78">
        <f>IFERROR(__xludf.DUMMYFUNCTION("""COMPUTED_VALUE"""),45632.0)</f>
        <v>45632</v>
      </c>
      <c r="N179" s="74">
        <f>IFERROR(__xludf.DUMMYFUNCTION("""COMPUTED_VALUE"""),1074.2)</f>
        <v>1074.2</v>
      </c>
      <c r="O179" s="74" t="str">
        <f t="shared" si="18"/>
        <v>1074,2</v>
      </c>
    </row>
    <row r="180">
      <c r="A180" s="86">
        <v>45750.0</v>
      </c>
      <c r="B180" s="20">
        <f t="shared" si="14"/>
        <v>1320.37</v>
      </c>
      <c r="C180" s="41">
        <f t="shared" si="15"/>
        <v>0.009429175155</v>
      </c>
      <c r="M180" s="78">
        <f>IFERROR(__xludf.DUMMYFUNCTION("""COMPUTED_VALUE"""),45631.0)</f>
        <v>45631</v>
      </c>
      <c r="N180" s="74">
        <f>IFERROR(__xludf.DUMMYFUNCTION("""COMPUTED_VALUE"""),1086.87)</f>
        <v>1086.87</v>
      </c>
      <c r="O180" s="74" t="str">
        <f t="shared" si="18"/>
        <v>1086,87</v>
      </c>
    </row>
    <row r="181">
      <c r="A181" s="86">
        <v>45749.0</v>
      </c>
      <c r="B181" s="20">
        <f t="shared" si="14"/>
        <v>1307.92</v>
      </c>
      <c r="C181" s="41">
        <f t="shared" si="15"/>
        <v>0</v>
      </c>
      <c r="M181" s="78">
        <f>IFERROR(__xludf.DUMMYFUNCTION("""COMPUTED_VALUE"""),45630.0)</f>
        <v>45630</v>
      </c>
      <c r="N181" s="74">
        <f>IFERROR(__xludf.DUMMYFUNCTION("""COMPUTED_VALUE"""),1102.79)</f>
        <v>1102.79</v>
      </c>
      <c r="O181" s="74" t="str">
        <f t="shared" si="18"/>
        <v>1102,79</v>
      </c>
    </row>
    <row r="182">
      <c r="A182" s="86">
        <v>45748.0</v>
      </c>
      <c r="B182" s="20">
        <f t="shared" si="14"/>
        <v>1307.92</v>
      </c>
      <c r="C182" s="41">
        <f t="shared" si="15"/>
        <v>-0.008823169613</v>
      </c>
      <c r="M182" s="78">
        <f>IFERROR(__xludf.DUMMYFUNCTION("""COMPUTED_VALUE"""),45629.0)</f>
        <v>45629</v>
      </c>
      <c r="N182" s="74">
        <f>IFERROR(__xludf.DUMMYFUNCTION("""COMPUTED_VALUE"""),1105.92)</f>
        <v>1105.92</v>
      </c>
      <c r="O182" s="74" t="str">
        <f t="shared" si="18"/>
        <v>1105,92</v>
      </c>
    </row>
    <row r="183">
      <c r="A183" s="86">
        <v>45747.0</v>
      </c>
      <c r="B183" s="20">
        <f t="shared" si="14"/>
        <v>1319.46</v>
      </c>
      <c r="C183" s="41" t="str">
        <f t="shared" si="15"/>
        <v>#N/A</v>
      </c>
      <c r="M183" s="78">
        <f>IFERROR(__xludf.DUMMYFUNCTION("""COMPUTED_VALUE"""),45628.0)</f>
        <v>45628</v>
      </c>
      <c r="N183" s="74">
        <f>IFERROR(__xludf.DUMMYFUNCTION("""COMPUTED_VALUE"""),1097.69)</f>
        <v>1097.69</v>
      </c>
      <c r="O183" s="74" t="str">
        <f t="shared" si="18"/>
        <v>1097,69</v>
      </c>
    </row>
    <row r="184">
      <c r="A184" s="86">
        <v>45746.0</v>
      </c>
      <c r="B184" s="20" t="str">
        <f t="shared" si="14"/>
        <v>#N/A</v>
      </c>
      <c r="C184" s="41" t="str">
        <f t="shared" si="15"/>
        <v>#N/A</v>
      </c>
      <c r="M184" s="78">
        <f>IFERROR(__xludf.DUMMYFUNCTION("""COMPUTED_VALUE"""),45625.0)</f>
        <v>45625</v>
      </c>
      <c r="N184" s="74">
        <f>IFERROR(__xludf.DUMMYFUNCTION("""COMPUTED_VALUE"""),1109.33)</f>
        <v>1109.33</v>
      </c>
      <c r="O184" s="74" t="str">
        <f t="shared" si="18"/>
        <v>1109,33</v>
      </c>
    </row>
    <row r="185">
      <c r="A185" s="86">
        <v>45745.0</v>
      </c>
      <c r="B185" s="20" t="str">
        <f t="shared" si="14"/>
        <v>#N/A</v>
      </c>
      <c r="C185" s="41" t="str">
        <f t="shared" si="15"/>
        <v>#N/A</v>
      </c>
      <c r="M185" s="78">
        <f>IFERROR(__xludf.DUMMYFUNCTION("""COMPUTED_VALUE"""),45624.0)</f>
        <v>45624</v>
      </c>
      <c r="N185" s="74">
        <f>IFERROR(__xludf.DUMMYFUNCTION("""COMPUTED_VALUE"""),1107.79)</f>
        <v>1107.79</v>
      </c>
      <c r="O185" s="74" t="str">
        <f t="shared" si="18"/>
        <v>1107,79</v>
      </c>
    </row>
    <row r="186">
      <c r="A186" s="86">
        <v>45744.0</v>
      </c>
      <c r="B186" s="20">
        <f t="shared" si="14"/>
        <v>1309.15</v>
      </c>
      <c r="C186" s="41">
        <f t="shared" si="15"/>
        <v>0.007928808769</v>
      </c>
      <c r="M186" s="78">
        <f>IFERROR(__xludf.DUMMYFUNCTION("""COMPUTED_VALUE"""),45623.0)</f>
        <v>45623</v>
      </c>
      <c r="N186" s="74">
        <f>IFERROR(__xludf.DUMMYFUNCTION("""COMPUTED_VALUE"""),1104.91)</f>
        <v>1104.91</v>
      </c>
      <c r="O186" s="74" t="str">
        <f t="shared" si="18"/>
        <v>1104,91</v>
      </c>
    </row>
    <row r="187">
      <c r="A187" s="86">
        <v>45743.0</v>
      </c>
      <c r="B187" s="20">
        <f t="shared" si="14"/>
        <v>1298.77</v>
      </c>
      <c r="C187" s="41">
        <f t="shared" si="15"/>
        <v>-0.0006621649715</v>
      </c>
      <c r="M187" s="78">
        <f>IFERROR(__xludf.DUMMYFUNCTION("""COMPUTED_VALUE"""),45622.0)</f>
        <v>45622</v>
      </c>
      <c r="N187" s="74">
        <f>IFERROR(__xludf.DUMMYFUNCTION("""COMPUTED_VALUE"""),1107.58)</f>
        <v>1107.58</v>
      </c>
      <c r="O187" s="74" t="str">
        <f t="shared" si="18"/>
        <v>1107,58</v>
      </c>
    </row>
    <row r="188">
      <c r="A188" s="86">
        <v>45742.0</v>
      </c>
      <c r="B188" s="20">
        <f t="shared" si="14"/>
        <v>1299.63</v>
      </c>
      <c r="C188" s="41">
        <f t="shared" si="15"/>
        <v>0.001985180397</v>
      </c>
      <c r="M188" s="78">
        <f>IFERROR(__xludf.DUMMYFUNCTION("""COMPUTED_VALUE"""),45621.0)</f>
        <v>45621</v>
      </c>
      <c r="N188" s="74">
        <f>IFERROR(__xludf.DUMMYFUNCTION("""COMPUTED_VALUE"""),1110.11)</f>
        <v>1110.11</v>
      </c>
      <c r="O188" s="74" t="str">
        <f t="shared" si="18"/>
        <v>1110,11</v>
      </c>
    </row>
    <row r="189">
      <c r="A189" s="86">
        <v>45741.0</v>
      </c>
      <c r="B189" s="20">
        <f t="shared" si="14"/>
        <v>1297.05</v>
      </c>
      <c r="C189" s="41">
        <f t="shared" si="15"/>
        <v>0.007786901045</v>
      </c>
      <c r="M189" s="78">
        <f>IFERROR(__xludf.DUMMYFUNCTION("""COMPUTED_VALUE"""),45618.0)</f>
        <v>45618</v>
      </c>
      <c r="N189" s="74">
        <f>IFERROR(__xludf.DUMMYFUNCTION("""COMPUTED_VALUE"""),1106.07)</f>
        <v>1106.07</v>
      </c>
      <c r="O189" s="74" t="str">
        <f t="shared" si="18"/>
        <v>1106,07</v>
      </c>
    </row>
    <row r="190">
      <c r="A190" s="86">
        <v>45740.0</v>
      </c>
      <c r="B190" s="20">
        <f t="shared" si="14"/>
        <v>1286.95</v>
      </c>
      <c r="C190" s="41" t="str">
        <f t="shared" si="15"/>
        <v>#N/A</v>
      </c>
      <c r="M190" s="78">
        <f>IFERROR(__xludf.DUMMYFUNCTION("""COMPUTED_VALUE"""),45617.0)</f>
        <v>45617</v>
      </c>
      <c r="N190" s="74">
        <f>IFERROR(__xludf.DUMMYFUNCTION("""COMPUTED_VALUE"""),1111.24)</f>
        <v>1111.24</v>
      </c>
      <c r="O190" s="74" t="str">
        <f t="shared" si="18"/>
        <v>1111,24</v>
      </c>
    </row>
    <row r="191">
      <c r="A191" s="86">
        <v>45739.0</v>
      </c>
      <c r="B191" s="20" t="str">
        <f t="shared" si="14"/>
        <v>#N/A</v>
      </c>
      <c r="C191" s="41" t="str">
        <f t="shared" si="15"/>
        <v>#N/A</v>
      </c>
      <c r="M191" s="78">
        <f>IFERROR(__xludf.DUMMYFUNCTION("""COMPUTED_VALUE"""),45616.0)</f>
        <v>45616</v>
      </c>
      <c r="N191" s="74">
        <f>IFERROR(__xludf.DUMMYFUNCTION("""COMPUTED_VALUE"""),1111.38)</f>
        <v>1111.38</v>
      </c>
      <c r="O191" s="74" t="str">
        <f t="shared" si="18"/>
        <v>1111,38</v>
      </c>
    </row>
    <row r="192">
      <c r="A192" s="86">
        <v>45738.0</v>
      </c>
      <c r="B192" s="20" t="str">
        <f t="shared" si="14"/>
        <v>#N/A</v>
      </c>
      <c r="C192" s="41" t="str">
        <f t="shared" si="15"/>
        <v>#N/A</v>
      </c>
      <c r="M192" s="78">
        <f>IFERROR(__xludf.DUMMYFUNCTION("""COMPUTED_VALUE"""),45615.0)</f>
        <v>45615</v>
      </c>
      <c r="N192" s="74">
        <f>IFERROR(__xludf.DUMMYFUNCTION("""COMPUTED_VALUE"""),1106.27)</f>
        <v>1106.27</v>
      </c>
      <c r="O192" s="74" t="str">
        <f t="shared" si="18"/>
        <v>1106,27</v>
      </c>
    </row>
    <row r="193">
      <c r="A193" s="86">
        <v>45737.0</v>
      </c>
      <c r="B193" s="20">
        <f t="shared" si="14"/>
        <v>1286.95</v>
      </c>
      <c r="C193" s="41">
        <f t="shared" si="15"/>
        <v>0.002377714752</v>
      </c>
      <c r="M193" s="78">
        <f>IFERROR(__xludf.DUMMYFUNCTION("""COMPUTED_VALUE"""),45614.0)</f>
        <v>45614</v>
      </c>
      <c r="N193" s="74">
        <f>IFERROR(__xludf.DUMMYFUNCTION("""COMPUTED_VALUE"""),1134.15)</f>
        <v>1134.15</v>
      </c>
      <c r="O193" s="74" t="str">
        <f t="shared" si="18"/>
        <v>1134,15</v>
      </c>
    </row>
    <row r="194">
      <c r="A194" s="86">
        <v>45736.0</v>
      </c>
      <c r="B194" s="20">
        <f t="shared" si="14"/>
        <v>1283.89</v>
      </c>
      <c r="C194" s="41">
        <f t="shared" si="15"/>
        <v>-0.006207696921</v>
      </c>
      <c r="M194" s="78">
        <f>IFERROR(__xludf.DUMMYFUNCTION("""COMPUTED_VALUE"""),45611.0)</f>
        <v>45611</v>
      </c>
      <c r="N194" s="74">
        <f>IFERROR(__xludf.DUMMYFUNCTION("""COMPUTED_VALUE"""),1136.64)</f>
        <v>1136.64</v>
      </c>
      <c r="O194" s="74" t="str">
        <f t="shared" si="18"/>
        <v>1136,64</v>
      </c>
    </row>
    <row r="195">
      <c r="A195" s="86">
        <v>45735.0</v>
      </c>
      <c r="B195" s="20">
        <f t="shared" si="14"/>
        <v>1291.86</v>
      </c>
      <c r="C195" s="41">
        <f t="shared" si="15"/>
        <v>-0.005534655458</v>
      </c>
      <c r="M195" s="78">
        <f>IFERROR(__xludf.DUMMYFUNCTION("""COMPUTED_VALUE"""),45610.0)</f>
        <v>45610</v>
      </c>
      <c r="N195" s="74">
        <f>IFERROR(__xludf.DUMMYFUNCTION("""COMPUTED_VALUE"""),1157.72)</f>
        <v>1157.72</v>
      </c>
      <c r="O195" s="74" t="str">
        <f t="shared" si="18"/>
        <v>1157,72</v>
      </c>
    </row>
    <row r="196">
      <c r="A196" s="86">
        <v>45734.0</v>
      </c>
      <c r="B196" s="20">
        <f t="shared" si="14"/>
        <v>1299.01</v>
      </c>
      <c r="C196" s="41">
        <f t="shared" si="15"/>
        <v>0.03388734498</v>
      </c>
      <c r="M196" s="78">
        <f>IFERROR(__xludf.DUMMYFUNCTION("""COMPUTED_VALUE"""),45609.0)</f>
        <v>45609</v>
      </c>
      <c r="N196" s="74">
        <f>IFERROR(__xludf.DUMMYFUNCTION("""COMPUTED_VALUE"""),1155.92)</f>
        <v>1155.92</v>
      </c>
      <c r="O196" s="74" t="str">
        <f t="shared" si="18"/>
        <v>1155,92</v>
      </c>
    </row>
    <row r="197">
      <c r="A197" s="86">
        <v>45733.0</v>
      </c>
      <c r="B197" s="20">
        <f t="shared" si="14"/>
        <v>1254.99</v>
      </c>
      <c r="C197" s="41" t="str">
        <f t="shared" si="15"/>
        <v>#N/A</v>
      </c>
      <c r="M197" s="78">
        <f>IFERROR(__xludf.DUMMYFUNCTION("""COMPUTED_VALUE"""),45608.0)</f>
        <v>45608</v>
      </c>
      <c r="N197" s="74">
        <f>IFERROR(__xludf.DUMMYFUNCTION("""COMPUTED_VALUE"""),1163.39)</f>
        <v>1163.39</v>
      </c>
      <c r="O197" s="74" t="str">
        <f t="shared" si="18"/>
        <v>1163,39</v>
      </c>
    </row>
    <row r="198">
      <c r="A198" s="86">
        <v>45732.0</v>
      </c>
      <c r="B198" s="20" t="str">
        <f t="shared" si="14"/>
        <v>#N/A</v>
      </c>
      <c r="C198" s="41" t="str">
        <f t="shared" si="15"/>
        <v>#N/A</v>
      </c>
      <c r="M198" s="78">
        <f>IFERROR(__xludf.DUMMYFUNCTION("""COMPUTED_VALUE"""),45607.0)</f>
        <v>45607</v>
      </c>
      <c r="N198" s="74">
        <f>IFERROR(__xludf.DUMMYFUNCTION("""COMPUTED_VALUE"""),1163.39)</f>
        <v>1163.39</v>
      </c>
      <c r="O198" s="74" t="str">
        <f t="shared" si="18"/>
        <v>1163,39</v>
      </c>
    </row>
    <row r="199">
      <c r="A199" s="86">
        <v>45731.0</v>
      </c>
      <c r="B199" s="20" t="str">
        <f t="shared" si="14"/>
        <v>#N/A</v>
      </c>
      <c r="C199" s="41" t="str">
        <f t="shared" si="15"/>
        <v>#N/A</v>
      </c>
      <c r="M199" s="78">
        <f>IFERROR(__xludf.DUMMYFUNCTION("""COMPUTED_VALUE"""),45604.0)</f>
        <v>45604</v>
      </c>
      <c r="N199" s="74">
        <f>IFERROR(__xludf.DUMMYFUNCTION("""COMPUTED_VALUE"""),1158.29)</f>
        <v>1158.29</v>
      </c>
      <c r="O199" s="74" t="str">
        <f t="shared" si="18"/>
        <v>1158,29</v>
      </c>
    </row>
    <row r="200">
      <c r="A200" s="86">
        <v>45730.0</v>
      </c>
      <c r="B200" s="20">
        <f t="shared" si="14"/>
        <v>1239.88</v>
      </c>
      <c r="C200" s="41">
        <f t="shared" si="15"/>
        <v>0.005161789851</v>
      </c>
      <c r="M200" s="78">
        <f>IFERROR(__xludf.DUMMYFUNCTION("""COMPUTED_VALUE"""),45603.0)</f>
        <v>45603</v>
      </c>
      <c r="N200" s="74">
        <f>IFERROR(__xludf.DUMMYFUNCTION("""COMPUTED_VALUE"""),1164.25)</f>
        <v>1164.25</v>
      </c>
      <c r="O200" s="74" t="str">
        <f t="shared" si="18"/>
        <v>1164,25</v>
      </c>
    </row>
    <row r="201">
      <c r="A201" s="86">
        <v>45729.0</v>
      </c>
      <c r="B201" s="20">
        <f t="shared" si="14"/>
        <v>1233.48</v>
      </c>
      <c r="C201" s="41">
        <f t="shared" si="15"/>
        <v>0.003121250446</v>
      </c>
      <c r="M201" s="78">
        <f>IFERROR(__xludf.DUMMYFUNCTION("""COMPUTED_VALUE"""),45602.0)</f>
        <v>45602</v>
      </c>
      <c r="N201" s="74">
        <f>IFERROR(__xludf.DUMMYFUNCTION("""COMPUTED_VALUE"""),1168.59)</f>
        <v>1168.59</v>
      </c>
      <c r="O201" s="74" t="str">
        <f t="shared" si="18"/>
        <v>1168,59</v>
      </c>
    </row>
    <row r="202">
      <c r="A202" s="86">
        <v>45728.0</v>
      </c>
      <c r="B202" s="20">
        <f t="shared" si="14"/>
        <v>1229.63</v>
      </c>
      <c r="C202" s="41">
        <f t="shared" si="15"/>
        <v>0.002610541382</v>
      </c>
      <c r="M202" s="78">
        <f>IFERROR(__xludf.DUMMYFUNCTION("""COMPUTED_VALUE"""),45601.0)</f>
        <v>45601</v>
      </c>
      <c r="N202" s="74">
        <f>IFERROR(__xludf.DUMMYFUNCTION("""COMPUTED_VALUE"""),1181.83)</f>
        <v>1181.83</v>
      </c>
      <c r="O202" s="74" t="str">
        <f t="shared" si="18"/>
        <v>1181,83</v>
      </c>
    </row>
    <row r="203">
      <c r="A203" s="86">
        <v>45727.0</v>
      </c>
      <c r="B203" s="20">
        <f t="shared" si="14"/>
        <v>1226.42</v>
      </c>
      <c r="C203" s="41">
        <f t="shared" si="15"/>
        <v>-0.004248136854</v>
      </c>
      <c r="M203" s="78">
        <f>IFERROR(__xludf.DUMMYFUNCTION("""COMPUTED_VALUE"""),45600.0)</f>
        <v>45600</v>
      </c>
      <c r="N203" s="74">
        <f>IFERROR(__xludf.DUMMYFUNCTION("""COMPUTED_VALUE"""),1178.76)</f>
        <v>1178.76</v>
      </c>
      <c r="O203" s="74" t="str">
        <f t="shared" si="18"/>
        <v>1178,76</v>
      </c>
    </row>
    <row r="204">
      <c r="A204" s="86">
        <v>45726.0</v>
      </c>
      <c r="B204" s="20">
        <f t="shared" si="14"/>
        <v>1231.63</v>
      </c>
      <c r="C204" s="41" t="str">
        <f t="shared" si="15"/>
        <v>#N/A</v>
      </c>
      <c r="M204" s="78">
        <f>IFERROR(__xludf.DUMMYFUNCTION("""COMPUTED_VALUE"""),45597.0)</f>
        <v>45597</v>
      </c>
      <c r="N204" s="74">
        <f>IFERROR(__xludf.DUMMYFUNCTION("""COMPUTED_VALUE"""),1177.29)</f>
        <v>1177.29</v>
      </c>
      <c r="O204" s="74" t="str">
        <f t="shared" si="18"/>
        <v>1177,29</v>
      </c>
    </row>
    <row r="205">
      <c r="A205" s="86">
        <v>45725.0</v>
      </c>
      <c r="B205" s="20" t="str">
        <f t="shared" si="14"/>
        <v>#N/A</v>
      </c>
      <c r="C205" s="41" t="str">
        <f t="shared" si="15"/>
        <v>#N/A</v>
      </c>
      <c r="M205" s="78">
        <f>IFERROR(__xludf.DUMMYFUNCTION("""COMPUTED_VALUE"""),45596.0)</f>
        <v>45596</v>
      </c>
      <c r="N205" s="74">
        <f>IFERROR(__xludf.DUMMYFUNCTION("""COMPUTED_VALUE"""),1158.12)</f>
        <v>1158.12</v>
      </c>
      <c r="O205" s="74" t="str">
        <f t="shared" si="18"/>
        <v>1158,12</v>
      </c>
    </row>
    <row r="206">
      <c r="A206" s="86">
        <v>45724.0</v>
      </c>
      <c r="B206" s="20" t="str">
        <f t="shared" si="14"/>
        <v>#N/A</v>
      </c>
      <c r="C206" s="41" t="str">
        <f t="shared" si="15"/>
        <v>#N/A</v>
      </c>
      <c r="M206" s="78">
        <f>IFERROR(__xludf.DUMMYFUNCTION("""COMPUTED_VALUE"""),45595.0)</f>
        <v>45595</v>
      </c>
      <c r="N206" s="74">
        <f>IFERROR(__xludf.DUMMYFUNCTION("""COMPUTED_VALUE"""),1158.6)</f>
        <v>1158.6</v>
      </c>
      <c r="O206" s="74" t="str">
        <f t="shared" si="18"/>
        <v>1158,6</v>
      </c>
    </row>
    <row r="207">
      <c r="A207" s="86">
        <v>45723.0</v>
      </c>
      <c r="B207" s="20">
        <f t="shared" si="14"/>
        <v>1219.73</v>
      </c>
      <c r="C207" s="41">
        <f t="shared" si="15"/>
        <v>-0.006493240307</v>
      </c>
      <c r="M207" s="78">
        <f>IFERROR(__xludf.DUMMYFUNCTION("""COMPUTED_VALUE"""),45594.0)</f>
        <v>45594</v>
      </c>
      <c r="N207" s="74">
        <f>IFERROR(__xludf.DUMMYFUNCTION("""COMPUTED_VALUE"""),1154.9)</f>
        <v>1154.9</v>
      </c>
      <c r="O207" s="74" t="str">
        <f t="shared" si="18"/>
        <v>1154,9</v>
      </c>
    </row>
    <row r="208">
      <c r="A208" s="86">
        <v>45722.0</v>
      </c>
      <c r="B208" s="20">
        <f t="shared" si="14"/>
        <v>1227.65</v>
      </c>
      <c r="C208" s="41">
        <f t="shared" si="15"/>
        <v>-0.01123284324</v>
      </c>
      <c r="M208" s="78">
        <f>IFERROR(__xludf.DUMMYFUNCTION("""COMPUTED_VALUE"""),45593.0)</f>
        <v>45593</v>
      </c>
      <c r="N208" s="74">
        <f>IFERROR(__xludf.DUMMYFUNCTION("""COMPUTED_VALUE"""),1154.77)</f>
        <v>1154.77</v>
      </c>
      <c r="O208" s="74" t="str">
        <f t="shared" si="18"/>
        <v>1154,77</v>
      </c>
    </row>
    <row r="209">
      <c r="A209" s="86">
        <v>45721.0</v>
      </c>
      <c r="B209" s="20">
        <f t="shared" si="14"/>
        <v>1241.44</v>
      </c>
      <c r="C209" s="41">
        <f t="shared" si="15"/>
        <v>0.01728637711</v>
      </c>
      <c r="M209" s="78">
        <f>IFERROR(__xludf.DUMMYFUNCTION("""COMPUTED_VALUE"""),45590.0)</f>
        <v>45590</v>
      </c>
      <c r="N209" s="74">
        <f>IFERROR(__xludf.DUMMYFUNCTION("""COMPUTED_VALUE"""),1163.53)</f>
        <v>1163.53</v>
      </c>
      <c r="O209" s="74" t="str">
        <f t="shared" si="18"/>
        <v>1163,53</v>
      </c>
    </row>
    <row r="210">
      <c r="A210" s="86">
        <v>45720.0</v>
      </c>
      <c r="B210" s="20">
        <f t="shared" si="14"/>
        <v>1219.98</v>
      </c>
      <c r="C210" s="41">
        <f t="shared" si="15"/>
        <v>0</v>
      </c>
      <c r="M210" s="78">
        <f>IFERROR(__xludf.DUMMYFUNCTION("""COMPUTED_VALUE"""),45589.0)</f>
        <v>45589</v>
      </c>
      <c r="N210" s="74">
        <f>IFERROR(__xludf.DUMMYFUNCTION("""COMPUTED_VALUE"""),1179.6)</f>
        <v>1179.6</v>
      </c>
      <c r="O210" s="74" t="str">
        <f t="shared" si="18"/>
        <v>1179,6</v>
      </c>
    </row>
    <row r="211">
      <c r="A211" s="86">
        <v>45719.0</v>
      </c>
      <c r="B211" s="20">
        <f t="shared" si="14"/>
        <v>1219.98</v>
      </c>
      <c r="C211" s="41" t="str">
        <f t="shared" si="15"/>
        <v>#N/A</v>
      </c>
      <c r="M211" s="78">
        <f>IFERROR(__xludf.DUMMYFUNCTION("""COMPUTED_VALUE"""),45588.0)</f>
        <v>45588</v>
      </c>
      <c r="N211" s="74">
        <f>IFERROR(__xludf.DUMMYFUNCTION("""COMPUTED_VALUE"""),1183.91)</f>
        <v>1183.91</v>
      </c>
      <c r="O211" s="74" t="str">
        <f t="shared" si="18"/>
        <v>1183,91</v>
      </c>
    </row>
    <row r="212">
      <c r="A212" s="86">
        <v>45718.0</v>
      </c>
      <c r="B212" s="20" t="str">
        <f t="shared" si="14"/>
        <v>#N/A</v>
      </c>
      <c r="C212" s="41" t="str">
        <f t="shared" si="15"/>
        <v>#N/A</v>
      </c>
      <c r="M212" s="78">
        <f>IFERROR(__xludf.DUMMYFUNCTION("""COMPUTED_VALUE"""),45587.0)</f>
        <v>45587</v>
      </c>
      <c r="N212" s="74">
        <f>IFERROR(__xludf.DUMMYFUNCTION("""COMPUTED_VALUE"""),1194.93)</f>
        <v>1194.93</v>
      </c>
      <c r="O212" s="74" t="str">
        <f t="shared" si="18"/>
        <v>1194,93</v>
      </c>
    </row>
    <row r="213">
      <c r="A213" s="86">
        <v>45717.0</v>
      </c>
      <c r="B213" s="20" t="str">
        <f t="shared" si="14"/>
        <v>#N/A</v>
      </c>
      <c r="C213" s="41" t="str">
        <f t="shared" si="15"/>
        <v>#N/A</v>
      </c>
      <c r="M213" s="78">
        <f>IFERROR(__xludf.DUMMYFUNCTION("""COMPUTED_VALUE"""),45586.0)</f>
        <v>45586</v>
      </c>
      <c r="N213" s="74">
        <f>IFERROR(__xludf.DUMMYFUNCTION("""COMPUTED_VALUE"""),1194.93)</f>
        <v>1194.93</v>
      </c>
      <c r="O213" s="74" t="str">
        <f t="shared" si="18"/>
        <v>1194,93</v>
      </c>
    </row>
    <row r="214">
      <c r="A214" s="86">
        <v>45716.0</v>
      </c>
      <c r="B214" s="20">
        <f t="shared" si="14"/>
        <v>1219.98</v>
      </c>
      <c r="C214" s="41">
        <f t="shared" si="15"/>
        <v>-0.003352513976</v>
      </c>
      <c r="M214" s="78">
        <f>IFERROR(__xludf.DUMMYFUNCTION("""COMPUTED_VALUE"""),45583.0)</f>
        <v>45583</v>
      </c>
      <c r="N214" s="74">
        <f>IFERROR(__xludf.DUMMYFUNCTION("""COMPUTED_VALUE"""),1194.62)</f>
        <v>1194.62</v>
      </c>
      <c r="O214" s="74" t="str">
        <f t="shared" si="18"/>
        <v>1194,62</v>
      </c>
    </row>
    <row r="215">
      <c r="A215" s="86">
        <v>45715.0</v>
      </c>
      <c r="B215" s="20">
        <f t="shared" si="14"/>
        <v>1224.07</v>
      </c>
      <c r="C215" s="41">
        <f t="shared" si="15"/>
        <v>0.003333142712</v>
      </c>
      <c r="M215" s="78">
        <f>IFERROR(__xludf.DUMMYFUNCTION("""COMPUTED_VALUE"""),45582.0)</f>
        <v>45582</v>
      </c>
      <c r="N215" s="74">
        <f>IFERROR(__xludf.DUMMYFUNCTION("""COMPUTED_VALUE"""),1192.86)</f>
        <v>1192.86</v>
      </c>
      <c r="O215" s="74" t="str">
        <f t="shared" si="18"/>
        <v>1192,86</v>
      </c>
    </row>
    <row r="216">
      <c r="A216" s="86">
        <v>45714.0</v>
      </c>
      <c r="B216" s="20">
        <f t="shared" si="14"/>
        <v>1219.99</v>
      </c>
      <c r="C216" s="41">
        <f t="shared" si="15"/>
        <v>0.009655816851</v>
      </c>
      <c r="M216" s="78">
        <f>IFERROR(__xludf.DUMMYFUNCTION("""COMPUTED_VALUE"""),45581.0)</f>
        <v>45581</v>
      </c>
      <c r="N216" s="74">
        <f>IFERROR(__xludf.DUMMYFUNCTION("""COMPUTED_VALUE"""),1190.81)</f>
        <v>1190.81</v>
      </c>
      <c r="O216" s="74" t="str">
        <f t="shared" si="18"/>
        <v>1190,81</v>
      </c>
    </row>
    <row r="217">
      <c r="A217" s="86">
        <v>45713.0</v>
      </c>
      <c r="B217" s="20">
        <f t="shared" si="14"/>
        <v>1208.21</v>
      </c>
      <c r="C217" s="41">
        <f t="shared" si="15"/>
        <v>-0.004096969898</v>
      </c>
      <c r="M217" s="78">
        <f>IFERROR(__xludf.DUMMYFUNCTION("""COMPUTED_VALUE"""),45580.0)</f>
        <v>45580</v>
      </c>
      <c r="N217" s="74">
        <f>IFERROR(__xludf.DUMMYFUNCTION("""COMPUTED_VALUE"""),1179.48)</f>
        <v>1179.48</v>
      </c>
      <c r="O217" s="74" t="str">
        <f t="shared" si="18"/>
        <v>1179,48</v>
      </c>
    </row>
    <row r="218">
      <c r="A218" s="86">
        <v>45712.0</v>
      </c>
      <c r="B218" s="20">
        <f t="shared" si="14"/>
        <v>1213.16</v>
      </c>
      <c r="C218" s="41" t="str">
        <f t="shared" si="15"/>
        <v>#N/A</v>
      </c>
      <c r="M218" s="78">
        <f>IFERROR(__xludf.DUMMYFUNCTION("""COMPUTED_VALUE"""),45579.0)</f>
        <v>45579</v>
      </c>
      <c r="N218" s="74">
        <f>IFERROR(__xludf.DUMMYFUNCTION("""COMPUTED_VALUE"""),1181.42)</f>
        <v>1181.42</v>
      </c>
      <c r="O218" s="74" t="str">
        <f t="shared" si="18"/>
        <v>1181,42</v>
      </c>
    </row>
    <row r="219">
      <c r="A219" s="86">
        <v>45711.0</v>
      </c>
      <c r="B219" s="20" t="str">
        <f t="shared" si="14"/>
        <v>#N/A</v>
      </c>
      <c r="C219" s="41" t="str">
        <f t="shared" si="15"/>
        <v>#N/A</v>
      </c>
      <c r="M219" s="78">
        <f>IFERROR(__xludf.DUMMYFUNCTION("""COMPUTED_VALUE"""),45576.0)</f>
        <v>45576</v>
      </c>
      <c r="N219" s="74">
        <f>IFERROR(__xludf.DUMMYFUNCTION("""COMPUTED_VALUE"""),1176.9)</f>
        <v>1176.9</v>
      </c>
      <c r="O219" s="74" t="str">
        <f t="shared" si="18"/>
        <v>1176,9</v>
      </c>
    </row>
    <row r="220">
      <c r="A220" s="86">
        <v>45710.0</v>
      </c>
      <c r="B220" s="20" t="str">
        <f t="shared" si="14"/>
        <v>#N/A</v>
      </c>
      <c r="C220" s="41" t="str">
        <f t="shared" si="15"/>
        <v>#N/A</v>
      </c>
      <c r="M220" s="78">
        <f>IFERROR(__xludf.DUMMYFUNCTION("""COMPUTED_VALUE"""),45575.0)</f>
        <v>45575</v>
      </c>
      <c r="N220" s="74">
        <f>IFERROR(__xludf.DUMMYFUNCTION("""COMPUTED_VALUE"""),1177.07)</f>
        <v>1177.07</v>
      </c>
      <c r="O220" s="74" t="str">
        <f t="shared" si="18"/>
        <v>1177,07</v>
      </c>
    </row>
    <row r="221">
      <c r="A221" s="86">
        <v>45709.0</v>
      </c>
      <c r="B221" s="20">
        <f t="shared" si="14"/>
        <v>1218.15</v>
      </c>
      <c r="C221" s="41">
        <f t="shared" si="15"/>
        <v>0.002782908509</v>
      </c>
      <c r="M221" s="78">
        <f>IFERROR(__xludf.DUMMYFUNCTION("""COMPUTED_VALUE"""),45574.0)</f>
        <v>45574</v>
      </c>
      <c r="N221" s="74">
        <f>IFERROR(__xludf.DUMMYFUNCTION("""COMPUTED_VALUE"""),1191.42)</f>
        <v>1191.42</v>
      </c>
      <c r="O221" s="74" t="str">
        <f t="shared" si="18"/>
        <v>1191,42</v>
      </c>
    </row>
    <row r="222">
      <c r="A222" s="86">
        <v>45708.0</v>
      </c>
      <c r="B222" s="20">
        <f t="shared" si="14"/>
        <v>1214.76</v>
      </c>
      <c r="C222" s="41">
        <f t="shared" si="15"/>
        <v>0.005935328789</v>
      </c>
      <c r="M222" s="78">
        <f>IFERROR(__xludf.DUMMYFUNCTION("""COMPUTED_VALUE"""),45573.0)</f>
        <v>45573</v>
      </c>
      <c r="N222" s="74">
        <f>IFERROR(__xludf.DUMMYFUNCTION("""COMPUTED_VALUE"""),1210.96)</f>
        <v>1210.96</v>
      </c>
      <c r="O222" s="74" t="str">
        <f t="shared" si="18"/>
        <v>1210,96</v>
      </c>
    </row>
    <row r="223">
      <c r="A223" s="86">
        <v>45707.0</v>
      </c>
      <c r="B223" s="20">
        <f t="shared" si="14"/>
        <v>1207.55</v>
      </c>
      <c r="C223" s="41">
        <f t="shared" si="15"/>
        <v>-0.006757484162</v>
      </c>
      <c r="M223" s="78">
        <f>IFERROR(__xludf.DUMMYFUNCTION("""COMPUTED_VALUE"""),45572.0)</f>
        <v>45572</v>
      </c>
      <c r="N223" s="74">
        <f>IFERROR(__xludf.DUMMYFUNCTION("""COMPUTED_VALUE"""),1217.21)</f>
        <v>1217.21</v>
      </c>
      <c r="O223" s="74" t="str">
        <f t="shared" si="18"/>
        <v>1217,21</v>
      </c>
    </row>
    <row r="224">
      <c r="A224" s="86">
        <v>45706.0</v>
      </c>
      <c r="B224" s="20">
        <f t="shared" si="14"/>
        <v>1215.71</v>
      </c>
      <c r="C224" s="41">
        <f t="shared" si="15"/>
        <v>0.004195079419</v>
      </c>
      <c r="M224" s="78">
        <f>IFERROR(__xludf.DUMMYFUNCTION("""COMPUTED_VALUE"""),45569.0)</f>
        <v>45569</v>
      </c>
      <c r="N224" s="74">
        <f>IFERROR(__xludf.DUMMYFUNCTION("""COMPUTED_VALUE"""),1225.94)</f>
        <v>1225.94</v>
      </c>
      <c r="O224" s="74" t="str">
        <f t="shared" si="18"/>
        <v>1225,94</v>
      </c>
    </row>
    <row r="225">
      <c r="A225" s="86">
        <v>45705.0</v>
      </c>
      <c r="B225" s="20">
        <f t="shared" si="14"/>
        <v>1210.61</v>
      </c>
      <c r="C225" s="41" t="str">
        <f t="shared" si="15"/>
        <v>#N/A</v>
      </c>
      <c r="M225" s="78">
        <f>IFERROR(__xludf.DUMMYFUNCTION("""COMPUTED_VALUE"""),45568.0)</f>
        <v>45568</v>
      </c>
      <c r="N225" s="74">
        <f>IFERROR(__xludf.DUMMYFUNCTION("""COMPUTED_VALUE"""),1232.44)</f>
        <v>1232.44</v>
      </c>
      <c r="O225" s="74" t="str">
        <f t="shared" si="18"/>
        <v>1232,44</v>
      </c>
    </row>
    <row r="226">
      <c r="A226" s="86">
        <v>45704.0</v>
      </c>
      <c r="B226" s="20" t="str">
        <f t="shared" si="14"/>
        <v>#N/A</v>
      </c>
      <c r="C226" s="41" t="str">
        <f t="shared" si="15"/>
        <v>#N/A</v>
      </c>
      <c r="M226" s="78">
        <f>IFERROR(__xludf.DUMMYFUNCTION("""COMPUTED_VALUE"""),45567.0)</f>
        <v>45567</v>
      </c>
      <c r="N226" s="74">
        <f>IFERROR(__xludf.DUMMYFUNCTION("""COMPUTED_VALUE"""),1234.15)</f>
        <v>1234.15</v>
      </c>
      <c r="O226" s="74" t="str">
        <f t="shared" si="18"/>
        <v>1234,15</v>
      </c>
    </row>
    <row r="227">
      <c r="A227" s="86">
        <v>45703.0</v>
      </c>
      <c r="B227" s="20" t="str">
        <f t="shared" si="14"/>
        <v>#N/A</v>
      </c>
      <c r="C227" s="41" t="str">
        <f t="shared" si="15"/>
        <v>#N/A</v>
      </c>
      <c r="M227" s="78">
        <f>IFERROR(__xludf.DUMMYFUNCTION("""COMPUTED_VALUE"""),45566.0)</f>
        <v>45566</v>
      </c>
      <c r="N227" s="74">
        <f>IFERROR(__xludf.DUMMYFUNCTION("""COMPUTED_VALUE"""),1245.99)</f>
        <v>1245.99</v>
      </c>
      <c r="O227" s="74" t="str">
        <f t="shared" si="18"/>
        <v>1245,99</v>
      </c>
    </row>
    <row r="228">
      <c r="A228" s="86">
        <v>45702.0</v>
      </c>
      <c r="B228" s="20">
        <f t="shared" si="14"/>
        <v>1197.21</v>
      </c>
      <c r="C228" s="41">
        <f t="shared" si="15"/>
        <v>0.005120237886</v>
      </c>
      <c r="M228" s="78">
        <f>IFERROR(__xludf.DUMMYFUNCTION("""COMPUTED_VALUE"""),45565.0)</f>
        <v>45565</v>
      </c>
      <c r="N228" s="74">
        <f>IFERROR(__xludf.DUMMYFUNCTION("""COMPUTED_VALUE"""),1243.91)</f>
        <v>1243.91</v>
      </c>
      <c r="O228" s="74" t="str">
        <f t="shared" si="18"/>
        <v>1243,91</v>
      </c>
    </row>
    <row r="229">
      <c r="A229" s="86">
        <v>45701.0</v>
      </c>
      <c r="B229" s="20">
        <f t="shared" si="14"/>
        <v>1191.08</v>
      </c>
      <c r="C229" s="41">
        <f t="shared" si="15"/>
        <v>0.004945091849</v>
      </c>
      <c r="M229" s="78">
        <f>IFERROR(__xludf.DUMMYFUNCTION("""COMPUTED_VALUE"""),45562.0)</f>
        <v>45562</v>
      </c>
      <c r="N229" s="74">
        <f>IFERROR(__xludf.DUMMYFUNCTION("""COMPUTED_VALUE"""),1232.76)</f>
        <v>1232.76</v>
      </c>
      <c r="O229" s="74" t="str">
        <f t="shared" si="18"/>
        <v>1232,76</v>
      </c>
    </row>
    <row r="230">
      <c r="A230" s="86">
        <v>45700.0</v>
      </c>
      <c r="B230" s="20">
        <f t="shared" si="14"/>
        <v>1185.19</v>
      </c>
      <c r="C230" s="41">
        <f t="shared" si="15"/>
        <v>-0.00378842211</v>
      </c>
      <c r="M230" s="78">
        <f>IFERROR(__xludf.DUMMYFUNCTION("""COMPUTED_VALUE"""),45561.0)</f>
        <v>45561</v>
      </c>
      <c r="N230" s="74">
        <f>IFERROR(__xludf.DUMMYFUNCTION("""COMPUTED_VALUE"""),1227.58)</f>
        <v>1227.58</v>
      </c>
      <c r="O230" s="74" t="str">
        <f t="shared" si="18"/>
        <v>1227,58</v>
      </c>
    </row>
    <row r="231">
      <c r="A231" s="86">
        <v>45699.0</v>
      </c>
      <c r="B231" s="20">
        <f t="shared" si="14"/>
        <v>1189.68</v>
      </c>
      <c r="C231" s="41">
        <f t="shared" si="15"/>
        <v>-0.0005883935176</v>
      </c>
      <c r="M231" s="78">
        <f>IFERROR(__xludf.DUMMYFUNCTION("""COMPUTED_VALUE"""),45560.0)</f>
        <v>45560</v>
      </c>
      <c r="N231" s="74">
        <f>IFERROR(__xludf.DUMMYFUNCTION("""COMPUTED_VALUE"""),1228.48)</f>
        <v>1228.48</v>
      </c>
      <c r="O231" s="74" t="str">
        <f t="shared" si="18"/>
        <v>1228,48</v>
      </c>
    </row>
    <row r="232">
      <c r="A232" s="86">
        <v>45698.0</v>
      </c>
      <c r="B232" s="20">
        <f t="shared" si="14"/>
        <v>1190.38</v>
      </c>
      <c r="C232" s="41" t="str">
        <f t="shared" si="15"/>
        <v>#N/A</v>
      </c>
      <c r="M232" s="78">
        <f>IFERROR(__xludf.DUMMYFUNCTION("""COMPUTED_VALUE"""),45559.0)</f>
        <v>45559</v>
      </c>
      <c r="N232" s="74">
        <f>IFERROR(__xludf.DUMMYFUNCTION("""COMPUTED_VALUE"""),1223.02)</f>
        <v>1223.02</v>
      </c>
      <c r="O232" s="74" t="str">
        <f t="shared" si="18"/>
        <v>1223,02</v>
      </c>
    </row>
    <row r="233">
      <c r="A233" s="86">
        <v>45697.0</v>
      </c>
      <c r="B233" s="20" t="str">
        <f t="shared" si="14"/>
        <v>#N/A</v>
      </c>
      <c r="C233" s="41" t="str">
        <f t="shared" si="15"/>
        <v>#N/A</v>
      </c>
      <c r="M233" s="78">
        <f>IFERROR(__xludf.DUMMYFUNCTION("""COMPUTED_VALUE"""),45558.0)</f>
        <v>45558</v>
      </c>
      <c r="N233" s="74">
        <f>IFERROR(__xludf.DUMMYFUNCTION("""COMPUTED_VALUE"""),1227.16)</f>
        <v>1227.16</v>
      </c>
      <c r="O233" s="74" t="str">
        <f t="shared" si="18"/>
        <v>1227,16</v>
      </c>
    </row>
    <row r="234">
      <c r="A234" s="86">
        <v>45696.0</v>
      </c>
      <c r="B234" s="20" t="str">
        <f t="shared" si="14"/>
        <v>#N/A</v>
      </c>
      <c r="C234" s="41" t="str">
        <f t="shared" si="15"/>
        <v>#N/A</v>
      </c>
      <c r="M234" s="78">
        <f>IFERROR(__xludf.DUMMYFUNCTION("""COMPUTED_VALUE"""),45555.0)</f>
        <v>45555</v>
      </c>
      <c r="N234" s="74">
        <f>IFERROR(__xludf.DUMMYFUNCTION("""COMPUTED_VALUE"""),1219.98)</f>
        <v>1219.98</v>
      </c>
      <c r="O234" s="74" t="str">
        <f t="shared" si="18"/>
        <v>1219,98</v>
      </c>
    </row>
    <row r="235">
      <c r="A235" s="86">
        <v>45695.0</v>
      </c>
      <c r="B235" s="20">
        <f t="shared" si="14"/>
        <v>1203.17</v>
      </c>
      <c r="C235" s="41">
        <f t="shared" si="15"/>
        <v>0.001005676671</v>
      </c>
      <c r="M235" s="78">
        <f>IFERROR(__xludf.DUMMYFUNCTION("""COMPUTED_VALUE"""),45554.0)</f>
        <v>45554</v>
      </c>
      <c r="N235" s="74">
        <f>IFERROR(__xludf.DUMMYFUNCTION("""COMPUTED_VALUE"""),1217.96)</f>
        <v>1217.96</v>
      </c>
      <c r="O235" s="74" t="str">
        <f t="shared" si="18"/>
        <v>1217,96</v>
      </c>
    </row>
    <row r="236">
      <c r="A236" s="86">
        <v>45694.0</v>
      </c>
      <c r="B236" s="20">
        <f t="shared" si="14"/>
        <v>1201.96</v>
      </c>
      <c r="C236" s="41">
        <f t="shared" si="15"/>
        <v>0.001231322174</v>
      </c>
      <c r="M236" s="78">
        <f>IFERROR(__xludf.DUMMYFUNCTION("""COMPUTED_VALUE"""),45553.0)</f>
        <v>45553</v>
      </c>
      <c r="N236" s="74">
        <f>IFERROR(__xludf.DUMMYFUNCTION("""COMPUTED_VALUE"""),1233.11)</f>
        <v>1233.11</v>
      </c>
      <c r="O236" s="74" t="str">
        <f t="shared" si="18"/>
        <v>1233,11</v>
      </c>
    </row>
    <row r="237">
      <c r="A237" s="86">
        <v>45693.0</v>
      </c>
      <c r="B237" s="20">
        <f t="shared" si="14"/>
        <v>1200.48</v>
      </c>
      <c r="C237" s="41">
        <f t="shared" si="15"/>
        <v>0.000649740104</v>
      </c>
      <c r="M237" s="78">
        <f>IFERROR(__xludf.DUMMYFUNCTION("""COMPUTED_VALUE"""),45552.0)</f>
        <v>45552</v>
      </c>
      <c r="N237" s="74">
        <f>IFERROR(__xludf.DUMMYFUNCTION("""COMPUTED_VALUE"""),1241.3)</f>
        <v>1241.3</v>
      </c>
      <c r="O237" s="74" t="str">
        <f t="shared" si="18"/>
        <v>1241,3</v>
      </c>
    </row>
    <row r="238">
      <c r="A238" s="86">
        <v>45692.0</v>
      </c>
      <c r="B238" s="20">
        <f t="shared" si="14"/>
        <v>1199.7</v>
      </c>
      <c r="C238" s="41">
        <f t="shared" si="15"/>
        <v>0.003459198133</v>
      </c>
      <c r="M238" s="78">
        <f>IFERROR(__xludf.DUMMYFUNCTION("""COMPUTED_VALUE"""),45551.0)</f>
        <v>45551</v>
      </c>
      <c r="N238" s="74">
        <f>IFERROR(__xludf.DUMMYFUNCTION("""COMPUTED_VALUE"""),1240.97)</f>
        <v>1240.97</v>
      </c>
      <c r="O238" s="74" t="str">
        <f t="shared" si="18"/>
        <v>1240,97</v>
      </c>
    </row>
    <row r="239">
      <c r="A239" s="86">
        <v>45691.0</v>
      </c>
      <c r="B239" s="20">
        <f t="shared" si="14"/>
        <v>1195.55</v>
      </c>
      <c r="C239" s="41" t="str">
        <f t="shared" si="15"/>
        <v>#N/A</v>
      </c>
      <c r="M239" s="78">
        <f>IFERROR(__xludf.DUMMYFUNCTION("""COMPUTED_VALUE"""),45548.0)</f>
        <v>45548</v>
      </c>
      <c r="N239" s="74">
        <f>IFERROR(__xludf.DUMMYFUNCTION("""COMPUTED_VALUE"""),1253.33)</f>
        <v>1253.33</v>
      </c>
      <c r="O239" s="74" t="str">
        <f t="shared" si="18"/>
        <v>1253,33</v>
      </c>
    </row>
    <row r="240">
      <c r="A240" s="86">
        <v>45690.0</v>
      </c>
      <c r="B240" s="20" t="str">
        <f t="shared" si="14"/>
        <v>#N/A</v>
      </c>
      <c r="C240" s="41" t="str">
        <f t="shared" si="15"/>
        <v>#N/A</v>
      </c>
      <c r="M240" s="78">
        <f>IFERROR(__xludf.DUMMYFUNCTION("""COMPUTED_VALUE"""),45547.0)</f>
        <v>45547</v>
      </c>
      <c r="N240" s="74">
        <f>IFERROR(__xludf.DUMMYFUNCTION("""COMPUTED_VALUE"""),1259.83)</f>
        <v>1259.83</v>
      </c>
      <c r="O240" s="74" t="str">
        <f t="shared" si="18"/>
        <v>1259,83</v>
      </c>
    </row>
    <row r="241">
      <c r="A241" s="86">
        <v>45689.0</v>
      </c>
      <c r="B241" s="20" t="str">
        <f t="shared" si="14"/>
        <v>#N/A</v>
      </c>
      <c r="C241" s="41" t="str">
        <f t="shared" si="15"/>
        <v>#N/A</v>
      </c>
      <c r="M241" s="78">
        <f>IFERROR(__xludf.DUMMYFUNCTION("""COMPUTED_VALUE"""),45546.0)</f>
        <v>45546</v>
      </c>
      <c r="N241" s="74">
        <f>IFERROR(__xludf.DUMMYFUNCTION("""COMPUTED_VALUE"""),1245.78)</f>
        <v>1245.78</v>
      </c>
      <c r="O241" s="74" t="str">
        <f t="shared" si="18"/>
        <v>1245,78</v>
      </c>
    </row>
    <row r="242">
      <c r="A242" s="86">
        <v>45688.0</v>
      </c>
      <c r="B242" s="20">
        <f t="shared" si="14"/>
        <v>1185.97</v>
      </c>
      <c r="C242" s="41">
        <f t="shared" si="15"/>
        <v>0.00444361999</v>
      </c>
      <c r="M242" s="78">
        <f>IFERROR(__xludf.DUMMYFUNCTION("""COMPUTED_VALUE"""),45545.0)</f>
        <v>45545</v>
      </c>
      <c r="N242" s="74">
        <f>IFERROR(__xludf.DUMMYFUNCTION("""COMPUTED_VALUE"""),1249.13)</f>
        <v>1249.13</v>
      </c>
      <c r="O242" s="74" t="str">
        <f t="shared" si="18"/>
        <v>1249,13</v>
      </c>
    </row>
    <row r="243">
      <c r="A243" s="86">
        <v>45687.0</v>
      </c>
      <c r="B243" s="20">
        <f t="shared" si="14"/>
        <v>1180.7</v>
      </c>
      <c r="C243" s="41">
        <f t="shared" si="15"/>
        <v>-0.0009909375794</v>
      </c>
      <c r="M243" s="78">
        <f>IFERROR(__xludf.DUMMYFUNCTION("""COMPUTED_VALUE"""),45544.0)</f>
        <v>45544</v>
      </c>
      <c r="N243" s="74">
        <f>IFERROR(__xludf.DUMMYFUNCTION("""COMPUTED_VALUE"""),1245.65)</f>
        <v>1245.65</v>
      </c>
      <c r="O243" s="74" t="str">
        <f t="shared" si="18"/>
        <v>1245,65</v>
      </c>
    </row>
    <row r="244">
      <c r="A244" s="86">
        <v>45686.0</v>
      </c>
      <c r="B244" s="20">
        <f t="shared" si="14"/>
        <v>1181.87</v>
      </c>
      <c r="C244" s="41">
        <f t="shared" si="15"/>
        <v>0.00538976368</v>
      </c>
      <c r="M244" s="78">
        <f>IFERROR(__xludf.DUMMYFUNCTION("""COMPUTED_VALUE"""),45541.0)</f>
        <v>45541</v>
      </c>
      <c r="N244" s="74">
        <f>IFERROR(__xludf.DUMMYFUNCTION("""COMPUTED_VALUE"""),1257.91)</f>
        <v>1257.91</v>
      </c>
      <c r="O244" s="74" t="str">
        <f t="shared" si="18"/>
        <v>1257,91</v>
      </c>
    </row>
    <row r="245">
      <c r="A245" s="86">
        <v>45685.0</v>
      </c>
      <c r="B245" s="20">
        <f t="shared" si="14"/>
        <v>1175.5</v>
      </c>
      <c r="C245" s="41">
        <f t="shared" si="15"/>
        <v>-0.0005529561889</v>
      </c>
      <c r="M245" s="78">
        <f>IFERROR(__xludf.DUMMYFUNCTION("""COMPUTED_VALUE"""),45540.0)</f>
        <v>45540</v>
      </c>
      <c r="N245" s="74">
        <f>IFERROR(__xludf.DUMMYFUNCTION("""COMPUTED_VALUE"""),1271.6)</f>
        <v>1271.6</v>
      </c>
      <c r="O245" s="74" t="str">
        <f t="shared" si="18"/>
        <v>1271,6</v>
      </c>
    </row>
    <row r="246">
      <c r="A246" s="86">
        <v>45684.0</v>
      </c>
      <c r="B246" s="20">
        <f t="shared" si="14"/>
        <v>1176.15</v>
      </c>
      <c r="C246" s="41" t="str">
        <f t="shared" si="15"/>
        <v>#N/A</v>
      </c>
      <c r="M246" s="78">
        <f>IFERROR(__xludf.DUMMYFUNCTION("""COMPUTED_VALUE"""),45539.0)</f>
        <v>45539</v>
      </c>
      <c r="N246" s="74">
        <f>IFERROR(__xludf.DUMMYFUNCTION("""COMPUTED_VALUE"""),1293.94)</f>
        <v>1293.94</v>
      </c>
      <c r="O246" s="74" t="str">
        <f t="shared" si="18"/>
        <v>1293,94</v>
      </c>
    </row>
    <row r="247">
      <c r="A247" s="86">
        <v>45683.0</v>
      </c>
      <c r="B247" s="20" t="str">
        <f t="shared" si="14"/>
        <v>#N/A</v>
      </c>
      <c r="C247" s="41" t="str">
        <f t="shared" si="15"/>
        <v>#N/A</v>
      </c>
      <c r="M247" s="78">
        <f>IFERROR(__xludf.DUMMYFUNCTION("""COMPUTED_VALUE"""),45538.0)</f>
        <v>45538</v>
      </c>
      <c r="N247" s="74">
        <f>IFERROR(__xludf.DUMMYFUNCTION("""COMPUTED_VALUE"""),1302.55)</f>
        <v>1302.55</v>
      </c>
      <c r="O247" s="74" t="str">
        <f t="shared" si="18"/>
        <v>1302,55</v>
      </c>
    </row>
    <row r="248">
      <c r="A248" s="86">
        <v>45682.0</v>
      </c>
      <c r="B248" s="20" t="str">
        <f t="shared" si="14"/>
        <v>#N/A</v>
      </c>
      <c r="C248" s="41" t="str">
        <f t="shared" si="15"/>
        <v>#N/A</v>
      </c>
      <c r="M248" s="78">
        <f>IFERROR(__xludf.DUMMYFUNCTION("""COMPUTED_VALUE"""),45537.0)</f>
        <v>45537</v>
      </c>
      <c r="N248" s="74">
        <f>IFERROR(__xludf.DUMMYFUNCTION("""COMPUTED_VALUE"""),1295.36)</f>
        <v>1295.36</v>
      </c>
      <c r="O248" s="74" t="str">
        <f t="shared" si="18"/>
        <v>1295,36</v>
      </c>
    </row>
    <row r="249">
      <c r="A249" s="86">
        <v>45681.0</v>
      </c>
      <c r="B249" s="20">
        <f t="shared" si="14"/>
        <v>1164.77</v>
      </c>
      <c r="C249" s="41">
        <f t="shared" si="15"/>
        <v>-0.01908531298</v>
      </c>
      <c r="M249" s="78">
        <f>IFERROR(__xludf.DUMMYFUNCTION("""COMPUTED_VALUE"""),45534.0)</f>
        <v>45534</v>
      </c>
      <c r="N249" s="74">
        <f>IFERROR(__xludf.DUMMYFUNCTION("""COMPUTED_VALUE"""),1298.37)</f>
        <v>1298.37</v>
      </c>
      <c r="O249" s="74" t="str">
        <f t="shared" si="18"/>
        <v>1298,37</v>
      </c>
    </row>
    <row r="250">
      <c r="A250" s="86">
        <v>45680.0</v>
      </c>
      <c r="B250" s="20">
        <f t="shared" si="14"/>
        <v>1187</v>
      </c>
      <c r="C250" s="41">
        <f t="shared" si="15"/>
        <v>-0.0004128053917</v>
      </c>
      <c r="M250" s="78">
        <f>IFERROR(__xludf.DUMMYFUNCTION("""COMPUTED_VALUE"""),45533.0)</f>
        <v>45533</v>
      </c>
      <c r="N250" s="74">
        <f>IFERROR(__xludf.DUMMYFUNCTION("""COMPUTED_VALUE"""),1289.04)</f>
        <v>1289.04</v>
      </c>
      <c r="O250" s="74" t="str">
        <f t="shared" si="18"/>
        <v>1289,04</v>
      </c>
    </row>
    <row r="251">
      <c r="A251" s="86">
        <v>45679.0</v>
      </c>
      <c r="B251" s="20">
        <f t="shared" si="14"/>
        <v>1187.49</v>
      </c>
      <c r="C251" s="41">
        <f t="shared" si="15"/>
        <v>-0.001549486733</v>
      </c>
      <c r="M251" s="78">
        <f>IFERROR(__xludf.DUMMYFUNCTION("""COMPUTED_VALUE"""),45532.0)</f>
        <v>45532</v>
      </c>
      <c r="N251" s="74">
        <f>IFERROR(__xludf.DUMMYFUNCTION("""COMPUTED_VALUE"""),1291.78)</f>
        <v>1291.78</v>
      </c>
      <c r="O251" s="74" t="str">
        <f t="shared" si="18"/>
        <v>1291,78</v>
      </c>
    </row>
    <row r="252">
      <c r="A252" s="86">
        <v>45678.0</v>
      </c>
      <c r="B252" s="20">
        <f t="shared" si="14"/>
        <v>1189.33</v>
      </c>
      <c r="C252" s="41">
        <f t="shared" si="15"/>
        <v>-0.005591383384</v>
      </c>
      <c r="M252" s="78">
        <f>IFERROR(__xludf.DUMMYFUNCTION("""COMPUTED_VALUE"""),45531.0)</f>
        <v>45531</v>
      </c>
      <c r="N252" s="74">
        <f>IFERROR(__xludf.DUMMYFUNCTION("""COMPUTED_VALUE"""),1293.53)</f>
        <v>1293.53</v>
      </c>
      <c r="O252" s="74" t="str">
        <f t="shared" si="18"/>
        <v>1293,53</v>
      </c>
    </row>
    <row r="253">
      <c r="A253" s="86">
        <v>45677.0</v>
      </c>
      <c r="B253" s="20">
        <f t="shared" si="14"/>
        <v>1195.98</v>
      </c>
      <c r="C253" s="41" t="str">
        <f t="shared" si="15"/>
        <v>#N/A</v>
      </c>
      <c r="M253" s="78">
        <f>IFERROR(__xludf.DUMMYFUNCTION("""COMPUTED_VALUE"""),45530.0)</f>
        <v>45530</v>
      </c>
      <c r="N253" s="74">
        <f>IFERROR(__xludf.DUMMYFUNCTION("""COMPUTED_VALUE"""),1289.7)</f>
        <v>1289.7</v>
      </c>
      <c r="O253" s="74" t="str">
        <f t="shared" si="18"/>
        <v>1289,7</v>
      </c>
    </row>
    <row r="254">
      <c r="A254" s="86">
        <v>45676.0</v>
      </c>
      <c r="B254" s="20" t="str">
        <f t="shared" si="14"/>
        <v>#N/A</v>
      </c>
      <c r="C254" s="41" t="str">
        <f t="shared" si="15"/>
        <v>#N/A</v>
      </c>
      <c r="M254" s="78">
        <f>IFERROR(__xludf.DUMMYFUNCTION("""COMPUTED_VALUE"""),45527.0)</f>
        <v>45527</v>
      </c>
      <c r="N254" s="74">
        <f>IFERROR(__xludf.DUMMYFUNCTION("""COMPUTED_VALUE"""),1286.0)</f>
        <v>1286</v>
      </c>
      <c r="O254" s="74" t="str">
        <f t="shared" si="18"/>
        <v>1286</v>
      </c>
    </row>
    <row r="255">
      <c r="A255" s="86">
        <v>45675.0</v>
      </c>
      <c r="B255" s="20" t="str">
        <f t="shared" si="14"/>
        <v>#N/A</v>
      </c>
      <c r="C255" s="41" t="str">
        <f t="shared" si="15"/>
        <v>#N/A</v>
      </c>
      <c r="M255" s="78">
        <f>IFERROR(__xludf.DUMMYFUNCTION("""COMPUTED_VALUE"""),45526.0)</f>
        <v>45526</v>
      </c>
      <c r="N255" s="74">
        <f>IFERROR(__xludf.DUMMYFUNCTION("""COMPUTED_VALUE"""),1285.52)</f>
        <v>1285.52</v>
      </c>
      <c r="O255" s="74" t="str">
        <f t="shared" si="18"/>
        <v>1285,52</v>
      </c>
    </row>
    <row r="256">
      <c r="A256" s="86">
        <v>45674.0</v>
      </c>
      <c r="B256" s="20">
        <f t="shared" si="14"/>
        <v>1187.63</v>
      </c>
      <c r="C256" s="41">
        <f t="shared" si="15"/>
        <v>0.005978292903</v>
      </c>
      <c r="M256" s="78">
        <f>IFERROR(__xludf.DUMMYFUNCTION("""COMPUTED_VALUE"""),45525.0)</f>
        <v>45525</v>
      </c>
      <c r="N256" s="74">
        <f>IFERROR(__xludf.DUMMYFUNCTION("""COMPUTED_VALUE"""),1286.66)</f>
        <v>1286.66</v>
      </c>
      <c r="O256" s="74" t="str">
        <f t="shared" si="18"/>
        <v>1286,66</v>
      </c>
    </row>
    <row r="257">
      <c r="A257" s="86">
        <v>45673.0</v>
      </c>
      <c r="B257" s="20">
        <f t="shared" si="14"/>
        <v>1180.53</v>
      </c>
      <c r="C257" s="41">
        <f t="shared" si="15"/>
        <v>-0.01152872015</v>
      </c>
      <c r="M257" s="78">
        <f>IFERROR(__xludf.DUMMYFUNCTION("""COMPUTED_VALUE"""),45524.0)</f>
        <v>45524</v>
      </c>
      <c r="N257" s="74">
        <f>IFERROR(__xludf.DUMMYFUNCTION("""COMPUTED_VALUE"""),1290.0)</f>
        <v>1290</v>
      </c>
      <c r="O257" s="74" t="str">
        <f t="shared" si="18"/>
        <v>1290</v>
      </c>
    </row>
    <row r="258">
      <c r="A258" s="86">
        <v>45672.0</v>
      </c>
      <c r="B258" s="20">
        <f t="shared" si="14"/>
        <v>1194.14</v>
      </c>
      <c r="C258" s="41">
        <f t="shared" si="15"/>
        <v>0.002587636291</v>
      </c>
      <c r="M258" s="78">
        <f>IFERROR(__xludf.DUMMYFUNCTION("""COMPUTED_VALUE"""),45523.0)</f>
        <v>45523</v>
      </c>
      <c r="N258" s="74">
        <f>IFERROR(__xludf.DUMMYFUNCTION("""COMPUTED_VALUE"""),1286.6)</f>
        <v>1286.6</v>
      </c>
      <c r="O258" s="74" t="str">
        <f t="shared" si="18"/>
        <v>1286,6</v>
      </c>
    </row>
    <row r="259">
      <c r="A259" s="86">
        <v>45671.0</v>
      </c>
      <c r="B259" s="20">
        <f t="shared" si="14"/>
        <v>1191.05</v>
      </c>
      <c r="C259" s="41">
        <f t="shared" si="15"/>
        <v>-0.004785693296</v>
      </c>
      <c r="M259" s="78">
        <f>IFERROR(__xludf.DUMMYFUNCTION("""COMPUTED_VALUE"""),45520.0)</f>
        <v>45520</v>
      </c>
      <c r="N259" s="74">
        <f>IFERROR(__xludf.DUMMYFUNCTION("""COMPUTED_VALUE"""),1292.11)</f>
        <v>1292.11</v>
      </c>
      <c r="O259" s="74" t="str">
        <f t="shared" si="18"/>
        <v>1292,11</v>
      </c>
    </row>
    <row r="260">
      <c r="A260" s="86">
        <v>45670.0</v>
      </c>
      <c r="B260" s="20">
        <f t="shared" si="14"/>
        <v>1196.75</v>
      </c>
      <c r="C260" s="41" t="str">
        <f t="shared" si="15"/>
        <v>#N/A</v>
      </c>
      <c r="M260" s="78">
        <f>IFERROR(__xludf.DUMMYFUNCTION("""COMPUTED_VALUE"""),45519.0)</f>
        <v>45519</v>
      </c>
      <c r="N260" s="74">
        <f>IFERROR(__xludf.DUMMYFUNCTION("""COMPUTED_VALUE"""),1275.84)</f>
        <v>1275.84</v>
      </c>
      <c r="O260" s="74" t="str">
        <f t="shared" si="18"/>
        <v>1275,84</v>
      </c>
    </row>
    <row r="261">
      <c r="A261" s="86">
        <v>45669.0</v>
      </c>
      <c r="B261" s="20" t="str">
        <f t="shared" si="14"/>
        <v>#N/A</v>
      </c>
      <c r="C261" s="41" t="str">
        <f t="shared" si="15"/>
        <v>#N/A</v>
      </c>
      <c r="M261" s="78">
        <f>IFERROR(__xludf.DUMMYFUNCTION("""COMPUTED_VALUE"""),45518.0)</f>
        <v>45518</v>
      </c>
      <c r="N261" s="74">
        <f>IFERROR(__xludf.DUMMYFUNCTION("""COMPUTED_VALUE"""),1269.33)</f>
        <v>1269.33</v>
      </c>
      <c r="O261" s="74" t="str">
        <f t="shared" si="18"/>
        <v>1269,33</v>
      </c>
    </row>
    <row r="262">
      <c r="A262" s="86">
        <v>45668.0</v>
      </c>
      <c r="B262" s="20" t="str">
        <f t="shared" si="14"/>
        <v>#N/A</v>
      </c>
      <c r="C262" s="41" t="str">
        <f t="shared" si="15"/>
        <v>#N/A</v>
      </c>
      <c r="M262" s="78">
        <f>IFERROR(__xludf.DUMMYFUNCTION("""COMPUTED_VALUE"""),45517.0)</f>
        <v>45517</v>
      </c>
      <c r="N262" s="74">
        <f>IFERROR(__xludf.DUMMYFUNCTION("""COMPUTED_VALUE"""),1266.98)</f>
        <v>1266.98</v>
      </c>
      <c r="O262" s="74" t="str">
        <f t="shared" si="18"/>
        <v>1266,98</v>
      </c>
    </row>
    <row r="263">
      <c r="A263" s="86">
        <v>45667.0</v>
      </c>
      <c r="B263" s="20">
        <f t="shared" si="14"/>
        <v>1188.33</v>
      </c>
      <c r="C263" s="41">
        <f t="shared" si="15"/>
        <v>0.002819082241</v>
      </c>
      <c r="M263" s="78">
        <f>IFERROR(__xludf.DUMMYFUNCTION("""COMPUTED_VALUE"""),45516.0)</f>
        <v>45516</v>
      </c>
      <c r="N263" s="74">
        <f>IFERROR(__xludf.DUMMYFUNCTION("""COMPUTED_VALUE"""),1281.35)</f>
        <v>1281.35</v>
      </c>
      <c r="O263" s="74" t="str">
        <f t="shared" si="18"/>
        <v>1281,35</v>
      </c>
    </row>
    <row r="264">
      <c r="A264" s="86">
        <v>45666.0</v>
      </c>
      <c r="B264" s="20">
        <f t="shared" si="14"/>
        <v>1184.98</v>
      </c>
      <c r="C264" s="41">
        <f t="shared" si="15"/>
        <v>0.00008438960995</v>
      </c>
      <c r="M264" s="78">
        <f>IFERROR(__xludf.DUMMYFUNCTION("""COMPUTED_VALUE"""),45513.0)</f>
        <v>45513</v>
      </c>
      <c r="N264" s="74">
        <f>IFERROR(__xludf.DUMMYFUNCTION("""COMPUTED_VALUE"""),1297.87)</f>
        <v>1297.87</v>
      </c>
      <c r="O264" s="74" t="str">
        <f t="shared" si="18"/>
        <v>1297,87</v>
      </c>
    </row>
    <row r="265">
      <c r="A265" s="86">
        <v>45665.0</v>
      </c>
      <c r="B265" s="20">
        <f t="shared" si="14"/>
        <v>1184.88</v>
      </c>
      <c r="C265" s="41">
        <f t="shared" si="15"/>
        <v>-0.001004321113</v>
      </c>
      <c r="M265" s="78">
        <f>IFERROR(__xludf.DUMMYFUNCTION("""COMPUTED_VALUE"""),45512.0)</f>
        <v>45512</v>
      </c>
      <c r="N265" s="74">
        <f>IFERROR(__xludf.DUMMYFUNCTION("""COMPUTED_VALUE"""),1311.1)</f>
        <v>1311.1</v>
      </c>
      <c r="O265" s="74" t="str">
        <f t="shared" si="18"/>
        <v>1311,1</v>
      </c>
    </row>
    <row r="266">
      <c r="A266" s="86">
        <v>45664.0</v>
      </c>
      <c r="B266" s="20">
        <f t="shared" si="14"/>
        <v>1186.07</v>
      </c>
      <c r="C266" s="41">
        <f t="shared" si="15"/>
        <v>-0.0008262581467</v>
      </c>
      <c r="M266" s="78">
        <f>IFERROR(__xludf.DUMMYFUNCTION("""COMPUTED_VALUE"""),45511.0)</f>
        <v>45511</v>
      </c>
      <c r="N266" s="74">
        <f>IFERROR(__xludf.DUMMYFUNCTION("""COMPUTED_VALUE"""),1327.03)</f>
        <v>1327.03</v>
      </c>
      <c r="O266" s="74" t="str">
        <f t="shared" si="18"/>
        <v>1327,03</v>
      </c>
    </row>
    <row r="267">
      <c r="A267" s="86">
        <v>45663.0</v>
      </c>
      <c r="B267" s="20">
        <f t="shared" si="14"/>
        <v>1187.05</v>
      </c>
      <c r="C267" s="41" t="str">
        <f t="shared" si="15"/>
        <v>#N/A</v>
      </c>
      <c r="M267" s="78">
        <f>IFERROR(__xludf.DUMMYFUNCTION("""COMPUTED_VALUE"""),45510.0)</f>
        <v>45510</v>
      </c>
      <c r="N267" s="74">
        <f>IFERROR(__xludf.DUMMYFUNCTION("""COMPUTED_VALUE"""),1341.12)</f>
        <v>1341.12</v>
      </c>
      <c r="O267" s="74" t="str">
        <f t="shared" si="18"/>
        <v>1341,12</v>
      </c>
    </row>
    <row r="268">
      <c r="A268" s="86">
        <v>45662.0</v>
      </c>
      <c r="B268" s="20" t="str">
        <f t="shared" si="14"/>
        <v>#N/A</v>
      </c>
      <c r="C268" s="41" t="str">
        <f t="shared" si="15"/>
        <v>#N/A</v>
      </c>
      <c r="M268" s="78">
        <f>IFERROR(__xludf.DUMMYFUNCTION("""COMPUTED_VALUE"""),45509.0)</f>
        <v>45509</v>
      </c>
      <c r="N268" s="74">
        <f>IFERROR(__xludf.DUMMYFUNCTION("""COMPUTED_VALUE"""),1337.52)</f>
        <v>1337.52</v>
      </c>
      <c r="O268" s="74" t="str">
        <f t="shared" si="18"/>
        <v>1337,52</v>
      </c>
    </row>
    <row r="269">
      <c r="A269" s="86">
        <v>45661.0</v>
      </c>
      <c r="B269" s="20" t="str">
        <f t="shared" si="14"/>
        <v>#N/A</v>
      </c>
      <c r="C269" s="41" t="str">
        <f t="shared" si="15"/>
        <v>#N/A</v>
      </c>
      <c r="M269" s="78">
        <f>IFERROR(__xludf.DUMMYFUNCTION("""COMPUTED_VALUE"""),45506.0)</f>
        <v>45506</v>
      </c>
      <c r="N269" s="74">
        <f>IFERROR(__xludf.DUMMYFUNCTION("""COMPUTED_VALUE"""),1321.96)</f>
        <v>1321.96</v>
      </c>
      <c r="O269" s="74" t="str">
        <f t="shared" si="18"/>
        <v>1321,96</v>
      </c>
    </row>
    <row r="270">
      <c r="A270" s="86">
        <v>45660.0</v>
      </c>
      <c r="B270" s="20">
        <f t="shared" si="14"/>
        <v>1186.04</v>
      </c>
      <c r="C270" s="41">
        <f t="shared" si="15"/>
        <v>0.009653974571</v>
      </c>
      <c r="M270" s="78">
        <f>IFERROR(__xludf.DUMMYFUNCTION("""COMPUTED_VALUE"""),45505.0)</f>
        <v>45505</v>
      </c>
      <c r="N270" s="74">
        <f>IFERROR(__xludf.DUMMYFUNCTION("""COMPUTED_VALUE"""),1302.24)</f>
        <v>1302.24</v>
      </c>
      <c r="O270" s="74" t="str">
        <f t="shared" si="18"/>
        <v>1302,24</v>
      </c>
    </row>
    <row r="271">
      <c r="A271" s="86">
        <v>45659.0</v>
      </c>
      <c r="B271" s="20">
        <f t="shared" si="14"/>
        <v>1174.59</v>
      </c>
      <c r="C271" s="41">
        <f t="shared" si="15"/>
        <v>-0.01050579351</v>
      </c>
      <c r="M271" s="78">
        <f>IFERROR(__xludf.DUMMYFUNCTION("""COMPUTED_VALUE"""),45504.0)</f>
        <v>45504</v>
      </c>
      <c r="N271" s="74">
        <f>IFERROR(__xludf.DUMMYFUNCTION("""COMPUTED_VALUE"""),1285.41)</f>
        <v>1285.41</v>
      </c>
      <c r="O271" s="74" t="str">
        <f t="shared" si="18"/>
        <v>1285,41</v>
      </c>
    </row>
    <row r="272">
      <c r="A272" s="86">
        <v>45658.0</v>
      </c>
      <c r="B272" s="20">
        <f t="shared" si="14"/>
        <v>1186.93</v>
      </c>
      <c r="C272" s="41">
        <f t="shared" si="15"/>
        <v>0</v>
      </c>
      <c r="M272" s="78">
        <f>IFERROR(__xludf.DUMMYFUNCTION("""COMPUTED_VALUE"""),45503.0)</f>
        <v>45503</v>
      </c>
      <c r="N272" s="74">
        <f>IFERROR(__xludf.DUMMYFUNCTION("""COMPUTED_VALUE"""),1265.05)</f>
        <v>1265.05</v>
      </c>
      <c r="O272" s="74" t="str">
        <f t="shared" si="18"/>
        <v>1265,05</v>
      </c>
    </row>
    <row r="273">
      <c r="A273" s="86">
        <v>45657.0</v>
      </c>
      <c r="B273" s="20">
        <f t="shared" si="14"/>
        <v>1186.93</v>
      </c>
      <c r="C273" s="41">
        <f t="shared" si="15"/>
        <v>0.00233375178</v>
      </c>
      <c r="M273" s="78">
        <f>IFERROR(__xludf.DUMMYFUNCTION("""COMPUTED_VALUE"""),45502.0)</f>
        <v>45502</v>
      </c>
      <c r="N273" s="74">
        <f>IFERROR(__xludf.DUMMYFUNCTION("""COMPUTED_VALUE"""),1294.23)</f>
        <v>1294.23</v>
      </c>
      <c r="O273" s="74" t="str">
        <f t="shared" si="18"/>
        <v>1294,23</v>
      </c>
    </row>
    <row r="274">
      <c r="A274" s="86">
        <v>45656.0</v>
      </c>
      <c r="B274" s="20">
        <f t="shared" si="14"/>
        <v>1184.16</v>
      </c>
      <c r="C274" s="41" t="str">
        <f t="shared" si="15"/>
        <v>#N/A</v>
      </c>
      <c r="M274" s="78">
        <f>IFERROR(__xludf.DUMMYFUNCTION("""COMPUTED_VALUE"""),45499.0)</f>
        <v>45499</v>
      </c>
      <c r="N274" s="74">
        <f>IFERROR(__xludf.DUMMYFUNCTION("""COMPUTED_VALUE"""),1317.85)</f>
        <v>1317.85</v>
      </c>
      <c r="O274" s="74" t="str">
        <f t="shared" si="18"/>
        <v>1317,85</v>
      </c>
    </row>
    <row r="275">
      <c r="A275" s="86">
        <v>45655.0</v>
      </c>
      <c r="B275" s="20" t="str">
        <f t="shared" si="14"/>
        <v>#N/A</v>
      </c>
      <c r="C275" s="41" t="str">
        <f t="shared" si="15"/>
        <v>#N/A</v>
      </c>
      <c r="M275" s="78">
        <f>IFERROR(__xludf.DUMMYFUNCTION("""COMPUTED_VALUE"""),45498.0)</f>
        <v>45498</v>
      </c>
      <c r="N275" s="74">
        <f>IFERROR(__xludf.DUMMYFUNCTION("""COMPUTED_VALUE"""),1329.53)</f>
        <v>1329.53</v>
      </c>
      <c r="O275" s="74" t="str">
        <f t="shared" si="18"/>
        <v>1329,53</v>
      </c>
    </row>
    <row r="276">
      <c r="A276" s="86">
        <v>45654.0</v>
      </c>
      <c r="B276" s="20" t="str">
        <f t="shared" si="14"/>
        <v>#N/A</v>
      </c>
      <c r="C276" s="41" t="str">
        <f t="shared" si="15"/>
        <v>#N/A</v>
      </c>
      <c r="M276" s="78">
        <f>IFERROR(__xludf.DUMMYFUNCTION("""COMPUTED_VALUE"""),45497.0)</f>
        <v>45497</v>
      </c>
      <c r="N276" s="74">
        <f>IFERROR(__xludf.DUMMYFUNCTION("""COMPUTED_VALUE"""),1335.69)</f>
        <v>1335.69</v>
      </c>
      <c r="O276" s="74" t="str">
        <f t="shared" si="18"/>
        <v>1335,69</v>
      </c>
    </row>
    <row r="277">
      <c r="A277" s="86">
        <v>45653.0</v>
      </c>
      <c r="B277" s="20">
        <f t="shared" si="14"/>
        <v>1180.3</v>
      </c>
      <c r="C277" s="41">
        <f t="shared" si="15"/>
        <v>-0.006201813098</v>
      </c>
      <c r="M277" s="78">
        <f>IFERROR(__xludf.DUMMYFUNCTION("""COMPUTED_VALUE"""),45496.0)</f>
        <v>45496</v>
      </c>
      <c r="N277" s="74">
        <f>IFERROR(__xludf.DUMMYFUNCTION("""COMPUTED_VALUE"""),1337.16)</f>
        <v>1337.16</v>
      </c>
      <c r="O277" s="74" t="str">
        <f t="shared" si="18"/>
        <v>1337,16</v>
      </c>
    </row>
    <row r="278">
      <c r="A278" s="86">
        <v>45652.0</v>
      </c>
      <c r="B278" s="20">
        <f t="shared" si="14"/>
        <v>1187.62</v>
      </c>
      <c r="C278" s="41">
        <f t="shared" si="15"/>
        <v>0.01178828245</v>
      </c>
      <c r="M278" s="78">
        <f>IFERROR(__xludf.DUMMYFUNCTION("""COMPUTED_VALUE"""),45495.0)</f>
        <v>45495</v>
      </c>
      <c r="N278" s="74">
        <f>IFERROR(__xludf.DUMMYFUNCTION("""COMPUTED_VALUE"""),1329.81)</f>
        <v>1329.81</v>
      </c>
      <c r="O278" s="74" t="str">
        <f t="shared" si="18"/>
        <v>1329,81</v>
      </c>
    </row>
    <row r="279">
      <c r="A279" s="86">
        <v>45651.0</v>
      </c>
      <c r="B279" s="20">
        <f t="shared" si="14"/>
        <v>1173.62</v>
      </c>
      <c r="C279" s="41">
        <f t="shared" si="15"/>
        <v>-0.0007924200337</v>
      </c>
      <c r="M279" s="78">
        <f>IFERROR(__xludf.DUMMYFUNCTION("""COMPUTED_VALUE"""),45492.0)</f>
        <v>45492</v>
      </c>
      <c r="N279" s="74">
        <f>IFERROR(__xludf.DUMMYFUNCTION("""COMPUTED_VALUE"""),1328.48)</f>
        <v>1328.48</v>
      </c>
      <c r="O279" s="74" t="str">
        <f t="shared" si="18"/>
        <v>1328,48</v>
      </c>
    </row>
    <row r="280">
      <c r="A280" s="86">
        <v>45650.0</v>
      </c>
      <c r="B280" s="20">
        <f t="shared" si="14"/>
        <v>1174.55</v>
      </c>
      <c r="C280" s="41">
        <f t="shared" si="15"/>
        <v>0.006436507599</v>
      </c>
      <c r="M280" s="78">
        <f>IFERROR(__xludf.DUMMYFUNCTION("""COMPUTED_VALUE"""),45491.0)</f>
        <v>45491</v>
      </c>
      <c r="N280" s="74">
        <f>IFERROR(__xludf.DUMMYFUNCTION("""COMPUTED_VALUE"""),1332.64)</f>
        <v>1332.64</v>
      </c>
      <c r="O280" s="74" t="str">
        <f t="shared" si="18"/>
        <v>1332,64</v>
      </c>
    </row>
    <row r="281">
      <c r="A281" s="86">
        <v>45649.0</v>
      </c>
      <c r="B281" s="20">
        <f t="shared" si="14"/>
        <v>1166.99</v>
      </c>
      <c r="C281" s="41" t="str">
        <f t="shared" si="15"/>
        <v>#N/A</v>
      </c>
      <c r="M281" s="78">
        <f>IFERROR(__xludf.DUMMYFUNCTION("""COMPUTED_VALUE"""),45490.0)</f>
        <v>45490</v>
      </c>
      <c r="N281" s="74">
        <f>IFERROR(__xludf.DUMMYFUNCTION("""COMPUTED_VALUE"""),1308.83)</f>
        <v>1308.83</v>
      </c>
      <c r="O281" s="74" t="str">
        <f t="shared" si="18"/>
        <v>1308,83</v>
      </c>
    </row>
    <row r="282">
      <c r="A282" s="86">
        <v>45648.0</v>
      </c>
      <c r="B282" s="20" t="str">
        <f t="shared" si="14"/>
        <v>#N/A</v>
      </c>
      <c r="C282" s="41" t="str">
        <f t="shared" si="15"/>
        <v>#N/A</v>
      </c>
      <c r="M282" s="78">
        <f>IFERROR(__xludf.DUMMYFUNCTION("""COMPUTED_VALUE"""),45489.0)</f>
        <v>45489</v>
      </c>
      <c r="N282" s="74">
        <f>IFERROR(__xludf.DUMMYFUNCTION("""COMPUTED_VALUE"""),1285.99)</f>
        <v>1285.99</v>
      </c>
      <c r="O282" s="74" t="str">
        <f t="shared" si="18"/>
        <v>1285,99</v>
      </c>
    </row>
    <row r="283">
      <c r="A283" s="86">
        <v>45647.0</v>
      </c>
      <c r="B283" s="20" t="str">
        <f t="shared" si="14"/>
        <v>#N/A</v>
      </c>
      <c r="C283" s="41" t="str">
        <f t="shared" si="15"/>
        <v>#N/A</v>
      </c>
      <c r="M283" s="78">
        <f>IFERROR(__xludf.DUMMYFUNCTION("""COMPUTED_VALUE"""),45488.0)</f>
        <v>45488</v>
      </c>
      <c r="N283" s="74">
        <f>IFERROR(__xludf.DUMMYFUNCTION("""COMPUTED_VALUE"""),1307.18)</f>
        <v>1307.18</v>
      </c>
      <c r="O283" s="74" t="str">
        <f t="shared" si="18"/>
        <v>1307,18</v>
      </c>
    </row>
    <row r="284">
      <c r="A284" s="86">
        <v>45646.0</v>
      </c>
      <c r="B284" s="20">
        <f t="shared" si="14"/>
        <v>1164.65</v>
      </c>
      <c r="C284" s="41">
        <f t="shared" si="15"/>
        <v>0.006061907011</v>
      </c>
      <c r="M284" s="78">
        <f>IFERROR(__xludf.DUMMYFUNCTION("""COMPUTED_VALUE"""),45485.0)</f>
        <v>45485</v>
      </c>
      <c r="N284" s="74">
        <f>IFERROR(__xludf.DUMMYFUNCTION("""COMPUTED_VALUE"""),1427.9)</f>
        <v>1427.9</v>
      </c>
      <c r="O284" s="74" t="str">
        <f t="shared" si="18"/>
        <v>1427,9</v>
      </c>
    </row>
    <row r="285">
      <c r="A285" s="86">
        <v>45645.0</v>
      </c>
      <c r="B285" s="20">
        <f t="shared" si="14"/>
        <v>1157.59</v>
      </c>
      <c r="C285" s="41">
        <f t="shared" si="15"/>
        <v>-0.003498648053</v>
      </c>
      <c r="M285" s="78">
        <f>IFERROR(__xludf.DUMMYFUNCTION("""COMPUTED_VALUE"""),45484.0)</f>
        <v>45484</v>
      </c>
      <c r="N285" s="74">
        <f>IFERROR(__xludf.DUMMYFUNCTION("""COMPUTED_VALUE"""),1414.42)</f>
        <v>1414.42</v>
      </c>
      <c r="O285" s="74" t="str">
        <f t="shared" si="18"/>
        <v>1414,42</v>
      </c>
    </row>
    <row r="286">
      <c r="A286" s="86">
        <v>45644.0</v>
      </c>
      <c r="B286" s="20">
        <f t="shared" si="14"/>
        <v>1161.64</v>
      </c>
      <c r="C286" s="41">
        <f t="shared" si="15"/>
        <v>0.009348851624</v>
      </c>
      <c r="M286" s="78">
        <f>IFERROR(__xludf.DUMMYFUNCTION("""COMPUTED_VALUE"""),45483.0)</f>
        <v>45483</v>
      </c>
      <c r="N286" s="74">
        <f>IFERROR(__xludf.DUMMYFUNCTION("""COMPUTED_VALUE"""),1390.55)</f>
        <v>1390.55</v>
      </c>
      <c r="O286" s="74" t="str">
        <f t="shared" si="18"/>
        <v>1390,55</v>
      </c>
    </row>
    <row r="287">
      <c r="A287" s="86">
        <v>45643.0</v>
      </c>
      <c r="B287" s="20">
        <f t="shared" si="14"/>
        <v>1150.78</v>
      </c>
      <c r="C287" s="41">
        <f t="shared" si="15"/>
        <v>0.0249569857</v>
      </c>
      <c r="M287" s="78">
        <f>IFERROR(__xludf.DUMMYFUNCTION("""COMPUTED_VALUE"""),45482.0)</f>
        <v>45482</v>
      </c>
      <c r="N287" s="74">
        <f>IFERROR(__xludf.DUMMYFUNCTION("""COMPUTED_VALUE"""),1386.59)</f>
        <v>1386.59</v>
      </c>
      <c r="O287" s="74" t="str">
        <f t="shared" si="18"/>
        <v>1386,59</v>
      </c>
    </row>
    <row r="288">
      <c r="A288" s="86">
        <v>45642.0</v>
      </c>
      <c r="B288" s="20">
        <f t="shared" si="14"/>
        <v>1122.06</v>
      </c>
      <c r="C288" s="41" t="str">
        <f t="shared" si="15"/>
        <v>#N/A</v>
      </c>
      <c r="M288" s="78">
        <f>IFERROR(__xludf.DUMMYFUNCTION("""COMPUTED_VALUE"""),45481.0)</f>
        <v>45481</v>
      </c>
      <c r="N288" s="74">
        <f>IFERROR(__xludf.DUMMYFUNCTION("""COMPUTED_VALUE"""),1386.59)</f>
        <v>1386.59</v>
      </c>
      <c r="O288" s="74" t="str">
        <f t="shared" si="18"/>
        <v>1386,59</v>
      </c>
    </row>
    <row r="289">
      <c r="A289" s="86">
        <v>45641.0</v>
      </c>
      <c r="B289" s="20" t="str">
        <f t="shared" si="14"/>
        <v>#N/A</v>
      </c>
      <c r="C289" s="41" t="str">
        <f t="shared" si="15"/>
        <v>#N/A</v>
      </c>
      <c r="M289" s="78">
        <f>IFERROR(__xludf.DUMMYFUNCTION("""COMPUTED_VALUE"""),45478.0)</f>
        <v>45478</v>
      </c>
      <c r="N289" s="74">
        <f>IFERROR(__xludf.DUMMYFUNCTION("""COMPUTED_VALUE"""),1392.38)</f>
        <v>1392.38</v>
      </c>
      <c r="O289" s="74" t="str">
        <f t="shared" si="18"/>
        <v>1392,38</v>
      </c>
    </row>
    <row r="290">
      <c r="A290" s="86">
        <v>45640.0</v>
      </c>
      <c r="B290" s="20" t="str">
        <f t="shared" si="14"/>
        <v>#N/A</v>
      </c>
      <c r="C290" s="41" t="str">
        <f t="shared" si="15"/>
        <v>#N/A</v>
      </c>
      <c r="M290" s="78">
        <f>IFERROR(__xludf.DUMMYFUNCTION("""COMPUTED_VALUE"""),45477.0)</f>
        <v>45477</v>
      </c>
      <c r="N290" s="74">
        <f>IFERROR(__xludf.DUMMYFUNCTION("""COMPUTED_VALUE"""),1398.43)</f>
        <v>1398.43</v>
      </c>
      <c r="O290" s="74" t="str">
        <f t="shared" si="18"/>
        <v>1398,43</v>
      </c>
    </row>
    <row r="291">
      <c r="A291" s="86">
        <v>45639.0</v>
      </c>
      <c r="B291" s="20">
        <f t="shared" si="14"/>
        <v>1092.37</v>
      </c>
      <c r="C291" s="41">
        <f t="shared" si="15"/>
        <v>0.02327050358</v>
      </c>
      <c r="M291" s="78">
        <f>IFERROR(__xludf.DUMMYFUNCTION("""COMPUTED_VALUE"""),45476.0)</f>
        <v>45476</v>
      </c>
      <c r="N291" s="74">
        <f>IFERROR(__xludf.DUMMYFUNCTION("""COMPUTED_VALUE"""),1394.29)</f>
        <v>1394.29</v>
      </c>
      <c r="O291" s="74" t="str">
        <f t="shared" si="18"/>
        <v>1394,29</v>
      </c>
    </row>
    <row r="292">
      <c r="A292" s="86">
        <v>45638.0</v>
      </c>
      <c r="B292" s="20">
        <f t="shared" si="14"/>
        <v>1066.95</v>
      </c>
      <c r="C292" s="41">
        <f t="shared" si="15"/>
        <v>-0.004198884671</v>
      </c>
      <c r="M292" s="78">
        <f>IFERROR(__xludf.DUMMYFUNCTION("""COMPUTED_VALUE"""),45475.0)</f>
        <v>45475</v>
      </c>
      <c r="N292" s="74">
        <f>IFERROR(__xludf.DUMMYFUNCTION("""COMPUTED_VALUE"""),1428.72)</f>
        <v>1428.72</v>
      </c>
      <c r="O292" s="74" t="str">
        <f t="shared" si="18"/>
        <v>1428,72</v>
      </c>
    </row>
    <row r="293">
      <c r="A293" s="86">
        <v>45637.0</v>
      </c>
      <c r="B293" s="20">
        <f t="shared" si="14"/>
        <v>1071.43</v>
      </c>
      <c r="C293" s="41">
        <f t="shared" si="15"/>
        <v>-0.004638660482</v>
      </c>
      <c r="M293" s="78">
        <f>IFERROR(__xludf.DUMMYFUNCTION("""COMPUTED_VALUE"""),45474.0)</f>
        <v>45474</v>
      </c>
      <c r="N293" s="74">
        <f>IFERROR(__xludf.DUMMYFUNCTION("""COMPUTED_VALUE"""),1412.48)</f>
        <v>1412.48</v>
      </c>
      <c r="O293" s="74" t="str">
        <f t="shared" si="18"/>
        <v>1412,48</v>
      </c>
    </row>
    <row r="294">
      <c r="A294" s="86">
        <v>45636.0</v>
      </c>
      <c r="B294" s="20">
        <f t="shared" si="14"/>
        <v>1076.4</v>
      </c>
      <c r="C294" s="41">
        <f t="shared" si="15"/>
        <v>0.004617242661</v>
      </c>
      <c r="M294" s="78">
        <f>IFERROR(__xludf.DUMMYFUNCTION("""COMPUTED_VALUE"""),45471.0)</f>
        <v>45471</v>
      </c>
      <c r="N294" s="74">
        <f>IFERROR(__xludf.DUMMYFUNCTION("""COMPUTED_VALUE"""),1350.18)</f>
        <v>1350.18</v>
      </c>
      <c r="O294" s="74" t="str">
        <f t="shared" si="18"/>
        <v>1350,18</v>
      </c>
    </row>
    <row r="295">
      <c r="A295" s="86">
        <v>45635.0</v>
      </c>
      <c r="B295" s="20">
        <f t="shared" si="14"/>
        <v>1071.43</v>
      </c>
      <c r="C295" s="41" t="str">
        <f t="shared" si="15"/>
        <v>#N/A</v>
      </c>
      <c r="M295" s="78">
        <f>IFERROR(__xludf.DUMMYFUNCTION("""COMPUTED_VALUE"""),45470.0)</f>
        <v>45470</v>
      </c>
      <c r="N295" s="74">
        <f>IFERROR(__xludf.DUMMYFUNCTION("""COMPUTED_VALUE"""),1345.7)</f>
        <v>1345.7</v>
      </c>
      <c r="O295" s="74" t="str">
        <f t="shared" si="18"/>
        <v>1345,7</v>
      </c>
    </row>
    <row r="296">
      <c r="A296" s="86">
        <v>45634.0</v>
      </c>
      <c r="B296" s="20" t="str">
        <f t="shared" si="14"/>
        <v>#N/A</v>
      </c>
      <c r="C296" s="41" t="str">
        <f t="shared" si="15"/>
        <v>#N/A</v>
      </c>
      <c r="M296" s="78">
        <f>IFERROR(__xludf.DUMMYFUNCTION("""COMPUTED_VALUE"""),45469.0)</f>
        <v>45469</v>
      </c>
      <c r="N296" s="74">
        <f>IFERROR(__xludf.DUMMYFUNCTION("""COMPUTED_VALUE"""),1341.13)</f>
        <v>1341.13</v>
      </c>
      <c r="O296" s="74" t="str">
        <f t="shared" si="18"/>
        <v>1341,13</v>
      </c>
    </row>
    <row r="297">
      <c r="A297" s="86">
        <v>45633.0</v>
      </c>
      <c r="B297" s="20" t="str">
        <f t="shared" si="14"/>
        <v>#N/A</v>
      </c>
      <c r="C297" s="41" t="str">
        <f t="shared" si="15"/>
        <v>#N/A</v>
      </c>
      <c r="M297" s="78">
        <f>IFERROR(__xludf.DUMMYFUNCTION("""COMPUTED_VALUE"""),45468.0)</f>
        <v>45468</v>
      </c>
      <c r="N297" s="74">
        <f>IFERROR(__xludf.DUMMYFUNCTION("""COMPUTED_VALUE"""),1312.66)</f>
        <v>1312.66</v>
      </c>
      <c r="O297" s="74" t="str">
        <f t="shared" si="18"/>
        <v>1312,66</v>
      </c>
    </row>
    <row r="298">
      <c r="A298" s="86">
        <v>45632.0</v>
      </c>
      <c r="B298" s="20">
        <f t="shared" si="14"/>
        <v>1074.2</v>
      </c>
      <c r="C298" s="41">
        <f t="shared" si="15"/>
        <v>-0.01179482406</v>
      </c>
      <c r="M298" s="78">
        <f>IFERROR(__xludf.DUMMYFUNCTION("""COMPUTED_VALUE"""),45467.0)</f>
        <v>45467</v>
      </c>
      <c r="N298" s="74">
        <f>IFERROR(__xludf.DUMMYFUNCTION("""COMPUTED_VALUE"""),1313.69)</f>
        <v>1313.69</v>
      </c>
      <c r="O298" s="74" t="str">
        <f t="shared" si="18"/>
        <v>1313,69</v>
      </c>
    </row>
    <row r="299">
      <c r="A299" s="86">
        <v>45631.0</v>
      </c>
      <c r="B299" s="20">
        <f t="shared" si="14"/>
        <v>1086.87</v>
      </c>
      <c r="C299" s="41">
        <f t="shared" si="15"/>
        <v>-0.01464756595</v>
      </c>
      <c r="M299" s="78">
        <f>IFERROR(__xludf.DUMMYFUNCTION("""COMPUTED_VALUE"""),45464.0)</f>
        <v>45464</v>
      </c>
      <c r="N299" s="74">
        <f>IFERROR(__xludf.DUMMYFUNCTION("""COMPUTED_VALUE"""),1291.63)</f>
        <v>1291.63</v>
      </c>
      <c r="O299" s="74" t="str">
        <f t="shared" si="18"/>
        <v>1291,63</v>
      </c>
    </row>
    <row r="300">
      <c r="A300" s="86">
        <v>45630.0</v>
      </c>
      <c r="B300" s="20">
        <f t="shared" si="14"/>
        <v>1102.79</v>
      </c>
      <c r="C300" s="41">
        <f t="shared" si="15"/>
        <v>-0.002838255697</v>
      </c>
      <c r="M300" s="78">
        <f>IFERROR(__xludf.DUMMYFUNCTION("""COMPUTED_VALUE"""),45463.0)</f>
        <v>45463</v>
      </c>
      <c r="N300" s="74">
        <f>IFERROR(__xludf.DUMMYFUNCTION("""COMPUTED_VALUE"""),1291.63)</f>
        <v>1291.63</v>
      </c>
      <c r="O300" s="74" t="str">
        <f t="shared" si="18"/>
        <v>1291,63</v>
      </c>
    </row>
    <row r="301">
      <c r="A301" s="86">
        <v>45629.0</v>
      </c>
      <c r="B301" s="20">
        <f t="shared" si="14"/>
        <v>1105.92</v>
      </c>
      <c r="C301" s="41">
        <f t="shared" si="15"/>
        <v>0.00744176794</v>
      </c>
      <c r="M301" s="78">
        <f>IFERROR(__xludf.DUMMYFUNCTION("""COMPUTED_VALUE"""),45462.0)</f>
        <v>45462</v>
      </c>
      <c r="N301" s="74">
        <f>IFERROR(__xludf.DUMMYFUNCTION("""COMPUTED_VALUE"""),1291.63)</f>
        <v>1291.63</v>
      </c>
      <c r="O301" s="74" t="str">
        <f t="shared" si="18"/>
        <v>1291,63</v>
      </c>
    </row>
    <row r="302">
      <c r="A302" s="86">
        <v>45628.0</v>
      </c>
      <c r="B302" s="20">
        <f t="shared" si="14"/>
        <v>1097.69</v>
      </c>
      <c r="C302" s="41" t="str">
        <f t="shared" si="15"/>
        <v>#N/A</v>
      </c>
      <c r="M302" s="78">
        <f>IFERROR(__xludf.DUMMYFUNCTION("""COMPUTED_VALUE"""),45461.0)</f>
        <v>45461</v>
      </c>
      <c r="N302" s="74">
        <f>IFERROR(__xludf.DUMMYFUNCTION("""COMPUTED_VALUE"""),1264.17)</f>
        <v>1264.17</v>
      </c>
      <c r="O302" s="74" t="str">
        <f t="shared" si="18"/>
        <v>1264,17</v>
      </c>
    </row>
    <row r="303">
      <c r="A303" s="86">
        <v>45627.0</v>
      </c>
      <c r="B303" s="20" t="str">
        <f t="shared" si="14"/>
        <v>#N/A</v>
      </c>
      <c r="C303" s="41" t="str">
        <f t="shared" si="15"/>
        <v>#N/A</v>
      </c>
      <c r="M303" s="78">
        <f>IFERROR(__xludf.DUMMYFUNCTION("""COMPUTED_VALUE"""),45460.0)</f>
        <v>45460</v>
      </c>
      <c r="N303" s="74">
        <f>IFERROR(__xludf.DUMMYFUNCTION("""COMPUTED_VALUE"""),1267.39)</f>
        <v>1267.39</v>
      </c>
      <c r="O303" s="74" t="str">
        <f t="shared" si="18"/>
        <v>1267,39</v>
      </c>
    </row>
    <row r="304">
      <c r="A304" s="86">
        <v>45626.0</v>
      </c>
      <c r="B304" s="20" t="str">
        <f t="shared" si="14"/>
        <v>#N/A</v>
      </c>
      <c r="C304" s="41" t="str">
        <f t="shared" si="15"/>
        <v>#N/A</v>
      </c>
      <c r="M304" s="78">
        <f>IFERROR(__xludf.DUMMYFUNCTION("""COMPUTED_VALUE"""),45457.0)</f>
        <v>45457</v>
      </c>
      <c r="N304" s="74">
        <f>IFERROR(__xludf.DUMMYFUNCTION("""COMPUTED_VALUE"""),1267.49)</f>
        <v>1267.49</v>
      </c>
      <c r="O304" s="74" t="str">
        <f t="shared" si="18"/>
        <v>1267,49</v>
      </c>
    </row>
    <row r="305">
      <c r="A305" s="86">
        <v>45625.0</v>
      </c>
      <c r="B305" s="20">
        <f t="shared" si="14"/>
        <v>1109.33</v>
      </c>
      <c r="C305" s="41">
        <f t="shared" si="15"/>
        <v>0.001388225325</v>
      </c>
      <c r="M305" s="78">
        <f>IFERROR(__xludf.DUMMYFUNCTION("""COMPUTED_VALUE"""),45456.0)</f>
        <v>45456</v>
      </c>
      <c r="N305" s="74">
        <f>IFERROR(__xludf.DUMMYFUNCTION("""COMPUTED_VALUE"""),1274.21)</f>
        <v>1274.21</v>
      </c>
      <c r="O305" s="74" t="str">
        <f t="shared" si="18"/>
        <v>1274,21</v>
      </c>
    </row>
    <row r="306">
      <c r="A306" s="86">
        <v>45624.0</v>
      </c>
      <c r="B306" s="20">
        <f t="shared" si="14"/>
        <v>1107.79</v>
      </c>
      <c r="C306" s="41">
        <f t="shared" si="15"/>
        <v>0.002599770715</v>
      </c>
      <c r="M306" s="78">
        <f>IFERROR(__xludf.DUMMYFUNCTION("""COMPUTED_VALUE"""),45455.0)</f>
        <v>45455</v>
      </c>
      <c r="N306" s="74">
        <f>IFERROR(__xludf.DUMMYFUNCTION("""COMPUTED_VALUE"""),1301.89)</f>
        <v>1301.89</v>
      </c>
      <c r="O306" s="74" t="str">
        <f t="shared" si="18"/>
        <v>1301,89</v>
      </c>
    </row>
    <row r="307">
      <c r="A307" s="86">
        <v>45623.0</v>
      </c>
      <c r="B307" s="20">
        <f t="shared" si="14"/>
        <v>1104.91</v>
      </c>
      <c r="C307" s="41">
        <f t="shared" si="15"/>
        <v>-0.002416486411</v>
      </c>
      <c r="M307" s="78">
        <f>IFERROR(__xludf.DUMMYFUNCTION("""COMPUTED_VALUE"""),45454.0)</f>
        <v>45454</v>
      </c>
      <c r="N307" s="74">
        <f>IFERROR(__xludf.DUMMYFUNCTION("""COMPUTED_VALUE"""),1305.54)</f>
        <v>1305.54</v>
      </c>
      <c r="O307" s="74" t="str">
        <f t="shared" si="18"/>
        <v>1305,54</v>
      </c>
    </row>
    <row r="308">
      <c r="A308" s="86">
        <v>45622.0</v>
      </c>
      <c r="B308" s="20">
        <f t="shared" si="14"/>
        <v>1107.58</v>
      </c>
      <c r="C308" s="41">
        <f t="shared" si="15"/>
        <v>-0.002284259376</v>
      </c>
      <c r="M308" s="78">
        <f>IFERROR(__xludf.DUMMYFUNCTION("""COMPUTED_VALUE"""),45453.0)</f>
        <v>45453</v>
      </c>
      <c r="N308" s="74">
        <f>IFERROR(__xludf.DUMMYFUNCTION("""COMPUTED_VALUE"""),1306.41)</f>
        <v>1306.41</v>
      </c>
      <c r="O308" s="74" t="str">
        <f t="shared" si="18"/>
        <v>1306,41</v>
      </c>
    </row>
    <row r="309">
      <c r="A309" s="86">
        <v>45621.0</v>
      </c>
      <c r="B309" s="20">
        <f t="shared" si="14"/>
        <v>1110.11</v>
      </c>
      <c r="C309" s="41" t="str">
        <f t="shared" si="15"/>
        <v>#N/A</v>
      </c>
      <c r="M309" s="78">
        <f>IFERROR(__xludf.DUMMYFUNCTION("""COMPUTED_VALUE"""),45450.0)</f>
        <v>45450</v>
      </c>
      <c r="N309" s="74">
        <f>IFERROR(__xludf.DUMMYFUNCTION("""COMPUTED_VALUE"""),1312.5)</f>
        <v>1312.5</v>
      </c>
      <c r="O309" s="74" t="str">
        <f t="shared" si="18"/>
        <v>1312,5</v>
      </c>
    </row>
    <row r="310">
      <c r="A310" s="86">
        <v>45620.0</v>
      </c>
      <c r="B310" s="20" t="str">
        <f t="shared" si="14"/>
        <v>#N/A</v>
      </c>
      <c r="C310" s="41" t="str">
        <f t="shared" si="15"/>
        <v>#N/A</v>
      </c>
      <c r="M310" s="78">
        <f>IFERROR(__xludf.DUMMYFUNCTION("""COMPUTED_VALUE"""),45449.0)</f>
        <v>45449</v>
      </c>
      <c r="N310" s="74">
        <f>IFERROR(__xludf.DUMMYFUNCTION("""COMPUTED_VALUE"""),1297.19)</f>
        <v>1297.19</v>
      </c>
      <c r="O310" s="74" t="str">
        <f t="shared" si="18"/>
        <v>1297,19</v>
      </c>
    </row>
    <row r="311">
      <c r="A311" s="86">
        <v>45619.0</v>
      </c>
      <c r="B311" s="20" t="str">
        <f t="shared" si="14"/>
        <v>#N/A</v>
      </c>
      <c r="C311" s="41" t="str">
        <f t="shared" si="15"/>
        <v>#N/A</v>
      </c>
      <c r="M311" s="78">
        <f>IFERROR(__xludf.DUMMYFUNCTION("""COMPUTED_VALUE"""),45448.0)</f>
        <v>45448</v>
      </c>
      <c r="N311" s="74">
        <f>IFERROR(__xludf.DUMMYFUNCTION("""COMPUTED_VALUE"""),1304.57)</f>
        <v>1304.57</v>
      </c>
      <c r="O311" s="74" t="str">
        <f t="shared" si="18"/>
        <v>1304,57</v>
      </c>
    </row>
    <row r="312">
      <c r="A312" s="86">
        <v>45618.0</v>
      </c>
      <c r="B312" s="20">
        <f t="shared" si="14"/>
        <v>1106.07</v>
      </c>
      <c r="C312" s="41">
        <f t="shared" si="15"/>
        <v>-0.004674206877</v>
      </c>
      <c r="M312" s="78">
        <f>IFERROR(__xludf.DUMMYFUNCTION("""COMPUTED_VALUE"""),45447.0)</f>
        <v>45447</v>
      </c>
      <c r="N312" s="74">
        <f>IFERROR(__xludf.DUMMYFUNCTION("""COMPUTED_VALUE"""),1311.29)</f>
        <v>1311.29</v>
      </c>
      <c r="O312" s="74" t="str">
        <f t="shared" si="18"/>
        <v>1311,29</v>
      </c>
    </row>
    <row r="313">
      <c r="A313" s="86">
        <v>45617.0</v>
      </c>
      <c r="B313" s="20">
        <f t="shared" si="14"/>
        <v>1111.24</v>
      </c>
      <c r="C313" s="41">
        <f t="shared" si="15"/>
        <v>-0.0001259853857</v>
      </c>
      <c r="M313" s="78">
        <f>IFERROR(__xludf.DUMMYFUNCTION("""COMPUTED_VALUE"""),45446.0)</f>
        <v>45446</v>
      </c>
      <c r="N313" s="74">
        <f>IFERROR(__xludf.DUMMYFUNCTION("""COMPUTED_VALUE"""),1297.47)</f>
        <v>1297.47</v>
      </c>
      <c r="O313" s="74" t="str">
        <f t="shared" si="18"/>
        <v>1297,47</v>
      </c>
    </row>
    <row r="314">
      <c r="A314" s="86">
        <v>45616.0</v>
      </c>
      <c r="B314" s="20">
        <f t="shared" si="14"/>
        <v>1111.38</v>
      </c>
      <c r="C314" s="41">
        <f t="shared" si="15"/>
        <v>0.004597887311</v>
      </c>
      <c r="M314" s="78">
        <f>IFERROR(__xludf.DUMMYFUNCTION("""COMPUTED_VALUE"""),45443.0)</f>
        <v>45443</v>
      </c>
      <c r="N314" s="74">
        <f>IFERROR(__xludf.DUMMYFUNCTION("""COMPUTED_VALUE"""),1246.82)</f>
        <v>1246.82</v>
      </c>
      <c r="O314" s="74" t="str">
        <f t="shared" si="18"/>
        <v>1246,82</v>
      </c>
    </row>
    <row r="315">
      <c r="A315" s="86">
        <v>45615.0</v>
      </c>
      <c r="B315" s="20">
        <f t="shared" si="14"/>
        <v>1106.27</v>
      </c>
      <c r="C315" s="41">
        <f t="shared" si="15"/>
        <v>-0.02520180426</v>
      </c>
      <c r="M315" s="78">
        <f>IFERROR(__xludf.DUMMYFUNCTION("""COMPUTED_VALUE"""),45442.0)</f>
        <v>45442</v>
      </c>
      <c r="N315" s="74">
        <f>IFERROR(__xludf.DUMMYFUNCTION("""COMPUTED_VALUE"""),1213.28)</f>
        <v>1213.28</v>
      </c>
      <c r="O315" s="74" t="str">
        <f t="shared" si="18"/>
        <v>1213,28</v>
      </c>
    </row>
    <row r="316">
      <c r="A316" s="86">
        <v>45614.0</v>
      </c>
      <c r="B316" s="20">
        <f t="shared" si="14"/>
        <v>1134.15</v>
      </c>
      <c r="C316" s="41" t="str">
        <f t="shared" si="15"/>
        <v>#N/A</v>
      </c>
      <c r="M316" s="78">
        <f>IFERROR(__xludf.DUMMYFUNCTION("""COMPUTED_VALUE"""),45441.0)</f>
        <v>45441</v>
      </c>
      <c r="N316" s="74">
        <f>IFERROR(__xludf.DUMMYFUNCTION("""COMPUTED_VALUE"""),1214.74)</f>
        <v>1214.74</v>
      </c>
      <c r="O316" s="74" t="str">
        <f t="shared" si="18"/>
        <v>1214,74</v>
      </c>
    </row>
    <row r="317">
      <c r="A317" s="86">
        <v>45613.0</v>
      </c>
      <c r="B317" s="20" t="str">
        <f t="shared" si="14"/>
        <v>#N/A</v>
      </c>
      <c r="C317" s="41" t="str">
        <f t="shared" si="15"/>
        <v>#N/A</v>
      </c>
      <c r="M317" s="78">
        <f>IFERROR(__xludf.DUMMYFUNCTION("""COMPUTED_VALUE"""),45440.0)</f>
        <v>45440</v>
      </c>
      <c r="N317" s="74">
        <f>IFERROR(__xludf.DUMMYFUNCTION("""COMPUTED_VALUE"""),1233.75)</f>
        <v>1233.75</v>
      </c>
      <c r="O317" s="74" t="str">
        <f t="shared" si="18"/>
        <v>1233,75</v>
      </c>
    </row>
    <row r="318">
      <c r="A318" s="86">
        <v>45612.0</v>
      </c>
      <c r="B318" s="20" t="str">
        <f t="shared" si="14"/>
        <v>#N/A</v>
      </c>
      <c r="C318" s="41" t="str">
        <f t="shared" si="15"/>
        <v>#N/A</v>
      </c>
      <c r="M318" s="78">
        <f>IFERROR(__xludf.DUMMYFUNCTION("""COMPUTED_VALUE"""),45439.0)</f>
        <v>45439</v>
      </c>
      <c r="N318" s="74">
        <f>IFERROR(__xludf.DUMMYFUNCTION("""COMPUTED_VALUE"""),1244.56)</f>
        <v>1244.56</v>
      </c>
      <c r="O318" s="74" t="str">
        <f t="shared" si="18"/>
        <v>1244,56</v>
      </c>
    </row>
    <row r="319">
      <c r="A319" s="86">
        <v>45611.0</v>
      </c>
      <c r="B319" s="20">
        <f t="shared" si="14"/>
        <v>1136.64</v>
      </c>
      <c r="C319" s="41">
        <f t="shared" si="15"/>
        <v>-0.01854588964</v>
      </c>
      <c r="M319" s="78">
        <f>IFERROR(__xludf.DUMMYFUNCTION("""COMPUTED_VALUE"""),45436.0)</f>
        <v>45436</v>
      </c>
      <c r="N319" s="74">
        <f>IFERROR(__xludf.DUMMYFUNCTION("""COMPUTED_VALUE"""),1234.96)</f>
        <v>1234.96</v>
      </c>
      <c r="O319" s="74" t="str">
        <f t="shared" si="18"/>
        <v>1234,96</v>
      </c>
    </row>
    <row r="320">
      <c r="A320" s="86">
        <v>45610.0</v>
      </c>
      <c r="B320" s="20">
        <f t="shared" si="14"/>
        <v>1157.72</v>
      </c>
      <c r="C320" s="41">
        <f t="shared" si="15"/>
        <v>0.001554780085</v>
      </c>
      <c r="M320" s="78">
        <f>IFERROR(__xludf.DUMMYFUNCTION("""COMPUTED_VALUE"""),45435.0)</f>
        <v>45435</v>
      </c>
      <c r="N320" s="74">
        <f>IFERROR(__xludf.DUMMYFUNCTION("""COMPUTED_VALUE"""),1256.04)</f>
        <v>1256.04</v>
      </c>
      <c r="O320" s="74" t="str">
        <f t="shared" si="18"/>
        <v>1256,04</v>
      </c>
    </row>
    <row r="321">
      <c r="A321" s="86">
        <v>45609.0</v>
      </c>
      <c r="B321" s="20">
        <f t="shared" si="14"/>
        <v>1155.92</v>
      </c>
      <c r="C321" s="41">
        <f t="shared" si="15"/>
        <v>-0.00646238494</v>
      </c>
      <c r="M321" s="78">
        <f>IFERROR(__xludf.DUMMYFUNCTION("""COMPUTED_VALUE"""),45434.0)</f>
        <v>45434</v>
      </c>
      <c r="N321" s="74">
        <f>IFERROR(__xludf.DUMMYFUNCTION("""COMPUTED_VALUE"""),1256.39)</f>
        <v>1256.39</v>
      </c>
      <c r="O321" s="74" t="str">
        <f t="shared" si="18"/>
        <v>1256,39</v>
      </c>
    </row>
    <row r="322">
      <c r="A322" s="86">
        <v>45608.0</v>
      </c>
      <c r="B322" s="20">
        <f t="shared" si="14"/>
        <v>1163.39</v>
      </c>
      <c r="C322" s="41">
        <f t="shared" si="15"/>
        <v>0</v>
      </c>
      <c r="M322" s="78">
        <f>IFERROR(__xludf.DUMMYFUNCTION("""COMPUTED_VALUE"""),45433.0)</f>
        <v>45433</v>
      </c>
      <c r="N322" s="74">
        <f>IFERROR(__xludf.DUMMYFUNCTION("""COMPUTED_VALUE"""),1195.46)</f>
        <v>1195.46</v>
      </c>
      <c r="O322" s="74" t="str">
        <f t="shared" si="18"/>
        <v>1195,46</v>
      </c>
    </row>
    <row r="323">
      <c r="A323" s="86">
        <v>45607.0</v>
      </c>
      <c r="B323" s="20">
        <f t="shared" si="14"/>
        <v>1163.39</v>
      </c>
      <c r="C323" s="41" t="str">
        <f t="shared" si="15"/>
        <v>#N/A</v>
      </c>
      <c r="M323" s="78">
        <f>IFERROR(__xludf.DUMMYFUNCTION("""COMPUTED_VALUE"""),45432.0)</f>
        <v>45432</v>
      </c>
      <c r="N323" s="74">
        <f>IFERROR(__xludf.DUMMYFUNCTION("""COMPUTED_VALUE"""),1142.54)</f>
        <v>1142.54</v>
      </c>
      <c r="O323" s="74" t="str">
        <f t="shared" si="18"/>
        <v>1142,54</v>
      </c>
    </row>
    <row r="324">
      <c r="A324" s="86">
        <v>45606.0</v>
      </c>
      <c r="B324" s="20" t="str">
        <f t="shared" si="14"/>
        <v>#N/A</v>
      </c>
      <c r="C324" s="41" t="str">
        <f t="shared" si="15"/>
        <v>#N/A</v>
      </c>
      <c r="M324" s="78">
        <f>IFERROR(__xludf.DUMMYFUNCTION("""COMPUTED_VALUE"""),45429.0)</f>
        <v>45429</v>
      </c>
      <c r="N324" s="74">
        <f>IFERROR(__xludf.DUMMYFUNCTION("""COMPUTED_VALUE"""),1103.69)</f>
        <v>1103.69</v>
      </c>
      <c r="O324" s="74" t="str">
        <f t="shared" si="18"/>
        <v>1103,69</v>
      </c>
    </row>
    <row r="325">
      <c r="A325" s="86">
        <v>45605.0</v>
      </c>
      <c r="B325" s="20" t="str">
        <f t="shared" si="14"/>
        <v>#N/A</v>
      </c>
      <c r="C325" s="41" t="str">
        <f t="shared" si="15"/>
        <v>#N/A</v>
      </c>
      <c r="M325" s="78">
        <f>IFERROR(__xludf.DUMMYFUNCTION("""COMPUTED_VALUE"""),45428.0)</f>
        <v>45428</v>
      </c>
      <c r="N325" s="74">
        <f>IFERROR(__xludf.DUMMYFUNCTION("""COMPUTED_VALUE"""),1099.3)</f>
        <v>1099.3</v>
      </c>
      <c r="O325" s="74" t="str">
        <f t="shared" si="18"/>
        <v>1099,3</v>
      </c>
    </row>
    <row r="326">
      <c r="A326" s="86">
        <v>45604.0</v>
      </c>
      <c r="B326" s="20">
        <f t="shared" si="14"/>
        <v>1158.29</v>
      </c>
      <c r="C326" s="41">
        <f t="shared" si="15"/>
        <v>-0.005145516235</v>
      </c>
      <c r="M326" s="78">
        <f>IFERROR(__xludf.DUMMYFUNCTION("""COMPUTED_VALUE"""),45427.0)</f>
        <v>45427</v>
      </c>
      <c r="N326" s="74">
        <f>IFERROR(__xludf.DUMMYFUNCTION("""COMPUTED_VALUE"""),1092.37)</f>
        <v>1092.37</v>
      </c>
      <c r="O326" s="74" t="str">
        <f t="shared" si="18"/>
        <v>1092,37</v>
      </c>
    </row>
    <row r="327">
      <c r="A327" s="86">
        <v>45603.0</v>
      </c>
      <c r="B327" s="20">
        <f t="shared" si="14"/>
        <v>1164.25</v>
      </c>
      <c r="C327" s="41">
        <f t="shared" si="15"/>
        <v>-0.003727721709</v>
      </c>
      <c r="M327" s="78">
        <f>IFERROR(__xludf.DUMMYFUNCTION("""COMPUTED_VALUE"""),45426.0)</f>
        <v>45426</v>
      </c>
      <c r="N327" s="74">
        <f>IFERROR(__xludf.DUMMYFUNCTION("""COMPUTED_VALUE"""),1084.68)</f>
        <v>1084.68</v>
      </c>
      <c r="O327" s="74" t="str">
        <f t="shared" si="18"/>
        <v>1084,68</v>
      </c>
    </row>
    <row r="328">
      <c r="A328" s="86">
        <v>45602.0</v>
      </c>
      <c r="B328" s="20">
        <f t="shared" si="14"/>
        <v>1168.59</v>
      </c>
      <c r="C328" s="41">
        <f t="shared" si="15"/>
        <v>-0.01132989329</v>
      </c>
      <c r="M328" s="78">
        <f>IFERROR(__xludf.DUMMYFUNCTION("""COMPUTED_VALUE"""),45425.0)</f>
        <v>45425</v>
      </c>
      <c r="N328" s="74">
        <f>IFERROR(__xludf.DUMMYFUNCTION("""COMPUTED_VALUE"""),1075.65)</f>
        <v>1075.65</v>
      </c>
      <c r="O328" s="74" t="str">
        <f t="shared" si="18"/>
        <v>1075,65</v>
      </c>
    </row>
    <row r="329">
      <c r="A329" s="86">
        <v>45601.0</v>
      </c>
      <c r="B329" s="20">
        <f t="shared" si="14"/>
        <v>1181.83</v>
      </c>
      <c r="C329" s="41">
        <f t="shared" si="15"/>
        <v>0.002597666331</v>
      </c>
      <c r="M329" s="78">
        <f>IFERROR(__xludf.DUMMYFUNCTION("""COMPUTED_VALUE"""),45422.0)</f>
        <v>45422</v>
      </c>
      <c r="N329" s="74">
        <f>IFERROR(__xludf.DUMMYFUNCTION("""COMPUTED_VALUE"""),1078.58)</f>
        <v>1078.58</v>
      </c>
      <c r="O329" s="74" t="str">
        <f t="shared" si="18"/>
        <v>1078,58</v>
      </c>
    </row>
    <row r="330">
      <c r="A330" s="86">
        <v>45600.0</v>
      </c>
      <c r="B330" s="20">
        <f t="shared" si="14"/>
        <v>1178.76</v>
      </c>
      <c r="C330" s="41" t="str">
        <f t="shared" si="15"/>
        <v>#N/A</v>
      </c>
      <c r="M330" s="78">
        <f>IFERROR(__xludf.DUMMYFUNCTION("""COMPUTED_VALUE"""),45421.0)</f>
        <v>45421</v>
      </c>
      <c r="N330" s="74">
        <f>IFERROR(__xludf.DUMMYFUNCTION("""COMPUTED_VALUE"""),1083.51)</f>
        <v>1083.51</v>
      </c>
      <c r="O330" s="74" t="str">
        <f t="shared" si="18"/>
        <v>1083,51</v>
      </c>
    </row>
    <row r="331">
      <c r="A331" s="86">
        <v>45599.0</v>
      </c>
      <c r="B331" s="20" t="str">
        <f t="shared" si="14"/>
        <v>#N/A</v>
      </c>
      <c r="C331" s="41" t="str">
        <f t="shared" si="15"/>
        <v>#N/A</v>
      </c>
      <c r="M331" s="78">
        <f>IFERROR(__xludf.DUMMYFUNCTION("""COMPUTED_VALUE"""),45420.0)</f>
        <v>45420</v>
      </c>
      <c r="N331" s="74">
        <f>IFERROR(__xludf.DUMMYFUNCTION("""COMPUTED_VALUE"""),1076.02)</f>
        <v>1076.02</v>
      </c>
      <c r="O331" s="74" t="str">
        <f t="shared" si="18"/>
        <v>1076,02</v>
      </c>
    </row>
    <row r="332">
      <c r="A332" s="86">
        <v>45598.0</v>
      </c>
      <c r="B332" s="20" t="str">
        <f t="shared" si="14"/>
        <v>#N/A</v>
      </c>
      <c r="C332" s="41" t="str">
        <f t="shared" si="15"/>
        <v>#N/A</v>
      </c>
      <c r="M332" s="78">
        <f>IFERROR(__xludf.DUMMYFUNCTION("""COMPUTED_VALUE"""),45419.0)</f>
        <v>45419</v>
      </c>
      <c r="N332" s="74">
        <f>IFERROR(__xludf.DUMMYFUNCTION("""COMPUTED_VALUE"""),1094.7)</f>
        <v>1094.7</v>
      </c>
      <c r="O332" s="74" t="str">
        <f t="shared" si="18"/>
        <v>1094,7</v>
      </c>
    </row>
    <row r="333">
      <c r="A333" s="86">
        <v>45597.0</v>
      </c>
      <c r="B333" s="20">
        <f t="shared" si="14"/>
        <v>1177.29</v>
      </c>
      <c r="C333" s="41">
        <f t="shared" si="15"/>
        <v>0.01628315878</v>
      </c>
      <c r="M333" s="78">
        <f>IFERROR(__xludf.DUMMYFUNCTION("""COMPUTED_VALUE"""),45418.0)</f>
        <v>45418</v>
      </c>
      <c r="N333" s="74">
        <f>IFERROR(__xludf.DUMMYFUNCTION("""COMPUTED_VALUE"""),1108.31)</f>
        <v>1108.31</v>
      </c>
      <c r="O333" s="74" t="str">
        <f t="shared" si="18"/>
        <v>1108,31</v>
      </c>
    </row>
    <row r="334">
      <c r="A334" s="86">
        <v>45596.0</v>
      </c>
      <c r="B334" s="20">
        <f t="shared" si="14"/>
        <v>1158.12</v>
      </c>
      <c r="C334" s="41">
        <f t="shared" si="15"/>
        <v>-0.0004144648223</v>
      </c>
      <c r="M334" s="78">
        <f>IFERROR(__xludf.DUMMYFUNCTION("""COMPUTED_VALUE"""),45415.0)</f>
        <v>45415</v>
      </c>
      <c r="N334" s="74">
        <f>IFERROR(__xludf.DUMMYFUNCTION("""COMPUTED_VALUE"""),1121.12)</f>
        <v>1121.12</v>
      </c>
      <c r="O334" s="74" t="str">
        <f t="shared" si="18"/>
        <v>1121,12</v>
      </c>
    </row>
    <row r="335">
      <c r="A335" s="86">
        <v>45595.0</v>
      </c>
      <c r="B335" s="20">
        <f t="shared" si="14"/>
        <v>1158.6</v>
      </c>
      <c r="C335" s="41">
        <f t="shared" si="15"/>
        <v>0.003193509408</v>
      </c>
      <c r="M335" s="78">
        <f>IFERROR(__xludf.DUMMYFUNCTION("""COMPUTED_VALUE"""),45414.0)</f>
        <v>45414</v>
      </c>
      <c r="N335" s="74">
        <f>IFERROR(__xludf.DUMMYFUNCTION("""COMPUTED_VALUE"""),1120.29)</f>
        <v>1120.29</v>
      </c>
      <c r="O335" s="74" t="str">
        <f t="shared" si="18"/>
        <v>1120,29</v>
      </c>
    </row>
    <row r="336">
      <c r="A336" s="86">
        <v>45594.0</v>
      </c>
      <c r="B336" s="20">
        <f t="shared" si="14"/>
        <v>1154.9</v>
      </c>
      <c r="C336" s="41">
        <f t="shared" si="15"/>
        <v>0.0001125638583</v>
      </c>
      <c r="M336" s="78">
        <f>IFERROR(__xludf.DUMMYFUNCTION("""COMPUTED_VALUE"""),45413.0)</f>
        <v>45413</v>
      </c>
      <c r="N336" s="74">
        <f>IFERROR(__xludf.DUMMYFUNCTION("""COMPUTED_VALUE"""),1091.95)</f>
        <v>1091.95</v>
      </c>
      <c r="O336" s="74" t="str">
        <f t="shared" si="18"/>
        <v>1091,95</v>
      </c>
    </row>
    <row r="337">
      <c r="A337" s="86">
        <v>45593.0</v>
      </c>
      <c r="B337" s="20">
        <f t="shared" si="14"/>
        <v>1154.77</v>
      </c>
      <c r="C337" s="41" t="str">
        <f t="shared" si="15"/>
        <v>#N/A</v>
      </c>
      <c r="M337" s="78">
        <f>IFERROR(__xludf.DUMMYFUNCTION("""COMPUTED_VALUE"""),45412.0)</f>
        <v>45412</v>
      </c>
      <c r="N337" s="74">
        <f>IFERROR(__xludf.DUMMYFUNCTION("""COMPUTED_VALUE"""),1092.13)</f>
        <v>1092.13</v>
      </c>
      <c r="O337" s="74" t="str">
        <f t="shared" si="18"/>
        <v>1092,13</v>
      </c>
    </row>
    <row r="338">
      <c r="A338" s="86">
        <v>45592.0</v>
      </c>
      <c r="B338" s="20" t="str">
        <f t="shared" si="14"/>
        <v>#N/A</v>
      </c>
      <c r="C338" s="41" t="str">
        <f t="shared" si="15"/>
        <v>#N/A</v>
      </c>
      <c r="M338" s="78">
        <f>IFERROR(__xludf.DUMMYFUNCTION("""COMPUTED_VALUE"""),45411.0)</f>
        <v>45411</v>
      </c>
      <c r="N338" s="74">
        <f>IFERROR(__xludf.DUMMYFUNCTION("""COMPUTED_VALUE"""),1090.65)</f>
        <v>1090.65</v>
      </c>
      <c r="O338" s="74" t="str">
        <f t="shared" si="18"/>
        <v>1090,65</v>
      </c>
    </row>
    <row r="339">
      <c r="A339" s="86">
        <v>45591.0</v>
      </c>
      <c r="B339" s="20" t="str">
        <f t="shared" si="14"/>
        <v>#N/A</v>
      </c>
      <c r="C339" s="41" t="str">
        <f t="shared" si="15"/>
        <v>#N/A</v>
      </c>
      <c r="M339" s="78">
        <f>IFERROR(__xludf.DUMMYFUNCTION("""COMPUTED_VALUE"""),45408.0)</f>
        <v>45408</v>
      </c>
      <c r="N339" s="74">
        <f>IFERROR(__xludf.DUMMYFUNCTION("""COMPUTED_VALUE"""),1085.25)</f>
        <v>1085.25</v>
      </c>
      <c r="O339" s="74" t="str">
        <f t="shared" si="18"/>
        <v>1085,25</v>
      </c>
    </row>
    <row r="340">
      <c r="A340" s="86">
        <v>45590.0</v>
      </c>
      <c r="B340" s="20">
        <f t="shared" si="14"/>
        <v>1163.53</v>
      </c>
      <c r="C340" s="41">
        <f t="shared" si="15"/>
        <v>-0.0138114187</v>
      </c>
      <c r="M340" s="78">
        <f>IFERROR(__xludf.DUMMYFUNCTION("""COMPUTED_VALUE"""),45407.0)</f>
        <v>45407</v>
      </c>
      <c r="N340" s="74">
        <f>IFERROR(__xludf.DUMMYFUNCTION("""COMPUTED_VALUE"""),1080.88)</f>
        <v>1080.88</v>
      </c>
      <c r="O340" s="74" t="str">
        <f t="shared" si="18"/>
        <v>1080,88</v>
      </c>
    </row>
    <row r="341">
      <c r="A341" s="86">
        <v>45589.0</v>
      </c>
      <c r="B341" s="20">
        <f t="shared" si="14"/>
        <v>1179.6</v>
      </c>
      <c r="C341" s="41">
        <f t="shared" si="15"/>
        <v>-0.003653780943</v>
      </c>
      <c r="M341" s="78">
        <f>IFERROR(__xludf.DUMMYFUNCTION("""COMPUTED_VALUE"""),45406.0)</f>
        <v>45406</v>
      </c>
      <c r="N341" s="74">
        <f>IFERROR(__xludf.DUMMYFUNCTION("""COMPUTED_VALUE"""),1054.07)</f>
        <v>1054.07</v>
      </c>
      <c r="O341" s="74" t="str">
        <f t="shared" si="18"/>
        <v>1054,07</v>
      </c>
    </row>
    <row r="342">
      <c r="A342" s="86">
        <v>45588.0</v>
      </c>
      <c r="B342" s="20">
        <f t="shared" si="14"/>
        <v>1183.91</v>
      </c>
      <c r="C342" s="41">
        <f t="shared" si="15"/>
        <v>-0.009308139977</v>
      </c>
      <c r="M342" s="78">
        <f>IFERROR(__xludf.DUMMYFUNCTION("""COMPUTED_VALUE"""),45405.0)</f>
        <v>45405</v>
      </c>
      <c r="N342" s="74">
        <f>IFERROR(__xludf.DUMMYFUNCTION("""COMPUTED_VALUE"""),1051.95)</f>
        <v>1051.95</v>
      </c>
      <c r="O342" s="74" t="str">
        <f t="shared" si="18"/>
        <v>1051,95</v>
      </c>
    </row>
    <row r="343">
      <c r="A343" s="86">
        <v>45587.0</v>
      </c>
      <c r="B343" s="20">
        <f t="shared" si="14"/>
        <v>1194.93</v>
      </c>
      <c r="C343" s="41">
        <f t="shared" si="15"/>
        <v>0</v>
      </c>
      <c r="M343" s="78">
        <f>IFERROR(__xludf.DUMMYFUNCTION("""COMPUTED_VALUE"""),45404.0)</f>
        <v>45404</v>
      </c>
      <c r="N343" s="74">
        <f>IFERROR(__xludf.DUMMYFUNCTION("""COMPUTED_VALUE"""),1058.29)</f>
        <v>1058.29</v>
      </c>
      <c r="O343" s="74" t="str">
        <f t="shared" si="18"/>
        <v>1058,29</v>
      </c>
    </row>
    <row r="344">
      <c r="A344" s="86">
        <v>45586.0</v>
      </c>
      <c r="B344" s="20">
        <f t="shared" si="14"/>
        <v>1194.93</v>
      </c>
      <c r="C344" s="41" t="str">
        <f t="shared" si="15"/>
        <v>#N/A</v>
      </c>
      <c r="M344" s="78">
        <f>IFERROR(__xludf.DUMMYFUNCTION("""COMPUTED_VALUE"""),45401.0)</f>
        <v>45401</v>
      </c>
      <c r="N344" s="74">
        <f>IFERROR(__xludf.DUMMYFUNCTION("""COMPUTED_VALUE"""),1068.98)</f>
        <v>1068.98</v>
      </c>
      <c r="O344" s="74" t="str">
        <f t="shared" si="18"/>
        <v>1068,98</v>
      </c>
    </row>
    <row r="345">
      <c r="A345" s="86">
        <v>45585.0</v>
      </c>
      <c r="B345" s="20" t="str">
        <f t="shared" si="14"/>
        <v>#N/A</v>
      </c>
      <c r="C345" s="41" t="str">
        <f t="shared" si="15"/>
        <v>#N/A</v>
      </c>
      <c r="M345" s="78">
        <f>IFERROR(__xludf.DUMMYFUNCTION("""COMPUTED_VALUE"""),45400.0)</f>
        <v>45400</v>
      </c>
      <c r="N345" s="74">
        <f>IFERROR(__xludf.DUMMYFUNCTION("""COMPUTED_VALUE"""),1066.1)</f>
        <v>1066.1</v>
      </c>
      <c r="O345" s="74" t="str">
        <f t="shared" si="18"/>
        <v>1066,1</v>
      </c>
    </row>
    <row r="346">
      <c r="A346" s="86">
        <v>45584.0</v>
      </c>
      <c r="B346" s="20" t="str">
        <f t="shared" si="14"/>
        <v>#N/A</v>
      </c>
      <c r="C346" s="41" t="str">
        <f t="shared" si="15"/>
        <v>#N/A</v>
      </c>
      <c r="M346" s="78">
        <f>IFERROR(__xludf.DUMMYFUNCTION("""COMPUTED_VALUE"""),45399.0)</f>
        <v>45399</v>
      </c>
      <c r="N346" s="74">
        <f>IFERROR(__xludf.DUMMYFUNCTION("""COMPUTED_VALUE"""),1062.61)</f>
        <v>1062.61</v>
      </c>
      <c r="O346" s="74" t="str">
        <f t="shared" si="18"/>
        <v>1062,61</v>
      </c>
    </row>
    <row r="347">
      <c r="A347" s="86">
        <v>45583.0</v>
      </c>
      <c r="B347" s="20">
        <f t="shared" si="14"/>
        <v>1194.62</v>
      </c>
      <c r="C347" s="41">
        <f t="shared" si="15"/>
        <v>0.001473271835</v>
      </c>
      <c r="M347" s="78">
        <f>IFERROR(__xludf.DUMMYFUNCTION("""COMPUTED_VALUE"""),45398.0)</f>
        <v>45398</v>
      </c>
      <c r="N347" s="74">
        <f>IFERROR(__xludf.DUMMYFUNCTION("""COMPUTED_VALUE"""),1075.81)</f>
        <v>1075.81</v>
      </c>
      <c r="O347" s="74" t="str">
        <f t="shared" si="18"/>
        <v>1075,81</v>
      </c>
    </row>
    <row r="348">
      <c r="A348" s="86">
        <v>45582.0</v>
      </c>
      <c r="B348" s="20">
        <f t="shared" si="14"/>
        <v>1192.86</v>
      </c>
      <c r="C348" s="41">
        <f t="shared" si="15"/>
        <v>0.001718558758</v>
      </c>
      <c r="M348" s="78">
        <f>IFERROR(__xludf.DUMMYFUNCTION("""COMPUTED_VALUE"""),45397.0)</f>
        <v>45397</v>
      </c>
      <c r="N348" s="74">
        <f>IFERROR(__xludf.DUMMYFUNCTION("""COMPUTED_VALUE"""),1074.13)</f>
        <v>1074.13</v>
      </c>
      <c r="O348" s="74" t="str">
        <f t="shared" si="18"/>
        <v>1074,13</v>
      </c>
    </row>
    <row r="349">
      <c r="A349" s="86">
        <v>45581.0</v>
      </c>
      <c r="B349" s="20">
        <f t="shared" si="14"/>
        <v>1190.81</v>
      </c>
      <c r="C349" s="41">
        <f t="shared" si="15"/>
        <v>0.009514532125</v>
      </c>
      <c r="M349" s="78">
        <f>IFERROR(__xludf.DUMMYFUNCTION("""COMPUTED_VALUE"""),45394.0)</f>
        <v>45394</v>
      </c>
      <c r="N349" s="74">
        <f>IFERROR(__xludf.DUMMYFUNCTION("""COMPUTED_VALUE"""),1047.54)</f>
        <v>1047.54</v>
      </c>
      <c r="O349" s="74" t="str">
        <f t="shared" si="18"/>
        <v>1047,54</v>
      </c>
    </row>
    <row r="350">
      <c r="A350" s="86">
        <v>45580.0</v>
      </c>
      <c r="B350" s="20">
        <f t="shared" si="14"/>
        <v>1179.48</v>
      </c>
      <c r="C350" s="41">
        <f t="shared" si="15"/>
        <v>-0.00164479262</v>
      </c>
      <c r="M350" s="78">
        <f>IFERROR(__xludf.DUMMYFUNCTION("""COMPUTED_VALUE"""),45393.0)</f>
        <v>45393</v>
      </c>
      <c r="N350" s="74">
        <f>IFERROR(__xludf.DUMMYFUNCTION("""COMPUTED_VALUE"""),1049.08)</f>
        <v>1049.08</v>
      </c>
      <c r="O350" s="74" t="str">
        <f t="shared" si="18"/>
        <v>1049,08</v>
      </c>
    </row>
    <row r="351">
      <c r="A351" s="86">
        <v>45579.0</v>
      </c>
      <c r="B351" s="20">
        <f t="shared" si="14"/>
        <v>1181.42</v>
      </c>
      <c r="C351" s="41" t="str">
        <f t="shared" si="15"/>
        <v>#N/A</v>
      </c>
      <c r="M351" s="78">
        <f>IFERROR(__xludf.DUMMYFUNCTION("""COMPUTED_VALUE"""),45392.0)</f>
        <v>45392</v>
      </c>
      <c r="N351" s="74">
        <f>IFERROR(__xludf.DUMMYFUNCTION("""COMPUTED_VALUE"""),1045.66)</f>
        <v>1045.66</v>
      </c>
      <c r="O351" s="74" t="str">
        <f t="shared" si="18"/>
        <v>1045,66</v>
      </c>
    </row>
    <row r="352">
      <c r="A352" s="86">
        <v>45578.0</v>
      </c>
      <c r="B352" s="20" t="str">
        <f t="shared" si="14"/>
        <v>#N/A</v>
      </c>
      <c r="C352" s="41" t="str">
        <f t="shared" si="15"/>
        <v>#N/A</v>
      </c>
      <c r="M352" s="78">
        <f>IFERROR(__xludf.DUMMYFUNCTION("""COMPUTED_VALUE"""),45391.0)</f>
        <v>45391</v>
      </c>
      <c r="N352" s="74">
        <f>IFERROR(__xludf.DUMMYFUNCTION("""COMPUTED_VALUE"""),1046.46)</f>
        <v>1046.46</v>
      </c>
      <c r="O352" s="74" t="str">
        <f t="shared" si="18"/>
        <v>1046,46</v>
      </c>
    </row>
    <row r="353">
      <c r="A353" s="86">
        <v>45577.0</v>
      </c>
      <c r="B353" s="20" t="str">
        <f t="shared" si="14"/>
        <v>#N/A</v>
      </c>
      <c r="C353" s="41" t="str">
        <f t="shared" si="15"/>
        <v>#N/A</v>
      </c>
      <c r="M353" s="78">
        <f>IFERROR(__xludf.DUMMYFUNCTION("""COMPUTED_VALUE"""),45390.0)</f>
        <v>45390</v>
      </c>
      <c r="N353" s="74">
        <f>IFERROR(__xludf.DUMMYFUNCTION("""COMPUTED_VALUE"""),1034.15)</f>
        <v>1034.15</v>
      </c>
      <c r="O353" s="74" t="str">
        <f t="shared" si="18"/>
        <v>1034,15</v>
      </c>
    </row>
    <row r="354">
      <c r="A354" s="86">
        <v>45576.0</v>
      </c>
      <c r="B354" s="20">
        <f t="shared" si="14"/>
        <v>1176.9</v>
      </c>
      <c r="C354" s="41">
        <f t="shared" si="15"/>
        <v>-0.0001444472767</v>
      </c>
      <c r="M354" s="78">
        <f>IFERROR(__xludf.DUMMYFUNCTION("""COMPUTED_VALUE"""),45387.0)</f>
        <v>45387</v>
      </c>
      <c r="N354" s="74">
        <f>IFERROR(__xludf.DUMMYFUNCTION("""COMPUTED_VALUE"""),1048.61)</f>
        <v>1048.61</v>
      </c>
      <c r="O354" s="74" t="str">
        <f t="shared" si="18"/>
        <v>1048,61</v>
      </c>
    </row>
    <row r="355">
      <c r="A355" s="86">
        <v>45575.0</v>
      </c>
      <c r="B355" s="20">
        <f t="shared" si="14"/>
        <v>1177.07</v>
      </c>
      <c r="C355" s="41">
        <f t="shared" si="15"/>
        <v>-0.01219128854</v>
      </c>
      <c r="M355" s="78">
        <f>IFERROR(__xludf.DUMMYFUNCTION("""COMPUTED_VALUE"""),45386.0)</f>
        <v>45386</v>
      </c>
      <c r="N355" s="74">
        <f>IFERROR(__xludf.DUMMYFUNCTION("""COMPUTED_VALUE"""),1057.22)</f>
        <v>1057.22</v>
      </c>
      <c r="O355" s="74" t="str">
        <f t="shared" si="18"/>
        <v>1057,22</v>
      </c>
    </row>
    <row r="356">
      <c r="A356" s="86">
        <v>45574.0</v>
      </c>
      <c r="B356" s="20">
        <f t="shared" si="14"/>
        <v>1191.42</v>
      </c>
      <c r="C356" s="41">
        <f t="shared" si="15"/>
        <v>-0.01640059761</v>
      </c>
      <c r="M356" s="78">
        <f>IFERROR(__xludf.DUMMYFUNCTION("""COMPUTED_VALUE"""),45385.0)</f>
        <v>45385</v>
      </c>
      <c r="N356" s="74">
        <f>IFERROR(__xludf.DUMMYFUNCTION("""COMPUTED_VALUE"""),1069.44)</f>
        <v>1069.44</v>
      </c>
      <c r="O356" s="74" t="str">
        <f t="shared" si="18"/>
        <v>1069,44</v>
      </c>
    </row>
    <row r="357">
      <c r="A357" s="86">
        <v>45573.0</v>
      </c>
      <c r="B357" s="20">
        <f t="shared" si="14"/>
        <v>1210.96</v>
      </c>
      <c r="C357" s="41">
        <f t="shared" si="15"/>
        <v>-0.005161194424</v>
      </c>
      <c r="M357" s="78">
        <f>IFERROR(__xludf.DUMMYFUNCTION("""COMPUTED_VALUE"""),45384.0)</f>
        <v>45384</v>
      </c>
      <c r="N357" s="74">
        <f>IFERROR(__xludf.DUMMYFUNCTION("""COMPUTED_VALUE"""),1085.7)</f>
        <v>1085.7</v>
      </c>
      <c r="O357" s="74" t="str">
        <f t="shared" si="18"/>
        <v>1085,7</v>
      </c>
    </row>
    <row r="358">
      <c r="A358" s="86">
        <v>45572.0</v>
      </c>
      <c r="B358" s="20">
        <f t="shared" si="14"/>
        <v>1217.21</v>
      </c>
      <c r="C358" s="41" t="str">
        <f t="shared" si="15"/>
        <v>#N/A</v>
      </c>
      <c r="M358" s="78">
        <f>IFERROR(__xludf.DUMMYFUNCTION("""COMPUTED_VALUE"""),45383.0)</f>
        <v>45383</v>
      </c>
      <c r="N358" s="74">
        <f>IFERROR(__xludf.DUMMYFUNCTION("""COMPUTED_VALUE"""),1085.7)</f>
        <v>1085.7</v>
      </c>
      <c r="O358" s="74" t="str">
        <f t="shared" si="18"/>
        <v>1085,7</v>
      </c>
    </row>
    <row r="359">
      <c r="A359" s="86">
        <v>45571.0</v>
      </c>
      <c r="B359" s="20" t="str">
        <f t="shared" si="14"/>
        <v>#N/A</v>
      </c>
      <c r="C359" s="41" t="str">
        <f t="shared" si="15"/>
        <v>#N/A</v>
      </c>
      <c r="M359" s="78">
        <f>IFERROR(__xludf.DUMMYFUNCTION("""COMPUTED_VALUE"""),45380.0)</f>
        <v>45380</v>
      </c>
      <c r="N359" s="74">
        <f>IFERROR(__xludf.DUMMYFUNCTION("""COMPUTED_VALUE"""),1085.7)</f>
        <v>1085.7</v>
      </c>
      <c r="O359" s="74" t="str">
        <f t="shared" si="18"/>
        <v>1085,7</v>
      </c>
    </row>
    <row r="360">
      <c r="A360" s="86">
        <v>45570.0</v>
      </c>
      <c r="B360" s="20" t="str">
        <f t="shared" si="14"/>
        <v>#N/A</v>
      </c>
      <c r="C360" s="41" t="str">
        <f t="shared" si="15"/>
        <v>#N/A</v>
      </c>
      <c r="M360" s="78">
        <f>IFERROR(__xludf.DUMMYFUNCTION("""COMPUTED_VALUE"""),45379.0)</f>
        <v>45379</v>
      </c>
      <c r="N360" s="74">
        <f>IFERROR(__xludf.DUMMYFUNCTION("""COMPUTED_VALUE"""),1085.7)</f>
        <v>1085.7</v>
      </c>
      <c r="O360" s="74" t="str">
        <f t="shared" si="18"/>
        <v>1085,7</v>
      </c>
    </row>
    <row r="361">
      <c r="A361" s="86">
        <v>45569.0</v>
      </c>
      <c r="B361" s="20">
        <f t="shared" si="14"/>
        <v>1225.94</v>
      </c>
      <c r="C361" s="41">
        <f t="shared" si="15"/>
        <v>-0.005302053934</v>
      </c>
      <c r="M361" s="78">
        <f>IFERROR(__xludf.DUMMYFUNCTION("""COMPUTED_VALUE"""),45378.0)</f>
        <v>45378</v>
      </c>
      <c r="N361" s="74">
        <f>IFERROR(__xludf.DUMMYFUNCTION("""COMPUTED_VALUE"""),1085.25)</f>
        <v>1085.25</v>
      </c>
      <c r="O361" s="74" t="str">
        <f t="shared" si="18"/>
        <v>1085,25</v>
      </c>
    </row>
    <row r="362">
      <c r="A362" s="86">
        <v>45568.0</v>
      </c>
      <c r="B362" s="20">
        <f t="shared" si="14"/>
        <v>1232.44</v>
      </c>
      <c r="C362" s="41">
        <f t="shared" si="15"/>
        <v>-0.00138749148</v>
      </c>
      <c r="M362" s="78">
        <f>IFERROR(__xludf.DUMMYFUNCTION("""COMPUTED_VALUE"""),45377.0)</f>
        <v>45377</v>
      </c>
      <c r="N362" s="74">
        <f>IFERROR(__xludf.DUMMYFUNCTION("""COMPUTED_VALUE"""),1101.44)</f>
        <v>1101.44</v>
      </c>
      <c r="O362" s="74" t="str">
        <f t="shared" si="18"/>
        <v>1101,44</v>
      </c>
    </row>
    <row r="363">
      <c r="A363" s="86">
        <v>45567.0</v>
      </c>
      <c r="B363" s="20">
        <f t="shared" si="14"/>
        <v>1234.15</v>
      </c>
      <c r="C363" s="41">
        <f t="shared" si="15"/>
        <v>-0.00959364745</v>
      </c>
      <c r="M363" s="78">
        <f>IFERROR(__xludf.DUMMYFUNCTION("""COMPUTED_VALUE"""),45376.0)</f>
        <v>45376</v>
      </c>
      <c r="N363" s="74">
        <f>IFERROR(__xludf.DUMMYFUNCTION("""COMPUTED_VALUE"""),1079.28)</f>
        <v>1079.28</v>
      </c>
      <c r="O363" s="74" t="str">
        <f t="shared" si="18"/>
        <v>1079,28</v>
      </c>
    </row>
    <row r="364">
      <c r="A364" s="86">
        <v>45566.0</v>
      </c>
      <c r="B364" s="20">
        <f t="shared" si="14"/>
        <v>1245.99</v>
      </c>
      <c r="C364" s="41">
        <f t="shared" si="15"/>
        <v>0.001669355292</v>
      </c>
      <c r="M364" s="78">
        <f>IFERROR(__xludf.DUMMYFUNCTION("""COMPUTED_VALUE"""),45373.0)</f>
        <v>45373</v>
      </c>
      <c r="N364" s="74">
        <f>IFERROR(__xludf.DUMMYFUNCTION("""COMPUTED_VALUE"""),1096.17)</f>
        <v>1096.17</v>
      </c>
      <c r="O364" s="74" t="str">
        <f t="shared" si="18"/>
        <v>1096,17</v>
      </c>
    </row>
    <row r="365">
      <c r="A365" s="86">
        <v>45565.0</v>
      </c>
      <c r="B365" s="20">
        <f t="shared" si="14"/>
        <v>1243.91</v>
      </c>
      <c r="C365" s="41" t="str">
        <f t="shared" si="15"/>
        <v>#N/A</v>
      </c>
      <c r="M365" s="78">
        <f>IFERROR(__xludf.DUMMYFUNCTION("""COMPUTED_VALUE"""),45372.0)</f>
        <v>45372</v>
      </c>
      <c r="N365" s="74">
        <f>IFERROR(__xludf.DUMMYFUNCTION("""COMPUTED_VALUE"""),1099.56)</f>
        <v>1099.56</v>
      </c>
      <c r="O365" s="74" t="str">
        <f t="shared" si="18"/>
        <v>1099,56</v>
      </c>
    </row>
    <row r="366">
      <c r="A366" s="86">
        <v>45564.0</v>
      </c>
      <c r="B366" s="20" t="str">
        <f t="shared" si="14"/>
        <v>#N/A</v>
      </c>
      <c r="C366" s="41" t="str">
        <f t="shared" si="15"/>
        <v>#N/A</v>
      </c>
      <c r="M366" s="78">
        <f>IFERROR(__xludf.DUMMYFUNCTION("""COMPUTED_VALUE"""),45371.0)</f>
        <v>45371</v>
      </c>
      <c r="N366" s="74">
        <f>IFERROR(__xludf.DUMMYFUNCTION("""COMPUTED_VALUE"""),1098.0)</f>
        <v>1098</v>
      </c>
      <c r="O366" s="74" t="str">
        <f t="shared" si="18"/>
        <v>1098</v>
      </c>
    </row>
    <row r="367">
      <c r="A367" s="86">
        <v>45563.0</v>
      </c>
      <c r="B367" s="20" t="str">
        <f t="shared" si="14"/>
        <v>#N/A</v>
      </c>
      <c r="C367" s="41" t="str">
        <f t="shared" si="15"/>
        <v>#N/A</v>
      </c>
      <c r="M367" s="78">
        <f>IFERROR(__xludf.DUMMYFUNCTION("""COMPUTED_VALUE"""),45370.0)</f>
        <v>45370</v>
      </c>
      <c r="N367" s="74">
        <f>IFERROR(__xludf.DUMMYFUNCTION("""COMPUTED_VALUE"""),1083.87)</f>
        <v>1083.87</v>
      </c>
      <c r="O367" s="74" t="str">
        <f t="shared" si="18"/>
        <v>1083,87</v>
      </c>
    </row>
    <row r="368">
      <c r="A368" s="86">
        <v>45562.0</v>
      </c>
      <c r="B368" s="20">
        <f t="shared" si="14"/>
        <v>1232.76</v>
      </c>
      <c r="C368" s="41">
        <f t="shared" si="15"/>
        <v>0.00420195334</v>
      </c>
      <c r="M368" s="78">
        <f>IFERROR(__xludf.DUMMYFUNCTION("""COMPUTED_VALUE"""),45369.0)</f>
        <v>45369</v>
      </c>
      <c r="N368" s="74">
        <f>IFERROR(__xludf.DUMMYFUNCTION("""COMPUTED_VALUE"""),1080.9)</f>
        <v>1080.9</v>
      </c>
      <c r="O368" s="74" t="str">
        <f t="shared" si="18"/>
        <v>1080,9</v>
      </c>
    </row>
    <row r="369">
      <c r="A369" s="86">
        <v>45561.0</v>
      </c>
      <c r="B369" s="20">
        <f t="shared" si="14"/>
        <v>1227.58</v>
      </c>
      <c r="C369" s="41">
        <f t="shared" si="15"/>
        <v>-0.0007331497744</v>
      </c>
      <c r="M369" s="78">
        <f>IFERROR(__xludf.DUMMYFUNCTION("""COMPUTED_VALUE"""),45366.0)</f>
        <v>45366</v>
      </c>
      <c r="N369" s="74">
        <f>IFERROR(__xludf.DUMMYFUNCTION("""COMPUTED_VALUE"""),1067.88)</f>
        <v>1067.88</v>
      </c>
      <c r="O369" s="74" t="str">
        <f t="shared" si="18"/>
        <v>1067,88</v>
      </c>
    </row>
    <row r="370">
      <c r="A370" s="86">
        <v>45560.0</v>
      </c>
      <c r="B370" s="20">
        <f t="shared" si="14"/>
        <v>1228.48</v>
      </c>
      <c r="C370" s="41">
        <f t="shared" si="15"/>
        <v>0.004444516801</v>
      </c>
      <c r="M370" s="78">
        <f>IFERROR(__xludf.DUMMYFUNCTION("""COMPUTED_VALUE"""),45365.0)</f>
        <v>45365</v>
      </c>
      <c r="N370" s="74">
        <f>IFERROR(__xludf.DUMMYFUNCTION("""COMPUTED_VALUE"""),1060.28)</f>
        <v>1060.28</v>
      </c>
      <c r="O370" s="74" t="str">
        <f t="shared" si="18"/>
        <v>1060,28</v>
      </c>
    </row>
    <row r="371">
      <c r="A371" s="86">
        <v>45559.0</v>
      </c>
      <c r="B371" s="20">
        <f t="shared" si="14"/>
        <v>1223.02</v>
      </c>
      <c r="C371" s="41">
        <f t="shared" si="15"/>
        <v>-0.003385063204</v>
      </c>
      <c r="M371" s="78">
        <f>IFERROR(__xludf.DUMMYFUNCTION("""COMPUTED_VALUE"""),45364.0)</f>
        <v>45364</v>
      </c>
      <c r="N371" s="74">
        <f>IFERROR(__xludf.DUMMYFUNCTION("""COMPUTED_VALUE"""),1053.33)</f>
        <v>1053.33</v>
      </c>
      <c r="O371" s="74" t="str">
        <f t="shared" si="18"/>
        <v>1053,33</v>
      </c>
    </row>
    <row r="372">
      <c r="A372" s="86">
        <v>45558.0</v>
      </c>
      <c r="B372" s="20">
        <f t="shared" si="14"/>
        <v>1227.16</v>
      </c>
      <c r="C372" s="41" t="str">
        <f t="shared" si="15"/>
        <v>#N/A</v>
      </c>
      <c r="M372" s="78">
        <f>IFERROR(__xludf.DUMMYFUNCTION("""COMPUTED_VALUE"""),45363.0)</f>
        <v>45363</v>
      </c>
      <c r="N372" s="74">
        <f>IFERROR(__xludf.DUMMYFUNCTION("""COMPUTED_VALUE"""),1067.23)</f>
        <v>1067.23</v>
      </c>
      <c r="O372" s="74" t="str">
        <f t="shared" si="18"/>
        <v>1067,23</v>
      </c>
    </row>
    <row r="373">
      <c r="A373" s="86">
        <v>45557.0</v>
      </c>
      <c r="B373" s="20" t="str">
        <f t="shared" si="14"/>
        <v>#N/A</v>
      </c>
      <c r="C373" s="41" t="str">
        <f t="shared" si="15"/>
        <v>#N/A</v>
      </c>
      <c r="M373" s="78">
        <f>IFERROR(__xludf.DUMMYFUNCTION("""COMPUTED_VALUE"""),45362.0)</f>
        <v>45362</v>
      </c>
      <c r="N373" s="74">
        <f>IFERROR(__xludf.DUMMYFUNCTION("""COMPUTED_VALUE"""),1021.92)</f>
        <v>1021.92</v>
      </c>
      <c r="O373" s="74" t="str">
        <f t="shared" si="18"/>
        <v>1021,92</v>
      </c>
    </row>
    <row r="374">
      <c r="A374" s="86">
        <v>45556.0</v>
      </c>
      <c r="B374" s="20" t="str">
        <f t="shared" si="14"/>
        <v>#N/A</v>
      </c>
      <c r="C374" s="41" t="str">
        <f t="shared" si="15"/>
        <v>#N/A</v>
      </c>
      <c r="M374" s="78">
        <f>IFERROR(__xludf.DUMMYFUNCTION("""COMPUTED_VALUE"""),45359.0)</f>
        <v>45359</v>
      </c>
      <c r="N374" s="74">
        <f>IFERROR(__xludf.DUMMYFUNCTION("""COMPUTED_VALUE"""),1047.74)</f>
        <v>1047.74</v>
      </c>
      <c r="O374" s="74" t="str">
        <f t="shared" si="18"/>
        <v>1047,74</v>
      </c>
    </row>
    <row r="375">
      <c r="A375" s="86">
        <v>45555.0</v>
      </c>
      <c r="B375" s="20">
        <f t="shared" si="14"/>
        <v>1219.98</v>
      </c>
      <c r="C375" s="41">
        <f t="shared" si="15"/>
        <v>0.001655764849</v>
      </c>
      <c r="M375" s="78">
        <f>IFERROR(__xludf.DUMMYFUNCTION("""COMPUTED_VALUE"""),45358.0)</f>
        <v>45358</v>
      </c>
      <c r="N375" s="74">
        <f>IFERROR(__xludf.DUMMYFUNCTION("""COMPUTED_VALUE"""),1030.4)</f>
        <v>1030.4</v>
      </c>
      <c r="O375" s="74" t="str">
        <f t="shared" si="18"/>
        <v>1030,4</v>
      </c>
    </row>
    <row r="376">
      <c r="A376" s="86">
        <v>45554.0</v>
      </c>
      <c r="B376" s="20">
        <f t="shared" si="14"/>
        <v>1217.96</v>
      </c>
      <c r="C376" s="41">
        <f t="shared" si="15"/>
        <v>-0.01243883215</v>
      </c>
      <c r="M376" s="78">
        <f>IFERROR(__xludf.DUMMYFUNCTION("""COMPUTED_VALUE"""),45357.0)</f>
        <v>45357</v>
      </c>
      <c r="N376" s="74">
        <f>IFERROR(__xludf.DUMMYFUNCTION("""COMPUTED_VALUE"""),1022.59)</f>
        <v>1022.59</v>
      </c>
      <c r="O376" s="74" t="str">
        <f t="shared" si="18"/>
        <v>1022,59</v>
      </c>
    </row>
    <row r="377">
      <c r="A377" s="86">
        <v>45553.0</v>
      </c>
      <c r="B377" s="20">
        <f t="shared" si="14"/>
        <v>1233.11</v>
      </c>
      <c r="C377" s="41">
        <f t="shared" si="15"/>
        <v>-0.006641743235</v>
      </c>
      <c r="M377" s="78">
        <f>IFERROR(__xludf.DUMMYFUNCTION("""COMPUTED_VALUE"""),45356.0)</f>
        <v>45356</v>
      </c>
      <c r="N377" s="74">
        <f>IFERROR(__xludf.DUMMYFUNCTION("""COMPUTED_VALUE"""),1042.13)</f>
        <v>1042.13</v>
      </c>
      <c r="O377" s="74" t="str">
        <f t="shared" si="18"/>
        <v>1042,13</v>
      </c>
    </row>
    <row r="378">
      <c r="A378" s="86">
        <v>45552.0</v>
      </c>
      <c r="B378" s="20">
        <f t="shared" si="14"/>
        <v>1241.3</v>
      </c>
      <c r="C378" s="41">
        <f t="shared" si="15"/>
        <v>0.0002658503182</v>
      </c>
      <c r="M378" s="78">
        <f>IFERROR(__xludf.DUMMYFUNCTION("""COMPUTED_VALUE"""),45355.0)</f>
        <v>45355</v>
      </c>
      <c r="N378" s="74">
        <f>IFERROR(__xludf.DUMMYFUNCTION("""COMPUTED_VALUE"""),1064.1)</f>
        <v>1064.1</v>
      </c>
      <c r="O378" s="74" t="str">
        <f t="shared" si="18"/>
        <v>1064,1</v>
      </c>
    </row>
    <row r="379">
      <c r="A379" s="86">
        <v>45551.0</v>
      </c>
      <c r="B379" s="20">
        <f t="shared" si="14"/>
        <v>1240.97</v>
      </c>
      <c r="C379" s="41" t="str">
        <f t="shared" si="15"/>
        <v>#N/A</v>
      </c>
      <c r="M379" s="78">
        <f>IFERROR(__xludf.DUMMYFUNCTION("""COMPUTED_VALUE"""),45352.0)</f>
        <v>45352</v>
      </c>
      <c r="N379" s="74">
        <f>IFERROR(__xludf.DUMMYFUNCTION("""COMPUTED_VALUE"""),1089.77)</f>
        <v>1089.77</v>
      </c>
      <c r="O379" s="74" t="str">
        <f t="shared" si="18"/>
        <v>1089,77</v>
      </c>
    </row>
    <row r="380">
      <c r="A380" s="86">
        <v>45550.0</v>
      </c>
      <c r="B380" s="20" t="str">
        <f t="shared" si="14"/>
        <v>#N/A</v>
      </c>
      <c r="C380" s="41" t="str">
        <f t="shared" si="15"/>
        <v>#N/A</v>
      </c>
      <c r="M380" s="78">
        <f>IFERROR(__xludf.DUMMYFUNCTION("""COMPUTED_VALUE"""),45351.0)</f>
        <v>45351</v>
      </c>
      <c r="N380" s="74">
        <f>IFERROR(__xludf.DUMMYFUNCTION("""COMPUTED_VALUE"""),1071.46)</f>
        <v>1071.46</v>
      </c>
      <c r="O380" s="74" t="str">
        <f t="shared" si="18"/>
        <v>1071,46</v>
      </c>
    </row>
    <row r="381">
      <c r="A381" s="86">
        <v>45549.0</v>
      </c>
      <c r="B381" s="20" t="str">
        <f t="shared" si="14"/>
        <v>#N/A</v>
      </c>
      <c r="C381" s="41" t="str">
        <f t="shared" si="15"/>
        <v>#N/A</v>
      </c>
      <c r="M381" s="78">
        <f>IFERROR(__xludf.DUMMYFUNCTION("""COMPUTED_VALUE"""),45350.0)</f>
        <v>45350</v>
      </c>
      <c r="N381" s="74">
        <f>IFERROR(__xludf.DUMMYFUNCTION("""COMPUTED_VALUE"""),1073.35)</f>
        <v>1073.35</v>
      </c>
      <c r="O381" s="74" t="str">
        <f t="shared" si="18"/>
        <v>1073,35</v>
      </c>
    </row>
    <row r="382">
      <c r="A382" s="86">
        <v>45548.0</v>
      </c>
      <c r="B382" s="20">
        <f t="shared" si="14"/>
        <v>1253.33</v>
      </c>
      <c r="C382" s="41">
        <f t="shared" si="15"/>
        <v>-0.005186184006</v>
      </c>
      <c r="M382" s="78">
        <f>IFERROR(__xludf.DUMMYFUNCTION("""COMPUTED_VALUE"""),45349.0)</f>
        <v>45349</v>
      </c>
      <c r="N382" s="74">
        <f>IFERROR(__xludf.DUMMYFUNCTION("""COMPUTED_VALUE"""),1088.52)</f>
        <v>1088.52</v>
      </c>
      <c r="O382" s="74" t="str">
        <f t="shared" si="18"/>
        <v>1088,52</v>
      </c>
    </row>
    <row r="383">
      <c r="A383" s="86">
        <v>45547.0</v>
      </c>
      <c r="B383" s="20">
        <f t="shared" si="14"/>
        <v>1259.83</v>
      </c>
      <c r="C383" s="41">
        <f t="shared" si="15"/>
        <v>0.01115229833</v>
      </c>
      <c r="M383" s="78">
        <f>IFERROR(__xludf.DUMMYFUNCTION("""COMPUTED_VALUE"""),45348.0)</f>
        <v>45348</v>
      </c>
      <c r="N383" s="74">
        <f>IFERROR(__xludf.DUMMYFUNCTION("""COMPUTED_VALUE"""),1096.27)</f>
        <v>1096.27</v>
      </c>
      <c r="O383" s="74" t="str">
        <f t="shared" si="18"/>
        <v>1096,27</v>
      </c>
    </row>
    <row r="384">
      <c r="A384" s="86">
        <v>45546.0</v>
      </c>
      <c r="B384" s="20">
        <f t="shared" si="14"/>
        <v>1245.78</v>
      </c>
      <c r="C384" s="41">
        <f t="shared" si="15"/>
        <v>-0.002689078328</v>
      </c>
      <c r="M384" s="78">
        <f>IFERROR(__xludf.DUMMYFUNCTION("""COMPUTED_VALUE"""),45345.0)</f>
        <v>45345</v>
      </c>
      <c r="N384" s="74">
        <f>IFERROR(__xludf.DUMMYFUNCTION("""COMPUTED_VALUE"""),1111.53)</f>
        <v>1111.53</v>
      </c>
      <c r="O384" s="74" t="str">
        <f t="shared" si="18"/>
        <v>1111,53</v>
      </c>
    </row>
    <row r="385">
      <c r="A385" s="86">
        <v>45545.0</v>
      </c>
      <c r="B385" s="20">
        <f t="shared" si="14"/>
        <v>1249.13</v>
      </c>
      <c r="C385" s="41">
        <f t="shared" si="15"/>
        <v>0.002785939014</v>
      </c>
      <c r="M385" s="78">
        <f>IFERROR(__xludf.DUMMYFUNCTION("""COMPUTED_VALUE"""),45344.0)</f>
        <v>45344</v>
      </c>
      <c r="N385" s="74">
        <f>IFERROR(__xludf.DUMMYFUNCTION("""COMPUTED_VALUE"""),1094.67)</f>
        <v>1094.67</v>
      </c>
      <c r="O385" s="74" t="str">
        <f t="shared" si="18"/>
        <v>1094,67</v>
      </c>
    </row>
    <row r="386">
      <c r="A386" s="86">
        <v>45544.0</v>
      </c>
      <c r="B386" s="20">
        <f t="shared" si="14"/>
        <v>1245.65</v>
      </c>
      <c r="C386" s="41" t="str">
        <f t="shared" si="15"/>
        <v>#N/A</v>
      </c>
      <c r="M386" s="78">
        <f>IFERROR(__xludf.DUMMYFUNCTION("""COMPUTED_VALUE"""),45343.0)</f>
        <v>45343</v>
      </c>
      <c r="N386" s="74">
        <f>IFERROR(__xludf.DUMMYFUNCTION("""COMPUTED_VALUE"""),1115.22)</f>
        <v>1115.22</v>
      </c>
      <c r="O386" s="74" t="str">
        <f t="shared" si="18"/>
        <v>1115,22</v>
      </c>
    </row>
    <row r="387">
      <c r="A387" s="86">
        <v>45543.0</v>
      </c>
      <c r="B387" s="20" t="str">
        <f t="shared" si="14"/>
        <v>#N/A</v>
      </c>
      <c r="C387" s="41" t="str">
        <f t="shared" si="15"/>
        <v>#N/A</v>
      </c>
      <c r="M387" s="78">
        <f>IFERROR(__xludf.DUMMYFUNCTION("""COMPUTED_VALUE"""),45342.0)</f>
        <v>45342</v>
      </c>
      <c r="N387" s="74">
        <f>IFERROR(__xludf.DUMMYFUNCTION("""COMPUTED_VALUE"""),1131.28)</f>
        <v>1131.28</v>
      </c>
      <c r="O387" s="74" t="str">
        <f t="shared" si="18"/>
        <v>1131,28</v>
      </c>
    </row>
    <row r="388">
      <c r="A388" s="86">
        <v>45542.0</v>
      </c>
      <c r="B388" s="20" t="str">
        <f t="shared" si="14"/>
        <v>#N/A</v>
      </c>
      <c r="C388" s="41" t="str">
        <f t="shared" si="15"/>
        <v>#N/A</v>
      </c>
      <c r="M388" s="78">
        <f>IFERROR(__xludf.DUMMYFUNCTION("""COMPUTED_VALUE"""),45341.0)</f>
        <v>45341</v>
      </c>
      <c r="N388" s="74">
        <f>IFERROR(__xludf.DUMMYFUNCTION("""COMPUTED_VALUE"""),1143.92)</f>
        <v>1143.92</v>
      </c>
      <c r="O388" s="74" t="str">
        <f t="shared" si="18"/>
        <v>1143,92</v>
      </c>
    </row>
    <row r="389">
      <c r="A389" s="86">
        <v>45541.0</v>
      </c>
      <c r="B389" s="20">
        <f t="shared" si="14"/>
        <v>1257.91</v>
      </c>
      <c r="C389" s="41">
        <f t="shared" si="15"/>
        <v>-0.01088313154</v>
      </c>
      <c r="M389" s="78">
        <f>IFERROR(__xludf.DUMMYFUNCTION("""COMPUTED_VALUE"""),45338.0)</f>
        <v>45338</v>
      </c>
      <c r="N389" s="74">
        <f>IFERROR(__xludf.DUMMYFUNCTION("""COMPUTED_VALUE"""),1115.43)</f>
        <v>1115.43</v>
      </c>
      <c r="O389" s="74" t="str">
        <f t="shared" si="18"/>
        <v>1115,43</v>
      </c>
    </row>
    <row r="390">
      <c r="A390" s="86">
        <v>45540.0</v>
      </c>
      <c r="B390" s="20">
        <f t="shared" si="14"/>
        <v>1271.6</v>
      </c>
      <c r="C390" s="41">
        <f t="shared" si="15"/>
        <v>-0.01756841774</v>
      </c>
      <c r="M390" s="78">
        <f>IFERROR(__xludf.DUMMYFUNCTION("""COMPUTED_VALUE"""),45337.0)</f>
        <v>45337</v>
      </c>
      <c r="N390" s="74">
        <f>IFERROR(__xludf.DUMMYFUNCTION("""COMPUTED_VALUE"""),1153.28)</f>
        <v>1153.28</v>
      </c>
      <c r="O390" s="74" t="str">
        <f t="shared" si="18"/>
        <v>1153,28</v>
      </c>
    </row>
    <row r="391">
      <c r="A391" s="86">
        <v>45539.0</v>
      </c>
      <c r="B391" s="20">
        <f t="shared" si="14"/>
        <v>1293.94</v>
      </c>
      <c r="C391" s="41">
        <f t="shared" si="15"/>
        <v>-0.006654095244</v>
      </c>
      <c r="M391" s="78">
        <f>IFERROR(__xludf.DUMMYFUNCTION("""COMPUTED_VALUE"""),45336.0)</f>
        <v>45336</v>
      </c>
      <c r="N391" s="74">
        <f>IFERROR(__xludf.DUMMYFUNCTION("""COMPUTED_VALUE"""),1176.43)</f>
        <v>1176.43</v>
      </c>
      <c r="O391" s="74" t="str">
        <f t="shared" si="18"/>
        <v>1176,43</v>
      </c>
    </row>
    <row r="392">
      <c r="A392" s="86">
        <v>45538.0</v>
      </c>
      <c r="B392" s="20">
        <f t="shared" si="14"/>
        <v>1302.55</v>
      </c>
      <c r="C392" s="41">
        <f t="shared" si="15"/>
        <v>0.005519941653</v>
      </c>
      <c r="M392" s="78">
        <f>IFERROR(__xludf.DUMMYFUNCTION("""COMPUTED_VALUE"""),45335.0)</f>
        <v>45335</v>
      </c>
      <c r="N392" s="74">
        <f>IFERROR(__xludf.DUMMYFUNCTION("""COMPUTED_VALUE"""),1229.01)</f>
        <v>1229.01</v>
      </c>
      <c r="O392" s="74" t="str">
        <f t="shared" si="18"/>
        <v>1229,01</v>
      </c>
    </row>
    <row r="393">
      <c r="A393" s="86">
        <v>45537.0</v>
      </c>
      <c r="B393" s="20">
        <f t="shared" si="14"/>
        <v>1295.36</v>
      </c>
      <c r="C393" s="41" t="str">
        <f t="shared" si="15"/>
        <v>#N/A</v>
      </c>
      <c r="M393" s="78">
        <f>IFERROR(__xludf.DUMMYFUNCTION("""COMPUTED_VALUE"""),45334.0)</f>
        <v>45334</v>
      </c>
      <c r="N393" s="74">
        <f>IFERROR(__xludf.DUMMYFUNCTION("""COMPUTED_VALUE"""),1229.01)</f>
        <v>1229.01</v>
      </c>
      <c r="O393" s="74" t="str">
        <f t="shared" si="18"/>
        <v>1229,01</v>
      </c>
    </row>
    <row r="394">
      <c r="A394" s="86">
        <v>45536.0</v>
      </c>
      <c r="B394" s="20" t="str">
        <f t="shared" si="14"/>
        <v>#N/A</v>
      </c>
      <c r="C394" s="41" t="str">
        <f t="shared" si="15"/>
        <v>#N/A</v>
      </c>
      <c r="M394" s="78">
        <f>IFERROR(__xludf.DUMMYFUNCTION("""COMPUTED_VALUE"""),45331.0)</f>
        <v>45331</v>
      </c>
      <c r="N394" s="74">
        <f>IFERROR(__xludf.DUMMYFUNCTION("""COMPUTED_VALUE"""),1230.05)</f>
        <v>1230.05</v>
      </c>
      <c r="O394" s="74" t="str">
        <f t="shared" si="18"/>
        <v>1230,05</v>
      </c>
    </row>
    <row r="395">
      <c r="A395" s="86">
        <v>45535.0</v>
      </c>
      <c r="B395" s="20" t="str">
        <f t="shared" si="14"/>
        <v>#N/A</v>
      </c>
      <c r="C395" s="41" t="str">
        <f t="shared" si="15"/>
        <v>#N/A</v>
      </c>
      <c r="M395" s="78">
        <f>IFERROR(__xludf.DUMMYFUNCTION("""COMPUTED_VALUE"""),45330.0)</f>
        <v>45330</v>
      </c>
      <c r="N395" s="74">
        <f>IFERROR(__xludf.DUMMYFUNCTION("""COMPUTED_VALUE"""),1248.66)</f>
        <v>1248.66</v>
      </c>
      <c r="O395" s="74" t="str">
        <f t="shared" si="18"/>
        <v>1248,66</v>
      </c>
    </row>
    <row r="396">
      <c r="A396" s="86">
        <v>45534.0</v>
      </c>
      <c r="B396" s="20">
        <f t="shared" si="14"/>
        <v>1298.37</v>
      </c>
      <c r="C396" s="41">
        <f t="shared" si="15"/>
        <v>0.007185933132</v>
      </c>
      <c r="M396" s="78">
        <f>IFERROR(__xludf.DUMMYFUNCTION("""COMPUTED_VALUE"""),45329.0)</f>
        <v>45329</v>
      </c>
      <c r="N396" s="74">
        <f>IFERROR(__xludf.DUMMYFUNCTION("""COMPUTED_VALUE"""),1262.93)</f>
        <v>1262.93</v>
      </c>
      <c r="O396" s="74" t="str">
        <f t="shared" si="18"/>
        <v>1262,93</v>
      </c>
    </row>
    <row r="397">
      <c r="A397" s="86">
        <v>45533.0</v>
      </c>
      <c r="B397" s="20">
        <f t="shared" si="14"/>
        <v>1289.04</v>
      </c>
      <c r="C397" s="41">
        <f t="shared" si="15"/>
        <v>-0.002125612859</v>
      </c>
      <c r="M397" s="78">
        <f>IFERROR(__xludf.DUMMYFUNCTION("""COMPUTED_VALUE"""),45328.0)</f>
        <v>45328</v>
      </c>
      <c r="N397" s="74">
        <f>IFERROR(__xludf.DUMMYFUNCTION("""COMPUTED_VALUE"""),1252.55)</f>
        <v>1252.55</v>
      </c>
      <c r="O397" s="74" t="str">
        <f t="shared" si="18"/>
        <v>1252,55</v>
      </c>
    </row>
    <row r="398">
      <c r="A398" s="86">
        <v>45532.0</v>
      </c>
      <c r="B398" s="20">
        <f t="shared" si="14"/>
        <v>1291.78</v>
      </c>
      <c r="C398" s="41">
        <f t="shared" si="15"/>
        <v>-0.001354719844</v>
      </c>
      <c r="M398" s="78">
        <f>IFERROR(__xludf.DUMMYFUNCTION("""COMPUTED_VALUE"""),45327.0)</f>
        <v>45327</v>
      </c>
      <c r="N398" s="74">
        <f>IFERROR(__xludf.DUMMYFUNCTION("""COMPUTED_VALUE"""),1293.53)</f>
        <v>1293.53</v>
      </c>
      <c r="O398" s="74" t="str">
        <f t="shared" si="18"/>
        <v>1293,53</v>
      </c>
    </row>
    <row r="399">
      <c r="A399" s="86">
        <v>45531.0</v>
      </c>
      <c r="B399" s="20">
        <f t="shared" si="14"/>
        <v>1293.53</v>
      </c>
      <c r="C399" s="41">
        <f t="shared" si="15"/>
        <v>0.002960889968</v>
      </c>
      <c r="M399" s="78">
        <f>IFERROR(__xludf.DUMMYFUNCTION("""COMPUTED_VALUE"""),45324.0)</f>
        <v>45324</v>
      </c>
      <c r="N399" s="74">
        <f>IFERROR(__xludf.DUMMYFUNCTION("""COMPUTED_VALUE"""),1284.97)</f>
        <v>1284.97</v>
      </c>
      <c r="O399" s="74" t="str">
        <f t="shared" si="18"/>
        <v>1284,97</v>
      </c>
    </row>
    <row r="400">
      <c r="A400" s="86">
        <v>45530.0</v>
      </c>
      <c r="B400" s="20">
        <f t="shared" si="14"/>
        <v>1289.7</v>
      </c>
      <c r="C400" s="41" t="str">
        <f t="shared" si="15"/>
        <v>#N/A</v>
      </c>
      <c r="M400" s="78">
        <f>IFERROR(__xludf.DUMMYFUNCTION("""COMPUTED_VALUE"""),45323.0)</f>
        <v>45323</v>
      </c>
      <c r="N400" s="74">
        <f>IFERROR(__xludf.DUMMYFUNCTION("""COMPUTED_VALUE"""),1282.31)</f>
        <v>1282.31</v>
      </c>
      <c r="O400" s="74" t="str">
        <f t="shared" si="18"/>
        <v>1282,31</v>
      </c>
    </row>
    <row r="401">
      <c r="A401" s="86">
        <v>45529.0</v>
      </c>
      <c r="B401" s="20" t="str">
        <f t="shared" si="14"/>
        <v>#N/A</v>
      </c>
      <c r="C401" s="41" t="str">
        <f t="shared" si="15"/>
        <v>#N/A</v>
      </c>
      <c r="M401" s="78">
        <f>IFERROR(__xludf.DUMMYFUNCTION("""COMPUTED_VALUE"""),45322.0)</f>
        <v>45322</v>
      </c>
      <c r="N401" s="74">
        <f>IFERROR(__xludf.DUMMYFUNCTION("""COMPUTED_VALUE"""),1251.26)</f>
        <v>1251.26</v>
      </c>
      <c r="O401" s="74" t="str">
        <f t="shared" si="18"/>
        <v>1251,26</v>
      </c>
    </row>
    <row r="402">
      <c r="A402" s="86">
        <v>45528.0</v>
      </c>
      <c r="B402" s="20" t="str">
        <f t="shared" si="14"/>
        <v>#N/A</v>
      </c>
      <c r="C402" s="41" t="str">
        <f t="shared" si="15"/>
        <v>#N/A</v>
      </c>
      <c r="M402" s="78">
        <f>IFERROR(__xludf.DUMMYFUNCTION("""COMPUTED_VALUE"""),45321.0)</f>
        <v>45321</v>
      </c>
      <c r="N402" s="74">
        <f>IFERROR(__xludf.DUMMYFUNCTION("""COMPUTED_VALUE"""),1270.0)</f>
        <v>1270</v>
      </c>
      <c r="O402" s="74" t="str">
        <f t="shared" si="18"/>
        <v>1270</v>
      </c>
    </row>
    <row r="403">
      <c r="A403" s="86">
        <v>45527.0</v>
      </c>
      <c r="B403" s="20">
        <f t="shared" si="14"/>
        <v>1286</v>
      </c>
      <c r="C403" s="41">
        <f t="shared" si="15"/>
        <v>0.0003732503888</v>
      </c>
      <c r="M403" s="78">
        <f>IFERROR(__xludf.DUMMYFUNCTION("""COMPUTED_VALUE"""),45320.0)</f>
        <v>45320</v>
      </c>
      <c r="N403" s="74">
        <f>IFERROR(__xludf.DUMMYFUNCTION("""COMPUTED_VALUE"""),1264.24)</f>
        <v>1264.24</v>
      </c>
      <c r="O403" s="74" t="str">
        <f t="shared" si="18"/>
        <v>1264,24</v>
      </c>
    </row>
    <row r="404">
      <c r="A404" s="86">
        <v>45526.0</v>
      </c>
      <c r="B404" s="20">
        <f t="shared" si="14"/>
        <v>1285.52</v>
      </c>
      <c r="C404" s="41">
        <f t="shared" si="15"/>
        <v>-0.0008868006721</v>
      </c>
      <c r="M404" s="78">
        <f>IFERROR(__xludf.DUMMYFUNCTION("""COMPUTED_VALUE"""),45317.0)</f>
        <v>45317</v>
      </c>
      <c r="N404" s="74">
        <f>IFERROR(__xludf.DUMMYFUNCTION("""COMPUTED_VALUE"""),1231.3)</f>
        <v>1231.3</v>
      </c>
      <c r="O404" s="74" t="str">
        <f t="shared" si="18"/>
        <v>1231,3</v>
      </c>
    </row>
    <row r="405">
      <c r="A405" s="86">
        <v>45525.0</v>
      </c>
      <c r="B405" s="20">
        <f t="shared" si="14"/>
        <v>1286.66</v>
      </c>
      <c r="C405" s="41">
        <f t="shared" si="15"/>
        <v>-0.002595868372</v>
      </c>
      <c r="M405" s="78">
        <f>IFERROR(__xludf.DUMMYFUNCTION("""COMPUTED_VALUE"""),45316.0)</f>
        <v>45316</v>
      </c>
      <c r="N405" s="74">
        <f>IFERROR(__xludf.DUMMYFUNCTION("""COMPUTED_VALUE"""),1283.25)</f>
        <v>1283.25</v>
      </c>
      <c r="O405" s="74" t="str">
        <f t="shared" si="18"/>
        <v>1283,25</v>
      </c>
    </row>
    <row r="406">
      <c r="A406" s="86">
        <v>45524.0</v>
      </c>
      <c r="B406" s="20">
        <f t="shared" si="14"/>
        <v>1290</v>
      </c>
      <c r="C406" s="41">
        <f t="shared" si="15"/>
        <v>0.002635658915</v>
      </c>
      <c r="M406" s="78">
        <f>IFERROR(__xludf.DUMMYFUNCTION("""COMPUTED_VALUE"""),45315.0)</f>
        <v>45315</v>
      </c>
      <c r="N406" s="74">
        <f>IFERROR(__xludf.DUMMYFUNCTION("""COMPUTED_VALUE"""),1303.82)</f>
        <v>1303.82</v>
      </c>
      <c r="O406" s="74" t="str">
        <f t="shared" si="18"/>
        <v>1303,82</v>
      </c>
    </row>
    <row r="407">
      <c r="A407" s="86">
        <v>45523.0</v>
      </c>
      <c r="B407" s="20">
        <f t="shared" si="14"/>
        <v>1286.6</v>
      </c>
      <c r="C407" s="41" t="str">
        <f t="shared" si="15"/>
        <v>#N/A</v>
      </c>
      <c r="M407" s="78">
        <f>IFERROR(__xludf.DUMMYFUNCTION("""COMPUTED_VALUE"""),45314.0)</f>
        <v>45314</v>
      </c>
      <c r="N407" s="74">
        <f>IFERROR(__xludf.DUMMYFUNCTION("""COMPUTED_VALUE"""),1284.32)</f>
        <v>1284.32</v>
      </c>
      <c r="O407" s="74" t="str">
        <f t="shared" si="18"/>
        <v>1284,32</v>
      </c>
    </row>
    <row r="408">
      <c r="A408" s="86">
        <v>45522.0</v>
      </c>
      <c r="B408" s="20" t="str">
        <f t="shared" si="14"/>
        <v>#N/A</v>
      </c>
      <c r="C408" s="41" t="str">
        <f t="shared" si="15"/>
        <v>#N/A</v>
      </c>
      <c r="M408" s="78">
        <f>IFERROR(__xludf.DUMMYFUNCTION("""COMPUTED_VALUE"""),45313.0)</f>
        <v>45313</v>
      </c>
      <c r="N408" s="74">
        <f>IFERROR(__xludf.DUMMYFUNCTION("""COMPUTED_VALUE"""),1310.4)</f>
        <v>1310.4</v>
      </c>
      <c r="O408" s="74" t="str">
        <f t="shared" si="18"/>
        <v>1310,4</v>
      </c>
    </row>
    <row r="409">
      <c r="A409" s="86">
        <v>45521.0</v>
      </c>
      <c r="B409" s="20" t="str">
        <f t="shared" si="14"/>
        <v>#N/A</v>
      </c>
      <c r="C409" s="41" t="str">
        <f t="shared" si="15"/>
        <v>#N/A</v>
      </c>
      <c r="M409" s="78">
        <f>IFERROR(__xludf.DUMMYFUNCTION("""COMPUTED_VALUE"""),45310.0)</f>
        <v>45310</v>
      </c>
      <c r="N409" s="74">
        <f>IFERROR(__xludf.DUMMYFUNCTION("""COMPUTED_VALUE"""),1306.38)</f>
        <v>1306.38</v>
      </c>
      <c r="O409" s="74" t="str">
        <f t="shared" si="18"/>
        <v>1306,38</v>
      </c>
    </row>
    <row r="410">
      <c r="A410" s="86">
        <v>45520.0</v>
      </c>
      <c r="B410" s="20">
        <f t="shared" si="14"/>
        <v>1292.11</v>
      </c>
      <c r="C410" s="41">
        <f t="shared" si="15"/>
        <v>0.0125918072</v>
      </c>
      <c r="M410" s="78">
        <f>IFERROR(__xludf.DUMMYFUNCTION("""COMPUTED_VALUE"""),45309.0)</f>
        <v>45309</v>
      </c>
      <c r="N410" s="74">
        <f>IFERROR(__xludf.DUMMYFUNCTION("""COMPUTED_VALUE"""),1281.2)</f>
        <v>1281.2</v>
      </c>
      <c r="O410" s="74" t="str">
        <f t="shared" si="18"/>
        <v>1281,2</v>
      </c>
    </row>
    <row r="411">
      <c r="A411" s="86">
        <v>45519.0</v>
      </c>
      <c r="B411" s="20">
        <f t="shared" si="14"/>
        <v>1275.84</v>
      </c>
      <c r="C411" s="41">
        <f t="shared" si="15"/>
        <v>0.005102520692</v>
      </c>
      <c r="M411" s="78">
        <f>IFERROR(__xludf.DUMMYFUNCTION("""COMPUTED_VALUE"""),45308.0)</f>
        <v>45308</v>
      </c>
      <c r="N411" s="74">
        <f>IFERROR(__xludf.DUMMYFUNCTION("""COMPUTED_VALUE"""),1273.87)</f>
        <v>1273.87</v>
      </c>
      <c r="O411" s="74" t="str">
        <f t="shared" si="18"/>
        <v>1273,87</v>
      </c>
    </row>
    <row r="412">
      <c r="A412" s="86">
        <v>45518.0</v>
      </c>
      <c r="B412" s="20">
        <f t="shared" si="14"/>
        <v>1269.33</v>
      </c>
      <c r="C412" s="41">
        <f t="shared" si="15"/>
        <v>0.001851370408</v>
      </c>
      <c r="M412" s="78">
        <f>IFERROR(__xludf.DUMMYFUNCTION("""COMPUTED_VALUE"""),45307.0)</f>
        <v>45307</v>
      </c>
      <c r="N412" s="74">
        <f>IFERROR(__xludf.DUMMYFUNCTION("""COMPUTED_VALUE"""),1214.66)</f>
        <v>1214.66</v>
      </c>
      <c r="O412" s="74" t="str">
        <f t="shared" si="18"/>
        <v>1214,66</v>
      </c>
    </row>
    <row r="413">
      <c r="A413" s="86">
        <v>45517.0</v>
      </c>
      <c r="B413" s="20">
        <f t="shared" si="14"/>
        <v>1266.98</v>
      </c>
      <c r="C413" s="41">
        <f t="shared" si="15"/>
        <v>-0.01134193121</v>
      </c>
      <c r="M413" s="78">
        <f>IFERROR(__xludf.DUMMYFUNCTION("""COMPUTED_VALUE"""),45306.0)</f>
        <v>45306</v>
      </c>
      <c r="N413" s="74">
        <f>IFERROR(__xludf.DUMMYFUNCTION("""COMPUTED_VALUE"""),1164.6)</f>
        <v>1164.6</v>
      </c>
      <c r="O413" s="74" t="str">
        <f t="shared" si="18"/>
        <v>1164,6</v>
      </c>
    </row>
    <row r="414">
      <c r="A414" s="86">
        <v>45516.0</v>
      </c>
      <c r="B414" s="20">
        <f t="shared" si="14"/>
        <v>1281.35</v>
      </c>
      <c r="C414" s="41" t="str">
        <f t="shared" si="15"/>
        <v>#N/A</v>
      </c>
      <c r="M414" s="78">
        <f>IFERROR(__xludf.DUMMYFUNCTION("""COMPUTED_VALUE"""),45303.0)</f>
        <v>45303</v>
      </c>
      <c r="N414" s="74">
        <f>IFERROR(__xludf.DUMMYFUNCTION("""COMPUTED_VALUE"""),1136.0)</f>
        <v>1136</v>
      </c>
      <c r="O414" s="74" t="str">
        <f t="shared" si="18"/>
        <v>1136</v>
      </c>
    </row>
    <row r="415">
      <c r="A415" s="86">
        <v>45515.0</v>
      </c>
      <c r="B415" s="20" t="str">
        <f t="shared" si="14"/>
        <v>#N/A</v>
      </c>
      <c r="C415" s="41" t="str">
        <f t="shared" si="15"/>
        <v>#N/A</v>
      </c>
      <c r="M415" s="78">
        <f>IFERROR(__xludf.DUMMYFUNCTION("""COMPUTED_VALUE"""),45302.0)</f>
        <v>45302</v>
      </c>
      <c r="N415" s="74">
        <f>IFERROR(__xludf.DUMMYFUNCTION("""COMPUTED_VALUE"""),1147.42)</f>
        <v>1147.42</v>
      </c>
      <c r="O415" s="74" t="str">
        <f t="shared" si="18"/>
        <v>1147,42</v>
      </c>
    </row>
    <row r="416">
      <c r="A416" s="86">
        <v>45514.0</v>
      </c>
      <c r="B416" s="20" t="str">
        <f t="shared" si="14"/>
        <v>#N/A</v>
      </c>
      <c r="C416" s="41" t="str">
        <f t="shared" si="15"/>
        <v>#N/A</v>
      </c>
      <c r="M416" s="78">
        <f>IFERROR(__xludf.DUMMYFUNCTION("""COMPUTED_VALUE"""),45301.0)</f>
        <v>45301</v>
      </c>
      <c r="N416" s="74">
        <f>IFERROR(__xludf.DUMMYFUNCTION("""COMPUTED_VALUE"""),1183.02)</f>
        <v>1183.02</v>
      </c>
      <c r="O416" s="74" t="str">
        <f t="shared" si="18"/>
        <v>1183,02</v>
      </c>
    </row>
    <row r="417">
      <c r="A417" s="86">
        <v>45513.0</v>
      </c>
      <c r="B417" s="20">
        <f t="shared" si="14"/>
        <v>1297.87</v>
      </c>
      <c r="C417" s="41">
        <f t="shared" si="15"/>
        <v>-0.01019362494</v>
      </c>
      <c r="M417" s="78">
        <f>IFERROR(__xludf.DUMMYFUNCTION("""COMPUTED_VALUE"""),45300.0)</f>
        <v>45300</v>
      </c>
      <c r="N417" s="74">
        <f>IFERROR(__xludf.DUMMYFUNCTION("""COMPUTED_VALUE"""),1193.3)</f>
        <v>1193.3</v>
      </c>
      <c r="O417" s="74" t="str">
        <f t="shared" si="18"/>
        <v>1193,3</v>
      </c>
    </row>
    <row r="418">
      <c r="A418" s="86">
        <v>45512.0</v>
      </c>
      <c r="B418" s="20">
        <f t="shared" si="14"/>
        <v>1311.1</v>
      </c>
      <c r="C418" s="41">
        <f t="shared" si="15"/>
        <v>-0.01215010297</v>
      </c>
      <c r="M418" s="78">
        <f>IFERROR(__xludf.DUMMYFUNCTION("""COMPUTED_VALUE"""),45299.0)</f>
        <v>45299</v>
      </c>
      <c r="N418" s="74">
        <f>IFERROR(__xludf.DUMMYFUNCTION("""COMPUTED_VALUE"""),1200.75)</f>
        <v>1200.75</v>
      </c>
      <c r="O418" s="74" t="str">
        <f t="shared" si="18"/>
        <v>1200,75</v>
      </c>
    </row>
    <row r="419">
      <c r="A419" s="86">
        <v>45511.0</v>
      </c>
      <c r="B419" s="20">
        <f t="shared" si="14"/>
        <v>1327.03</v>
      </c>
      <c r="C419" s="41">
        <f t="shared" si="15"/>
        <v>-0.01061769515</v>
      </c>
      <c r="M419" s="78">
        <f>IFERROR(__xludf.DUMMYFUNCTION("""COMPUTED_VALUE"""),45296.0)</f>
        <v>45296</v>
      </c>
      <c r="N419" s="74">
        <f>IFERROR(__xludf.DUMMYFUNCTION("""COMPUTED_VALUE"""),1140.53)</f>
        <v>1140.53</v>
      </c>
      <c r="O419" s="74" t="str">
        <f t="shared" si="18"/>
        <v>1140,53</v>
      </c>
    </row>
    <row r="420">
      <c r="A420" s="86">
        <v>45510.0</v>
      </c>
      <c r="B420" s="20">
        <f t="shared" si="14"/>
        <v>1341.12</v>
      </c>
      <c r="C420" s="41">
        <f t="shared" si="15"/>
        <v>0.00268432355</v>
      </c>
      <c r="M420" s="78">
        <f>IFERROR(__xludf.DUMMYFUNCTION("""COMPUTED_VALUE"""),45295.0)</f>
        <v>45295</v>
      </c>
      <c r="N420" s="74">
        <f>IFERROR(__xludf.DUMMYFUNCTION("""COMPUTED_VALUE"""),1088.99)</f>
        <v>1088.99</v>
      </c>
      <c r="O420" s="74" t="str">
        <f t="shared" si="18"/>
        <v>1088,99</v>
      </c>
    </row>
    <row r="421">
      <c r="A421" s="86">
        <v>45509.0</v>
      </c>
      <c r="B421" s="20">
        <f t="shared" si="14"/>
        <v>1337.52</v>
      </c>
      <c r="C421" s="41" t="str">
        <f t="shared" si="15"/>
        <v>#N/A</v>
      </c>
      <c r="M421" s="78">
        <f>IFERROR(__xludf.DUMMYFUNCTION("""COMPUTED_VALUE"""),45294.0)</f>
        <v>45294</v>
      </c>
      <c r="N421" s="74">
        <f>IFERROR(__xludf.DUMMYFUNCTION("""COMPUTED_VALUE"""),1049.17)</f>
        <v>1049.17</v>
      </c>
      <c r="O421" s="74" t="str">
        <f t="shared" si="18"/>
        <v>1049,17</v>
      </c>
    </row>
    <row r="422">
      <c r="A422" s="86">
        <v>45508.0</v>
      </c>
      <c r="B422" s="20" t="str">
        <f t="shared" si="14"/>
        <v>#N/A</v>
      </c>
      <c r="C422" s="41" t="str">
        <f t="shared" si="15"/>
        <v>#N/A</v>
      </c>
      <c r="M422" s="78">
        <f>IFERROR(__xludf.DUMMYFUNCTION("""COMPUTED_VALUE"""),45293.0)</f>
        <v>45293</v>
      </c>
      <c r="N422" s="74">
        <f>IFERROR(__xludf.DUMMYFUNCTION("""COMPUTED_VALUE"""),997.45)</f>
        <v>997.45</v>
      </c>
      <c r="O422" s="74" t="str">
        <f t="shared" si="18"/>
        <v>997,45</v>
      </c>
    </row>
    <row r="423">
      <c r="A423" s="86">
        <v>45507.0</v>
      </c>
      <c r="B423" s="20" t="str">
        <f t="shared" si="14"/>
        <v>#N/A</v>
      </c>
      <c r="C423" s="41" t="str">
        <f t="shared" si="15"/>
        <v>#N/A</v>
      </c>
      <c r="M423" s="78">
        <f>IFERROR(__xludf.DUMMYFUNCTION("""COMPUTED_VALUE"""),45292.0)</f>
        <v>45292</v>
      </c>
      <c r="N423" s="74">
        <f>IFERROR(__xludf.DUMMYFUNCTION("""COMPUTED_VALUE"""),973.15)</f>
        <v>973.15</v>
      </c>
      <c r="O423" s="74" t="str">
        <f t="shared" si="18"/>
        <v>973,15</v>
      </c>
    </row>
    <row r="424">
      <c r="A424" s="86">
        <v>45506.0</v>
      </c>
      <c r="B424" s="20">
        <f t="shared" si="14"/>
        <v>1321.96</v>
      </c>
      <c r="C424" s="41">
        <f t="shared" si="15"/>
        <v>0.01491724409</v>
      </c>
      <c r="M424" s="78">
        <f>IFERROR(__xludf.DUMMYFUNCTION("""COMPUTED_VALUE"""),45289.0)</f>
        <v>45289</v>
      </c>
      <c r="N424" s="74">
        <f>IFERROR(__xludf.DUMMYFUNCTION("""COMPUTED_VALUE"""),973.31)</f>
        <v>973.31</v>
      </c>
      <c r="O424" s="74" t="str">
        <f t="shared" si="18"/>
        <v>973,31</v>
      </c>
    </row>
    <row r="425">
      <c r="A425" s="86">
        <v>45505.0</v>
      </c>
      <c r="B425" s="20">
        <f t="shared" si="14"/>
        <v>1302.24</v>
      </c>
      <c r="C425" s="41">
        <f t="shared" si="15"/>
        <v>0.012923885</v>
      </c>
      <c r="M425" s="78">
        <f>IFERROR(__xludf.DUMMYFUNCTION("""COMPUTED_VALUE"""),45288.0)</f>
        <v>45288</v>
      </c>
      <c r="N425" s="74">
        <f>IFERROR(__xludf.DUMMYFUNCTION("""COMPUTED_VALUE"""),945.02)</f>
        <v>945.02</v>
      </c>
      <c r="O425" s="74" t="str">
        <f t="shared" si="18"/>
        <v>945,02</v>
      </c>
    </row>
    <row r="426">
      <c r="A426" s="86">
        <v>45504.0</v>
      </c>
      <c r="B426" s="20">
        <f t="shared" si="14"/>
        <v>1285.41</v>
      </c>
      <c r="C426" s="41">
        <f t="shared" si="15"/>
        <v>0.01583930419</v>
      </c>
      <c r="M426" s="78">
        <f>IFERROR(__xludf.DUMMYFUNCTION("""COMPUTED_VALUE"""),45287.0)</f>
        <v>45287</v>
      </c>
      <c r="N426" s="74">
        <f>IFERROR(__xludf.DUMMYFUNCTION("""COMPUTED_VALUE"""),870.97)</f>
        <v>870.97</v>
      </c>
      <c r="O426" s="74" t="str">
        <f t="shared" si="18"/>
        <v>870,97</v>
      </c>
    </row>
    <row r="427">
      <c r="A427" s="86">
        <v>45503.0</v>
      </c>
      <c r="B427" s="20">
        <f t="shared" si="14"/>
        <v>1265.05</v>
      </c>
      <c r="C427" s="41">
        <f t="shared" si="15"/>
        <v>-0.02306628197</v>
      </c>
      <c r="M427" s="78">
        <f>IFERROR(__xludf.DUMMYFUNCTION("""COMPUTED_VALUE"""),45286.0)</f>
        <v>45286</v>
      </c>
      <c r="N427" s="74">
        <f>IFERROR(__xludf.DUMMYFUNCTION("""COMPUTED_VALUE"""),901.25)</f>
        <v>901.25</v>
      </c>
      <c r="O427" s="74" t="str">
        <f t="shared" si="18"/>
        <v>901,25</v>
      </c>
    </row>
    <row r="428">
      <c r="A428" s="86">
        <v>45502.0</v>
      </c>
      <c r="B428" s="20">
        <f t="shared" si="14"/>
        <v>1294.23</v>
      </c>
      <c r="C428" s="41" t="str">
        <f t="shared" si="15"/>
        <v>#N/A</v>
      </c>
      <c r="M428" s="78">
        <f>IFERROR(__xludf.DUMMYFUNCTION("""COMPUTED_VALUE"""),45285.0)</f>
        <v>45285</v>
      </c>
      <c r="N428" s="74">
        <f>IFERROR(__xludf.DUMMYFUNCTION("""COMPUTED_VALUE"""),941.96)</f>
        <v>941.96</v>
      </c>
      <c r="O428" s="74" t="str">
        <f t="shared" si="18"/>
        <v>941,96</v>
      </c>
    </row>
    <row r="429">
      <c r="A429" s="86">
        <v>45501.0</v>
      </c>
      <c r="B429" s="20" t="str">
        <f t="shared" si="14"/>
        <v>#N/A</v>
      </c>
      <c r="C429" s="41" t="str">
        <f t="shared" si="15"/>
        <v>#N/A</v>
      </c>
      <c r="M429" s="78">
        <f>IFERROR(__xludf.DUMMYFUNCTION("""COMPUTED_VALUE"""),45282.0)</f>
        <v>45282</v>
      </c>
      <c r="N429" s="74">
        <f>IFERROR(__xludf.DUMMYFUNCTION("""COMPUTED_VALUE"""),941.72)</f>
        <v>941.72</v>
      </c>
      <c r="O429" s="74" t="str">
        <f t="shared" si="18"/>
        <v>941,72</v>
      </c>
    </row>
    <row r="430">
      <c r="A430" s="86">
        <v>45500.0</v>
      </c>
      <c r="B430" s="20" t="str">
        <f t="shared" si="14"/>
        <v>#N/A</v>
      </c>
      <c r="C430" s="41" t="str">
        <f t="shared" si="15"/>
        <v>#N/A</v>
      </c>
      <c r="M430" s="78">
        <f>IFERROR(__xludf.DUMMYFUNCTION("""COMPUTED_VALUE"""),45281.0)</f>
        <v>45281</v>
      </c>
      <c r="N430" s="74">
        <f>IFERROR(__xludf.DUMMYFUNCTION("""COMPUTED_VALUE"""),944.88)</f>
        <v>944.88</v>
      </c>
      <c r="O430" s="74" t="str">
        <f t="shared" si="18"/>
        <v>944,88</v>
      </c>
    </row>
    <row r="431">
      <c r="A431" s="86">
        <v>45499.0</v>
      </c>
      <c r="B431" s="20">
        <f t="shared" si="14"/>
        <v>1317.85</v>
      </c>
      <c r="C431" s="41">
        <f t="shared" si="15"/>
        <v>-0.008862920666</v>
      </c>
      <c r="M431" s="78">
        <f>IFERROR(__xludf.DUMMYFUNCTION("""COMPUTED_VALUE"""),45280.0)</f>
        <v>45280</v>
      </c>
      <c r="N431" s="74">
        <f>IFERROR(__xludf.DUMMYFUNCTION("""COMPUTED_VALUE"""),945.11)</f>
        <v>945.11</v>
      </c>
      <c r="O431" s="74" t="str">
        <f t="shared" si="18"/>
        <v>945,11</v>
      </c>
    </row>
    <row r="432">
      <c r="A432" s="86">
        <v>45498.0</v>
      </c>
      <c r="B432" s="20">
        <f t="shared" si="14"/>
        <v>1329.53</v>
      </c>
      <c r="C432" s="41">
        <f t="shared" si="15"/>
        <v>-0.004633216249</v>
      </c>
      <c r="M432" s="78">
        <f>IFERROR(__xludf.DUMMYFUNCTION("""COMPUTED_VALUE"""),45279.0)</f>
        <v>45279</v>
      </c>
      <c r="N432" s="74">
        <f>IFERROR(__xludf.DUMMYFUNCTION("""COMPUTED_VALUE"""),951.01)</f>
        <v>951.01</v>
      </c>
      <c r="O432" s="74" t="str">
        <f t="shared" si="18"/>
        <v>951,01</v>
      </c>
    </row>
    <row r="433">
      <c r="A433" s="86">
        <v>45497.0</v>
      </c>
      <c r="B433" s="20">
        <f t="shared" si="14"/>
        <v>1335.69</v>
      </c>
      <c r="C433" s="41">
        <f t="shared" si="15"/>
        <v>-0.001100554769</v>
      </c>
      <c r="M433" s="78">
        <f>IFERROR(__xludf.DUMMYFUNCTION("""COMPUTED_VALUE"""),45278.0)</f>
        <v>45278</v>
      </c>
      <c r="N433" s="74">
        <f>IFERROR(__xludf.DUMMYFUNCTION("""COMPUTED_VALUE"""),946.65)</f>
        <v>946.65</v>
      </c>
      <c r="O433" s="74" t="str">
        <f t="shared" si="18"/>
        <v>946,65</v>
      </c>
    </row>
    <row r="434">
      <c r="A434" s="86">
        <v>45496.0</v>
      </c>
      <c r="B434" s="20">
        <f t="shared" si="14"/>
        <v>1337.16</v>
      </c>
      <c r="C434" s="41">
        <f t="shared" si="15"/>
        <v>0.005496724401</v>
      </c>
      <c r="M434" s="78">
        <f>IFERROR(__xludf.DUMMYFUNCTION("""COMPUTED_VALUE"""),45275.0)</f>
        <v>45275</v>
      </c>
      <c r="N434" s="74">
        <f>IFERROR(__xludf.DUMMYFUNCTION("""COMPUTED_VALUE"""),997.17)</f>
        <v>997.17</v>
      </c>
      <c r="O434" s="74" t="str">
        <f t="shared" si="18"/>
        <v>997,17</v>
      </c>
    </row>
    <row r="435">
      <c r="A435" s="86">
        <v>45495.0</v>
      </c>
      <c r="B435" s="20">
        <f t="shared" si="14"/>
        <v>1329.81</v>
      </c>
      <c r="C435" s="41" t="str">
        <f t="shared" si="15"/>
        <v>#N/A</v>
      </c>
      <c r="M435" s="78">
        <f>IFERROR(__xludf.DUMMYFUNCTION("""COMPUTED_VALUE"""),45274.0)</f>
        <v>45274</v>
      </c>
      <c r="N435" s="74">
        <f>IFERROR(__xludf.DUMMYFUNCTION("""COMPUTED_VALUE"""),1016.71)</f>
        <v>1016.71</v>
      </c>
      <c r="O435" s="74" t="str">
        <f t="shared" si="18"/>
        <v>1016,71</v>
      </c>
    </row>
    <row r="436">
      <c r="A436" s="86">
        <v>45494.0</v>
      </c>
      <c r="B436" s="20" t="str">
        <f t="shared" si="14"/>
        <v>#N/A</v>
      </c>
      <c r="C436" s="41" t="str">
        <f t="shared" si="15"/>
        <v>#N/A</v>
      </c>
      <c r="M436" s="78">
        <f>IFERROR(__xludf.DUMMYFUNCTION("""COMPUTED_VALUE"""),45273.0)</f>
        <v>45273</v>
      </c>
      <c r="N436" s="74">
        <f>IFERROR(__xludf.DUMMYFUNCTION("""COMPUTED_VALUE"""),1008.09)</f>
        <v>1008.09</v>
      </c>
      <c r="O436" s="74" t="str">
        <f t="shared" si="18"/>
        <v>1008,09</v>
      </c>
    </row>
    <row r="437">
      <c r="A437" s="86">
        <v>45493.0</v>
      </c>
      <c r="B437" s="20" t="str">
        <f t="shared" si="14"/>
        <v>#N/A</v>
      </c>
      <c r="C437" s="41" t="str">
        <f t="shared" si="15"/>
        <v>#N/A</v>
      </c>
      <c r="M437" s="78">
        <f>IFERROR(__xludf.DUMMYFUNCTION("""COMPUTED_VALUE"""),45272.0)</f>
        <v>45272</v>
      </c>
      <c r="N437" s="74">
        <f>IFERROR(__xludf.DUMMYFUNCTION("""COMPUTED_VALUE"""),1032.95)</f>
        <v>1032.95</v>
      </c>
      <c r="O437" s="74" t="str">
        <f t="shared" si="18"/>
        <v>1032,95</v>
      </c>
    </row>
    <row r="438">
      <c r="A438" s="86">
        <v>45492.0</v>
      </c>
      <c r="B438" s="20">
        <f t="shared" si="14"/>
        <v>1328.48</v>
      </c>
      <c r="C438" s="41">
        <f t="shared" si="15"/>
        <v>-0.00313139829</v>
      </c>
      <c r="M438" s="78">
        <f>IFERROR(__xludf.DUMMYFUNCTION("""COMPUTED_VALUE"""),45271.0)</f>
        <v>45271</v>
      </c>
      <c r="N438" s="74">
        <f>IFERROR(__xludf.DUMMYFUNCTION("""COMPUTED_VALUE"""),1000.55)</f>
        <v>1000.55</v>
      </c>
      <c r="O438" s="74" t="str">
        <f t="shared" si="18"/>
        <v>1000,55</v>
      </c>
    </row>
    <row r="439">
      <c r="A439" s="86">
        <v>45491.0</v>
      </c>
      <c r="B439" s="20">
        <f t="shared" si="14"/>
        <v>1332.64</v>
      </c>
      <c r="C439" s="41">
        <f t="shared" si="15"/>
        <v>0.01786679073</v>
      </c>
      <c r="M439" s="78">
        <f>IFERROR(__xludf.DUMMYFUNCTION("""COMPUTED_VALUE"""),45268.0)</f>
        <v>45268</v>
      </c>
      <c r="N439" s="74">
        <f>IFERROR(__xludf.DUMMYFUNCTION("""COMPUTED_VALUE"""),991.66)</f>
        <v>991.66</v>
      </c>
      <c r="O439" s="74" t="str">
        <f t="shared" si="18"/>
        <v>991,66</v>
      </c>
    </row>
    <row r="440">
      <c r="A440" s="86">
        <v>45490.0</v>
      </c>
      <c r="B440" s="20">
        <f t="shared" si="14"/>
        <v>1308.83</v>
      </c>
      <c r="C440" s="41">
        <f t="shared" si="15"/>
        <v>0.01745070024</v>
      </c>
      <c r="M440" s="78">
        <f>IFERROR(__xludf.DUMMYFUNCTION("""COMPUTED_VALUE"""),45267.0)</f>
        <v>45267</v>
      </c>
      <c r="N440" s="74">
        <f>IFERROR(__xludf.DUMMYFUNCTION("""COMPUTED_VALUE"""),991.83)</f>
        <v>991.83</v>
      </c>
      <c r="O440" s="74" t="str">
        <f t="shared" si="18"/>
        <v>991,83</v>
      </c>
    </row>
    <row r="441">
      <c r="A441" s="86">
        <v>45489.0</v>
      </c>
      <c r="B441" s="20">
        <f t="shared" si="14"/>
        <v>1285.99</v>
      </c>
      <c r="C441" s="41">
        <f t="shared" si="15"/>
        <v>-0.01647757759</v>
      </c>
      <c r="M441" s="78">
        <f>IFERROR(__xludf.DUMMYFUNCTION("""COMPUTED_VALUE"""),45266.0)</f>
        <v>45266</v>
      </c>
      <c r="N441" s="74">
        <f>IFERROR(__xludf.DUMMYFUNCTION("""COMPUTED_VALUE"""),937.44)</f>
        <v>937.44</v>
      </c>
      <c r="O441" s="74" t="str">
        <f t="shared" si="18"/>
        <v>937,44</v>
      </c>
    </row>
    <row r="442">
      <c r="A442" s="86">
        <v>45488.0</v>
      </c>
      <c r="B442" s="20">
        <f t="shared" si="14"/>
        <v>1307.18</v>
      </c>
      <c r="C442" s="41" t="str">
        <f t="shared" si="15"/>
        <v>#N/A</v>
      </c>
      <c r="M442" s="78">
        <f>IFERROR(__xludf.DUMMYFUNCTION("""COMPUTED_VALUE"""),45265.0)</f>
        <v>45265</v>
      </c>
      <c r="N442" s="74">
        <f>IFERROR(__xludf.DUMMYFUNCTION("""COMPUTED_VALUE"""),909.52)</f>
        <v>909.52</v>
      </c>
      <c r="O442" s="74" t="str">
        <f t="shared" si="18"/>
        <v>909,52</v>
      </c>
    </row>
    <row r="443">
      <c r="A443" s="86">
        <v>45487.0</v>
      </c>
      <c r="B443" s="20" t="str">
        <f t="shared" si="14"/>
        <v>#N/A</v>
      </c>
      <c r="C443" s="41" t="str">
        <f t="shared" si="15"/>
        <v>#N/A</v>
      </c>
      <c r="M443" s="78">
        <f>IFERROR(__xludf.DUMMYFUNCTION("""COMPUTED_VALUE"""),45264.0)</f>
        <v>45264</v>
      </c>
      <c r="N443" s="74">
        <f>IFERROR(__xludf.DUMMYFUNCTION("""COMPUTED_VALUE"""),890.78)</f>
        <v>890.78</v>
      </c>
      <c r="O443" s="74" t="str">
        <f t="shared" si="18"/>
        <v>890,78</v>
      </c>
    </row>
    <row r="444">
      <c r="A444" s="86">
        <v>45486.0</v>
      </c>
      <c r="B444" s="20" t="str">
        <f t="shared" si="14"/>
        <v>#N/A</v>
      </c>
      <c r="C444" s="41" t="str">
        <f t="shared" si="15"/>
        <v>#N/A</v>
      </c>
      <c r="M444" s="78">
        <f>IFERROR(__xludf.DUMMYFUNCTION("""COMPUTED_VALUE"""),45261.0)</f>
        <v>45261</v>
      </c>
      <c r="N444" s="74">
        <f>IFERROR(__xludf.DUMMYFUNCTION("""COMPUTED_VALUE"""),904.36)</f>
        <v>904.36</v>
      </c>
      <c r="O444" s="74" t="str">
        <f t="shared" si="18"/>
        <v>904,36</v>
      </c>
    </row>
    <row r="445">
      <c r="A445" s="86">
        <v>45485.0</v>
      </c>
      <c r="B445" s="20">
        <f t="shared" si="14"/>
        <v>1427.9</v>
      </c>
      <c r="C445" s="41">
        <f t="shared" si="15"/>
        <v>0.009440437005</v>
      </c>
      <c r="M445" s="78">
        <f>IFERROR(__xludf.DUMMYFUNCTION("""COMPUTED_VALUE"""),45260.0)</f>
        <v>45260</v>
      </c>
      <c r="N445" s="74">
        <f>IFERROR(__xludf.DUMMYFUNCTION("""COMPUTED_VALUE"""),836.84)</f>
        <v>836.84</v>
      </c>
      <c r="O445" s="74" t="str">
        <f t="shared" si="18"/>
        <v>836,84</v>
      </c>
    </row>
    <row r="446">
      <c r="A446" s="86">
        <v>45484.0</v>
      </c>
      <c r="B446" s="20">
        <f t="shared" si="14"/>
        <v>1414.42</v>
      </c>
      <c r="C446" s="41">
        <f t="shared" si="15"/>
        <v>0.01687617539</v>
      </c>
      <c r="M446" s="78">
        <f>IFERROR(__xludf.DUMMYFUNCTION("""COMPUTED_VALUE"""),45259.0)</f>
        <v>45259</v>
      </c>
      <c r="N446" s="74">
        <f>IFERROR(__xludf.DUMMYFUNCTION("""COMPUTED_VALUE"""),820.27)</f>
        <v>820.27</v>
      </c>
      <c r="O446" s="74" t="str">
        <f t="shared" si="18"/>
        <v>820,27</v>
      </c>
    </row>
    <row r="447">
      <c r="A447" s="86">
        <v>45483.0</v>
      </c>
      <c r="B447" s="20">
        <f t="shared" si="14"/>
        <v>1390.55</v>
      </c>
      <c r="C447" s="41">
        <f t="shared" si="15"/>
        <v>0.002847794038</v>
      </c>
      <c r="M447" s="78">
        <f>IFERROR(__xludf.DUMMYFUNCTION("""COMPUTED_VALUE"""),45258.0)</f>
        <v>45258</v>
      </c>
      <c r="N447" s="74">
        <f>IFERROR(__xludf.DUMMYFUNCTION("""COMPUTED_VALUE"""),848.9)</f>
        <v>848.9</v>
      </c>
      <c r="O447" s="74" t="str">
        <f t="shared" si="18"/>
        <v>848,9</v>
      </c>
    </row>
    <row r="448">
      <c r="A448" s="86">
        <v>45482.0</v>
      </c>
      <c r="B448" s="20">
        <f t="shared" si="14"/>
        <v>1386.59</v>
      </c>
      <c r="C448" s="41">
        <f t="shared" si="15"/>
        <v>0</v>
      </c>
      <c r="M448" s="78">
        <f>IFERROR(__xludf.DUMMYFUNCTION("""COMPUTED_VALUE"""),45257.0)</f>
        <v>45257</v>
      </c>
      <c r="N448" s="74">
        <f>IFERROR(__xludf.DUMMYFUNCTION("""COMPUTED_VALUE"""),858.28)</f>
        <v>858.28</v>
      </c>
      <c r="O448" s="74" t="str">
        <f t="shared" si="18"/>
        <v>858,28</v>
      </c>
    </row>
    <row r="449">
      <c r="A449" s="86">
        <v>45481.0</v>
      </c>
      <c r="B449" s="20">
        <f t="shared" si="14"/>
        <v>1386.59</v>
      </c>
      <c r="C449" s="41" t="str">
        <f t="shared" si="15"/>
        <v>#N/A</v>
      </c>
      <c r="M449" s="78">
        <f>IFERROR(__xludf.DUMMYFUNCTION("""COMPUTED_VALUE"""),45254.0)</f>
        <v>45254</v>
      </c>
      <c r="N449" s="74">
        <f>IFERROR(__xludf.DUMMYFUNCTION("""COMPUTED_VALUE"""),925.18)</f>
        <v>925.18</v>
      </c>
      <c r="O449" s="74" t="str">
        <f t="shared" si="18"/>
        <v>925,18</v>
      </c>
    </row>
    <row r="450">
      <c r="A450" s="86">
        <v>45480.0</v>
      </c>
      <c r="B450" s="20" t="str">
        <f t="shared" si="14"/>
        <v>#N/A</v>
      </c>
      <c r="C450" s="41" t="str">
        <f t="shared" si="15"/>
        <v>#N/A</v>
      </c>
      <c r="M450" s="78">
        <f>IFERROR(__xludf.DUMMYFUNCTION("""COMPUTED_VALUE"""),45253.0)</f>
        <v>45253</v>
      </c>
      <c r="N450" s="74">
        <f>IFERROR(__xludf.DUMMYFUNCTION("""COMPUTED_VALUE"""),962.0)</f>
        <v>962</v>
      </c>
      <c r="O450" s="74" t="str">
        <f t="shared" si="18"/>
        <v>962</v>
      </c>
    </row>
    <row r="451">
      <c r="A451" s="86">
        <v>45479.0</v>
      </c>
      <c r="B451" s="20" t="str">
        <f t="shared" si="14"/>
        <v>#N/A</v>
      </c>
      <c r="C451" s="41" t="str">
        <f t="shared" si="15"/>
        <v>#N/A</v>
      </c>
      <c r="M451" s="78">
        <f>IFERROR(__xludf.DUMMYFUNCTION("""COMPUTED_VALUE"""),45252.0)</f>
        <v>45252</v>
      </c>
      <c r="N451" s="74">
        <f>IFERROR(__xludf.DUMMYFUNCTION("""COMPUTED_VALUE"""),947.16)</f>
        <v>947.16</v>
      </c>
      <c r="O451" s="74" t="str">
        <f t="shared" si="18"/>
        <v>947,16</v>
      </c>
    </row>
    <row r="452">
      <c r="A452" s="86">
        <v>45478.0</v>
      </c>
      <c r="B452" s="20">
        <f t="shared" si="14"/>
        <v>1392.38</v>
      </c>
      <c r="C452" s="41">
        <f t="shared" si="15"/>
        <v>-0.004345078211</v>
      </c>
      <c r="M452" s="78">
        <f>IFERROR(__xludf.DUMMYFUNCTION("""COMPUTED_VALUE"""),45251.0)</f>
        <v>45251</v>
      </c>
      <c r="N452" s="74">
        <f>IFERROR(__xludf.DUMMYFUNCTION("""COMPUTED_VALUE"""),881.85)</f>
        <v>881.85</v>
      </c>
      <c r="O452" s="74" t="str">
        <f t="shared" si="18"/>
        <v>881,85</v>
      </c>
    </row>
    <row r="453">
      <c r="A453" s="86">
        <v>45477.0</v>
      </c>
      <c r="B453" s="20">
        <f t="shared" si="14"/>
        <v>1398.43</v>
      </c>
      <c r="C453" s="41">
        <f t="shared" si="15"/>
        <v>0.002960462805</v>
      </c>
      <c r="M453" s="78">
        <f>IFERROR(__xludf.DUMMYFUNCTION("""COMPUTED_VALUE"""),45250.0)</f>
        <v>45250</v>
      </c>
      <c r="N453" s="74">
        <f>IFERROR(__xludf.DUMMYFUNCTION("""COMPUTED_VALUE"""),876.27)</f>
        <v>876.27</v>
      </c>
      <c r="O453" s="74" t="str">
        <f t="shared" si="18"/>
        <v>876,27</v>
      </c>
    </row>
    <row r="454">
      <c r="A454" s="86">
        <v>45476.0</v>
      </c>
      <c r="B454" s="20">
        <f t="shared" si="14"/>
        <v>1394.29</v>
      </c>
      <c r="C454" s="41">
        <f t="shared" si="15"/>
        <v>-0.02469357164</v>
      </c>
      <c r="M454" s="78">
        <f>IFERROR(__xludf.DUMMYFUNCTION("""COMPUTED_VALUE"""),45247.0)</f>
        <v>45247</v>
      </c>
      <c r="N454" s="74">
        <f>IFERROR(__xludf.DUMMYFUNCTION("""COMPUTED_VALUE"""),876.96)</f>
        <v>876.96</v>
      </c>
      <c r="O454" s="74" t="str">
        <f t="shared" si="18"/>
        <v>876,96</v>
      </c>
    </row>
    <row r="455">
      <c r="A455" s="86">
        <v>45475.0</v>
      </c>
      <c r="B455" s="20">
        <f t="shared" si="14"/>
        <v>1428.72</v>
      </c>
      <c r="C455" s="41">
        <f t="shared" si="15"/>
        <v>0.01136681785</v>
      </c>
      <c r="M455" s="78">
        <f>IFERROR(__xludf.DUMMYFUNCTION("""COMPUTED_VALUE"""),45246.0)</f>
        <v>45246</v>
      </c>
      <c r="N455" s="74">
        <f>IFERROR(__xludf.DUMMYFUNCTION("""COMPUTED_VALUE"""),870.26)</f>
        <v>870.26</v>
      </c>
      <c r="O455" s="74" t="str">
        <f t="shared" si="18"/>
        <v>870,26</v>
      </c>
    </row>
    <row r="456">
      <c r="A456" s="86">
        <v>45474.0</v>
      </c>
      <c r="B456" s="20">
        <f t="shared" si="14"/>
        <v>1412.48</v>
      </c>
      <c r="C456" s="41" t="str">
        <f t="shared" si="15"/>
        <v>#N/A</v>
      </c>
      <c r="M456" s="78">
        <f>IFERROR(__xludf.DUMMYFUNCTION("""COMPUTED_VALUE"""),45245.0)</f>
        <v>45245</v>
      </c>
      <c r="N456" s="74">
        <f>IFERROR(__xludf.DUMMYFUNCTION("""COMPUTED_VALUE"""),875.19)</f>
        <v>875.19</v>
      </c>
      <c r="O456" s="74" t="str">
        <f t="shared" si="18"/>
        <v>875,19</v>
      </c>
    </row>
    <row r="457">
      <c r="A457" s="86">
        <v>45473.0</v>
      </c>
      <c r="B457" s="20" t="str">
        <f t="shared" si="14"/>
        <v>#N/A</v>
      </c>
      <c r="C457" s="41" t="str">
        <f t="shared" si="15"/>
        <v>#N/A</v>
      </c>
      <c r="M457" s="78">
        <f>IFERROR(__xludf.DUMMYFUNCTION("""COMPUTED_VALUE"""),45244.0)</f>
        <v>45244</v>
      </c>
      <c r="N457" s="74">
        <f>IFERROR(__xludf.DUMMYFUNCTION("""COMPUTED_VALUE"""),875.28)</f>
        <v>875.28</v>
      </c>
      <c r="O457" s="74" t="str">
        <f t="shared" si="18"/>
        <v>875,28</v>
      </c>
    </row>
    <row r="458">
      <c r="A458" s="86">
        <v>45472.0</v>
      </c>
      <c r="B458" s="20" t="str">
        <f t="shared" si="14"/>
        <v>#N/A</v>
      </c>
      <c r="C458" s="41" t="str">
        <f t="shared" si="15"/>
        <v>#N/A</v>
      </c>
      <c r="M458" s="78">
        <f>IFERROR(__xludf.DUMMYFUNCTION("""COMPUTED_VALUE"""),45243.0)</f>
        <v>45243</v>
      </c>
      <c r="N458" s="74">
        <f>IFERROR(__xludf.DUMMYFUNCTION("""COMPUTED_VALUE"""),878.29)</f>
        <v>878.29</v>
      </c>
      <c r="O458" s="74" t="str">
        <f t="shared" si="18"/>
        <v>878,29</v>
      </c>
    </row>
    <row r="459">
      <c r="A459" s="86">
        <v>45471.0</v>
      </c>
      <c r="B459" s="20">
        <f t="shared" si="14"/>
        <v>1350.18</v>
      </c>
      <c r="C459" s="41">
        <f t="shared" si="15"/>
        <v>0.003318076108</v>
      </c>
      <c r="M459" s="78">
        <f>IFERROR(__xludf.DUMMYFUNCTION("""COMPUTED_VALUE"""),45240.0)</f>
        <v>45240</v>
      </c>
      <c r="N459" s="74">
        <f>IFERROR(__xludf.DUMMYFUNCTION("""COMPUTED_VALUE"""),877.02)</f>
        <v>877.02</v>
      </c>
      <c r="O459" s="74" t="str">
        <f t="shared" si="18"/>
        <v>877,02</v>
      </c>
    </row>
    <row r="460">
      <c r="A460" s="86">
        <v>45470.0</v>
      </c>
      <c r="B460" s="20">
        <f t="shared" si="14"/>
        <v>1345.7</v>
      </c>
      <c r="C460" s="41">
        <f t="shared" si="15"/>
        <v>0.003396002081</v>
      </c>
      <c r="M460" s="78">
        <f>IFERROR(__xludf.DUMMYFUNCTION("""COMPUTED_VALUE"""),45239.0)</f>
        <v>45239</v>
      </c>
      <c r="N460" s="74">
        <f>IFERROR(__xludf.DUMMYFUNCTION("""COMPUTED_VALUE"""),871.33)</f>
        <v>871.33</v>
      </c>
      <c r="O460" s="74" t="str">
        <f t="shared" si="18"/>
        <v>871,33</v>
      </c>
    </row>
    <row r="461">
      <c r="A461" s="86">
        <v>45469.0</v>
      </c>
      <c r="B461" s="20">
        <f t="shared" si="14"/>
        <v>1341.13</v>
      </c>
      <c r="C461" s="41">
        <f t="shared" si="15"/>
        <v>0.02122836712</v>
      </c>
      <c r="M461" s="78">
        <f>IFERROR(__xludf.DUMMYFUNCTION("""COMPUTED_VALUE"""),45238.0)</f>
        <v>45238</v>
      </c>
      <c r="N461" s="74">
        <f>IFERROR(__xludf.DUMMYFUNCTION("""COMPUTED_VALUE"""),823.26)</f>
        <v>823.26</v>
      </c>
      <c r="O461" s="74" t="str">
        <f t="shared" si="18"/>
        <v>823,26</v>
      </c>
    </row>
    <row r="462">
      <c r="A462" s="86">
        <v>45468.0</v>
      </c>
      <c r="B462" s="20">
        <f t="shared" si="14"/>
        <v>1312.66</v>
      </c>
      <c r="C462" s="41">
        <f t="shared" si="15"/>
        <v>-0.0007846662502</v>
      </c>
      <c r="M462" s="78">
        <f>IFERROR(__xludf.DUMMYFUNCTION("""COMPUTED_VALUE"""),45237.0)</f>
        <v>45237</v>
      </c>
      <c r="N462" s="74">
        <f>IFERROR(__xludf.DUMMYFUNCTION("""COMPUTED_VALUE"""),857.74)</f>
        <v>857.74</v>
      </c>
      <c r="O462" s="74" t="str">
        <f t="shared" si="18"/>
        <v>857,74</v>
      </c>
    </row>
    <row r="463">
      <c r="A463" s="86">
        <v>45467.0</v>
      </c>
      <c r="B463" s="20">
        <f t="shared" si="14"/>
        <v>1313.69</v>
      </c>
      <c r="C463" s="41" t="str">
        <f t="shared" si="15"/>
        <v>#N/A</v>
      </c>
      <c r="M463" s="78">
        <f>IFERROR(__xludf.DUMMYFUNCTION("""COMPUTED_VALUE"""),45236.0)</f>
        <v>45236</v>
      </c>
      <c r="N463" s="74">
        <f>IFERROR(__xludf.DUMMYFUNCTION("""COMPUTED_VALUE"""),868.08)</f>
        <v>868.08</v>
      </c>
      <c r="O463" s="74" t="str">
        <f t="shared" si="18"/>
        <v>868,08</v>
      </c>
    </row>
    <row r="464">
      <c r="A464" s="86">
        <v>45466.0</v>
      </c>
      <c r="B464" s="20" t="str">
        <f t="shared" si="14"/>
        <v>#N/A</v>
      </c>
      <c r="C464" s="41" t="str">
        <f t="shared" si="15"/>
        <v>#N/A</v>
      </c>
      <c r="M464" s="78">
        <f>IFERROR(__xludf.DUMMYFUNCTION("""COMPUTED_VALUE"""),45233.0)</f>
        <v>45233</v>
      </c>
      <c r="N464" s="74">
        <f>IFERROR(__xludf.DUMMYFUNCTION("""COMPUTED_VALUE"""),868.08)</f>
        <v>868.08</v>
      </c>
      <c r="O464" s="74" t="str">
        <f t="shared" si="18"/>
        <v>868,08</v>
      </c>
    </row>
    <row r="465">
      <c r="A465" s="86">
        <v>45465.0</v>
      </c>
      <c r="B465" s="20" t="str">
        <f t="shared" si="14"/>
        <v>#N/A</v>
      </c>
      <c r="C465" s="41" t="str">
        <f t="shared" si="15"/>
        <v>#N/A</v>
      </c>
      <c r="M465" s="78">
        <f>IFERROR(__xludf.DUMMYFUNCTION("""COMPUTED_VALUE"""),45232.0)</f>
        <v>45232</v>
      </c>
      <c r="N465" s="74">
        <f>IFERROR(__xludf.DUMMYFUNCTION("""COMPUTED_VALUE"""),883.21)</f>
        <v>883.21</v>
      </c>
      <c r="O465" s="74" t="str">
        <f t="shared" si="18"/>
        <v>883,21</v>
      </c>
    </row>
    <row r="466">
      <c r="A466" s="86">
        <v>45464.0</v>
      </c>
      <c r="B466" s="20">
        <f t="shared" si="14"/>
        <v>1291.63</v>
      </c>
      <c r="C466" s="41">
        <f t="shared" si="15"/>
        <v>0</v>
      </c>
      <c r="M466" s="78">
        <f>IFERROR(__xludf.DUMMYFUNCTION("""COMPUTED_VALUE"""),45231.0)</f>
        <v>45231</v>
      </c>
      <c r="N466" s="74">
        <f>IFERROR(__xludf.DUMMYFUNCTION("""COMPUTED_VALUE"""),883.05)</f>
        <v>883.05</v>
      </c>
      <c r="O466" s="74" t="str">
        <f t="shared" si="18"/>
        <v>883,05</v>
      </c>
    </row>
    <row r="467">
      <c r="A467" s="86">
        <v>45463.0</v>
      </c>
      <c r="B467" s="20">
        <f t="shared" si="14"/>
        <v>1291.63</v>
      </c>
      <c r="C467" s="41">
        <f t="shared" si="15"/>
        <v>0</v>
      </c>
      <c r="M467" s="78">
        <f>IFERROR(__xludf.DUMMYFUNCTION("""COMPUTED_VALUE"""),45230.0)</f>
        <v>45230</v>
      </c>
      <c r="N467" s="74">
        <f>IFERROR(__xludf.DUMMYFUNCTION("""COMPUTED_VALUE"""),864.84)</f>
        <v>864.84</v>
      </c>
      <c r="O467" s="74" t="str">
        <f t="shared" si="18"/>
        <v>864,84</v>
      </c>
    </row>
    <row r="468">
      <c r="A468" s="86">
        <v>45462.0</v>
      </c>
      <c r="B468" s="20">
        <f t="shared" si="14"/>
        <v>1291.63</v>
      </c>
      <c r="C468" s="41">
        <f t="shared" si="15"/>
        <v>0.02125995835</v>
      </c>
      <c r="M468" s="78">
        <f>IFERROR(__xludf.DUMMYFUNCTION("""COMPUTED_VALUE"""),45229.0)</f>
        <v>45229</v>
      </c>
      <c r="N468" s="74">
        <f>IFERROR(__xludf.DUMMYFUNCTION("""COMPUTED_VALUE"""),853.07)</f>
        <v>853.07</v>
      </c>
      <c r="O468" s="74" t="str">
        <f t="shared" si="18"/>
        <v>853,07</v>
      </c>
    </row>
    <row r="469">
      <c r="A469" s="86">
        <v>45461.0</v>
      </c>
      <c r="B469" s="20">
        <f t="shared" si="14"/>
        <v>1264.17</v>
      </c>
      <c r="C469" s="41">
        <f t="shared" si="15"/>
        <v>-0.002547125782</v>
      </c>
      <c r="M469" s="78">
        <f>IFERROR(__xludf.DUMMYFUNCTION("""COMPUTED_VALUE"""),45226.0)</f>
        <v>45226</v>
      </c>
      <c r="N469" s="74">
        <f>IFERROR(__xludf.DUMMYFUNCTION("""COMPUTED_VALUE"""),859.73)</f>
        <v>859.73</v>
      </c>
      <c r="O469" s="74" t="str">
        <f t="shared" si="18"/>
        <v>859,73</v>
      </c>
    </row>
    <row r="470">
      <c r="A470" s="86">
        <v>45460.0</v>
      </c>
      <c r="B470" s="20">
        <f t="shared" si="14"/>
        <v>1267.39</v>
      </c>
      <c r="C470" s="41" t="str">
        <f t="shared" si="15"/>
        <v>#N/A</v>
      </c>
      <c r="M470" s="78">
        <f>IFERROR(__xludf.DUMMYFUNCTION("""COMPUTED_VALUE"""),45225.0)</f>
        <v>45225</v>
      </c>
      <c r="N470" s="74">
        <f>IFERROR(__xludf.DUMMYFUNCTION("""COMPUTED_VALUE"""),872.78)</f>
        <v>872.78</v>
      </c>
      <c r="O470" s="74" t="str">
        <f t="shared" si="18"/>
        <v>872,78</v>
      </c>
    </row>
    <row r="471">
      <c r="A471" s="86">
        <v>45459.0</v>
      </c>
      <c r="B471" s="20" t="str">
        <f t="shared" si="14"/>
        <v>#N/A</v>
      </c>
      <c r="C471" s="41" t="str">
        <f t="shared" si="15"/>
        <v>#N/A</v>
      </c>
      <c r="M471" s="78">
        <f>IFERROR(__xludf.DUMMYFUNCTION("""COMPUTED_VALUE"""),45224.0)</f>
        <v>45224</v>
      </c>
      <c r="N471" s="74">
        <f>IFERROR(__xludf.DUMMYFUNCTION("""COMPUTED_VALUE"""),888.91)</f>
        <v>888.91</v>
      </c>
      <c r="O471" s="74" t="str">
        <f t="shared" si="18"/>
        <v>888,91</v>
      </c>
    </row>
    <row r="472">
      <c r="A472" s="86">
        <v>45458.0</v>
      </c>
      <c r="B472" s="20" t="str">
        <f t="shared" si="14"/>
        <v>#N/A</v>
      </c>
      <c r="C472" s="41" t="str">
        <f t="shared" si="15"/>
        <v>#N/A</v>
      </c>
      <c r="M472" s="78">
        <f>IFERROR(__xludf.DUMMYFUNCTION("""COMPUTED_VALUE"""),45223.0)</f>
        <v>45223</v>
      </c>
      <c r="N472" s="74">
        <f>IFERROR(__xludf.DUMMYFUNCTION("""COMPUTED_VALUE"""),887.88)</f>
        <v>887.88</v>
      </c>
      <c r="O472" s="74" t="str">
        <f t="shared" si="18"/>
        <v>887,88</v>
      </c>
    </row>
    <row r="473">
      <c r="A473" s="86">
        <v>45457.0</v>
      </c>
      <c r="B473" s="20">
        <f t="shared" si="14"/>
        <v>1267.49</v>
      </c>
      <c r="C473" s="41">
        <f t="shared" si="15"/>
        <v>-0.005301816977</v>
      </c>
      <c r="M473" s="78">
        <f>IFERROR(__xludf.DUMMYFUNCTION("""COMPUTED_VALUE"""),45222.0)</f>
        <v>45222</v>
      </c>
      <c r="N473" s="74">
        <f>IFERROR(__xludf.DUMMYFUNCTION("""COMPUTED_VALUE"""),935.45)</f>
        <v>935.45</v>
      </c>
      <c r="O473" s="74" t="str">
        <f t="shared" si="18"/>
        <v>935,45</v>
      </c>
    </row>
    <row r="474">
      <c r="A474" s="86">
        <v>45456.0</v>
      </c>
      <c r="B474" s="20">
        <f t="shared" si="14"/>
        <v>1274.21</v>
      </c>
      <c r="C474" s="41">
        <f t="shared" si="15"/>
        <v>-0.02172326383</v>
      </c>
      <c r="M474" s="78">
        <f>IFERROR(__xludf.DUMMYFUNCTION("""COMPUTED_VALUE"""),45219.0)</f>
        <v>45219</v>
      </c>
      <c r="N474" s="74">
        <f>IFERROR(__xludf.DUMMYFUNCTION("""COMPUTED_VALUE"""),1110.59)</f>
        <v>1110.59</v>
      </c>
      <c r="O474" s="74" t="str">
        <f t="shared" si="18"/>
        <v>1110,59</v>
      </c>
    </row>
    <row r="475">
      <c r="A475" s="86">
        <v>45455.0</v>
      </c>
      <c r="B475" s="20">
        <f t="shared" si="14"/>
        <v>1301.89</v>
      </c>
      <c r="C475" s="41">
        <f t="shared" si="15"/>
        <v>-0.002803616281</v>
      </c>
      <c r="M475" s="78">
        <f>IFERROR(__xludf.DUMMYFUNCTION("""COMPUTED_VALUE"""),45218.0)</f>
        <v>45218</v>
      </c>
      <c r="N475" s="74">
        <f>IFERROR(__xludf.DUMMYFUNCTION("""COMPUTED_VALUE"""),957.07)</f>
        <v>957.07</v>
      </c>
      <c r="O475" s="74" t="str">
        <f t="shared" si="18"/>
        <v>957,07</v>
      </c>
    </row>
    <row r="476">
      <c r="A476" s="86">
        <v>45454.0</v>
      </c>
      <c r="B476" s="20">
        <f t="shared" si="14"/>
        <v>1305.54</v>
      </c>
      <c r="C476" s="41">
        <f t="shared" si="15"/>
        <v>-0.0006663909187</v>
      </c>
      <c r="M476" s="78">
        <f>IFERROR(__xludf.DUMMYFUNCTION("""COMPUTED_VALUE"""),45217.0)</f>
        <v>45217</v>
      </c>
      <c r="N476" s="74">
        <f>IFERROR(__xludf.DUMMYFUNCTION("""COMPUTED_VALUE"""),952.59)</f>
        <v>952.59</v>
      </c>
      <c r="O476" s="74" t="str">
        <f t="shared" si="18"/>
        <v>952,59</v>
      </c>
    </row>
    <row r="477">
      <c r="A477" s="86">
        <v>45453.0</v>
      </c>
      <c r="B477" s="20">
        <f t="shared" si="14"/>
        <v>1306.41</v>
      </c>
      <c r="C477" s="41" t="str">
        <f t="shared" si="15"/>
        <v>#N/A</v>
      </c>
      <c r="M477" s="78">
        <f>IFERROR(__xludf.DUMMYFUNCTION("""COMPUTED_VALUE"""),45216.0)</f>
        <v>45216</v>
      </c>
      <c r="N477" s="74">
        <f>IFERROR(__xludf.DUMMYFUNCTION("""COMPUTED_VALUE"""),962.15)</f>
        <v>962.15</v>
      </c>
      <c r="O477" s="74" t="str">
        <f t="shared" si="18"/>
        <v>962,15</v>
      </c>
    </row>
    <row r="478">
      <c r="A478" s="86">
        <v>45452.0</v>
      </c>
      <c r="B478" s="20" t="str">
        <f t="shared" si="14"/>
        <v>#N/A</v>
      </c>
      <c r="C478" s="41" t="str">
        <f t="shared" si="15"/>
        <v>#N/A</v>
      </c>
      <c r="M478" s="78">
        <f>IFERROR(__xludf.DUMMYFUNCTION("""COMPUTED_VALUE"""),45215.0)</f>
        <v>45215</v>
      </c>
      <c r="N478" s="74">
        <f>IFERROR(__xludf.DUMMYFUNCTION("""COMPUTED_VALUE"""),966.96)</f>
        <v>966.96</v>
      </c>
      <c r="O478" s="74" t="str">
        <f t="shared" si="18"/>
        <v>966,96</v>
      </c>
    </row>
    <row r="479">
      <c r="A479" s="86">
        <v>45451.0</v>
      </c>
      <c r="B479" s="20" t="str">
        <f t="shared" si="14"/>
        <v>#N/A</v>
      </c>
      <c r="C479" s="41" t="str">
        <f t="shared" si="15"/>
        <v>#N/A</v>
      </c>
      <c r="M479" s="78">
        <f>IFERROR(__xludf.DUMMYFUNCTION("""COMPUTED_VALUE"""),45212.0)</f>
        <v>45212</v>
      </c>
      <c r="N479" s="74">
        <f>IFERROR(__xludf.DUMMYFUNCTION("""COMPUTED_VALUE"""),966.96)</f>
        <v>966.96</v>
      </c>
      <c r="O479" s="74" t="str">
        <f t="shared" si="18"/>
        <v>966,96</v>
      </c>
    </row>
    <row r="480">
      <c r="A480" s="86">
        <v>45450.0</v>
      </c>
      <c r="B480" s="20">
        <f t="shared" si="14"/>
        <v>1312.5</v>
      </c>
      <c r="C480" s="41">
        <f t="shared" si="15"/>
        <v>0.0116647619</v>
      </c>
      <c r="M480" s="78">
        <f>IFERROR(__xludf.DUMMYFUNCTION("""COMPUTED_VALUE"""),45211.0)</f>
        <v>45211</v>
      </c>
      <c r="N480" s="74">
        <f>IFERROR(__xludf.DUMMYFUNCTION("""COMPUTED_VALUE"""),966.77)</f>
        <v>966.77</v>
      </c>
      <c r="O480" s="74" t="str">
        <f t="shared" si="18"/>
        <v>966,77</v>
      </c>
    </row>
    <row r="481">
      <c r="A481" s="86">
        <v>45449.0</v>
      </c>
      <c r="B481" s="20">
        <f t="shared" si="14"/>
        <v>1297.19</v>
      </c>
      <c r="C481" s="41">
        <f t="shared" si="15"/>
        <v>-0.005689220546</v>
      </c>
      <c r="M481" s="78">
        <f>IFERROR(__xludf.DUMMYFUNCTION("""COMPUTED_VALUE"""),45210.0)</f>
        <v>45210</v>
      </c>
      <c r="N481" s="74">
        <f>IFERROR(__xludf.DUMMYFUNCTION("""COMPUTED_VALUE"""),944.76)</f>
        <v>944.76</v>
      </c>
      <c r="O481" s="74" t="str">
        <f t="shared" si="18"/>
        <v>944,76</v>
      </c>
    </row>
    <row r="482">
      <c r="A482" s="86">
        <v>45448.0</v>
      </c>
      <c r="B482" s="20">
        <f t="shared" si="14"/>
        <v>1304.57</v>
      </c>
      <c r="C482" s="41">
        <f t="shared" si="15"/>
        <v>-0.005151122592</v>
      </c>
      <c r="M482" s="78">
        <f>IFERROR(__xludf.DUMMYFUNCTION("""COMPUTED_VALUE"""),45209.0)</f>
        <v>45209</v>
      </c>
      <c r="N482" s="74">
        <f>IFERROR(__xludf.DUMMYFUNCTION("""COMPUTED_VALUE"""),953.56)</f>
        <v>953.56</v>
      </c>
      <c r="O482" s="74" t="str">
        <f t="shared" si="18"/>
        <v>953,56</v>
      </c>
    </row>
    <row r="483">
      <c r="A483" s="86">
        <v>45447.0</v>
      </c>
      <c r="B483" s="20">
        <f t="shared" si="14"/>
        <v>1311.29</v>
      </c>
      <c r="C483" s="41">
        <f t="shared" si="15"/>
        <v>0.01053923999</v>
      </c>
      <c r="M483" s="78">
        <f>IFERROR(__xludf.DUMMYFUNCTION("""COMPUTED_VALUE"""),45208.0)</f>
        <v>45208</v>
      </c>
      <c r="N483" s="74">
        <f>IFERROR(__xludf.DUMMYFUNCTION("""COMPUTED_VALUE"""),881.52)</f>
        <v>881.52</v>
      </c>
      <c r="O483" s="74" t="str">
        <f t="shared" si="18"/>
        <v>881,52</v>
      </c>
    </row>
    <row r="484">
      <c r="A484" s="86">
        <v>45446.0</v>
      </c>
      <c r="B484" s="20">
        <f t="shared" si="14"/>
        <v>1297.47</v>
      </c>
      <c r="C484" s="41" t="str">
        <f t="shared" si="15"/>
        <v>#N/A</v>
      </c>
      <c r="M484" s="78">
        <f>IFERROR(__xludf.DUMMYFUNCTION("""COMPUTED_VALUE"""),45205.0)</f>
        <v>45205</v>
      </c>
      <c r="N484" s="74">
        <f>IFERROR(__xludf.DUMMYFUNCTION("""COMPUTED_VALUE"""),891.96)</f>
        <v>891.96</v>
      </c>
      <c r="O484" s="74" t="str">
        <f t="shared" si="18"/>
        <v>891,96</v>
      </c>
    </row>
    <row r="485">
      <c r="A485" s="86">
        <v>45445.0</v>
      </c>
      <c r="B485" s="20" t="str">
        <f t="shared" si="14"/>
        <v>#N/A</v>
      </c>
      <c r="C485" s="41" t="str">
        <f t="shared" si="15"/>
        <v>#N/A</v>
      </c>
      <c r="M485" s="78">
        <f>IFERROR(__xludf.DUMMYFUNCTION("""COMPUTED_VALUE"""),45204.0)</f>
        <v>45204</v>
      </c>
      <c r="N485" s="74">
        <f>IFERROR(__xludf.DUMMYFUNCTION("""COMPUTED_VALUE"""),893.88)</f>
        <v>893.88</v>
      </c>
      <c r="O485" s="74" t="str">
        <f t="shared" si="18"/>
        <v>893,88</v>
      </c>
    </row>
    <row r="486">
      <c r="A486" s="86">
        <v>45444.0</v>
      </c>
      <c r="B486" s="20" t="str">
        <f t="shared" si="14"/>
        <v>#N/A</v>
      </c>
      <c r="C486" s="41" t="str">
        <f t="shared" si="15"/>
        <v>#N/A</v>
      </c>
      <c r="M486" s="78">
        <f>IFERROR(__xludf.DUMMYFUNCTION("""COMPUTED_VALUE"""),45203.0)</f>
        <v>45203</v>
      </c>
      <c r="N486" s="74">
        <f>IFERROR(__xludf.DUMMYFUNCTION("""COMPUTED_VALUE"""),904.99)</f>
        <v>904.99</v>
      </c>
      <c r="O486" s="74" t="str">
        <f t="shared" si="18"/>
        <v>904,99</v>
      </c>
    </row>
    <row r="487">
      <c r="A487" s="86">
        <v>45443.0</v>
      </c>
      <c r="B487" s="20">
        <f t="shared" si="14"/>
        <v>1246.82</v>
      </c>
      <c r="C487" s="41">
        <f t="shared" si="15"/>
        <v>0.02690043471</v>
      </c>
      <c r="M487" s="78">
        <f>IFERROR(__xludf.DUMMYFUNCTION("""COMPUTED_VALUE"""),45202.0)</f>
        <v>45202</v>
      </c>
      <c r="N487" s="74">
        <f>IFERROR(__xludf.DUMMYFUNCTION("""COMPUTED_VALUE"""),837.8)</f>
        <v>837.8</v>
      </c>
      <c r="O487" s="74" t="str">
        <f t="shared" si="18"/>
        <v>837,8</v>
      </c>
    </row>
    <row r="488">
      <c r="A488" s="86">
        <v>45442.0</v>
      </c>
      <c r="B488" s="20">
        <f t="shared" si="14"/>
        <v>1213.28</v>
      </c>
      <c r="C488" s="41">
        <f t="shared" si="15"/>
        <v>-0.001203349598</v>
      </c>
      <c r="M488" s="78">
        <f>IFERROR(__xludf.DUMMYFUNCTION("""COMPUTED_VALUE"""),45201.0)</f>
        <v>45201</v>
      </c>
      <c r="N488" s="74">
        <f>IFERROR(__xludf.DUMMYFUNCTION("""COMPUTED_VALUE"""),829.67)</f>
        <v>829.67</v>
      </c>
      <c r="O488" s="74" t="str">
        <f t="shared" si="18"/>
        <v>829,67</v>
      </c>
    </row>
    <row r="489">
      <c r="A489" s="86">
        <v>45441.0</v>
      </c>
      <c r="B489" s="20">
        <f t="shared" si="14"/>
        <v>1214.74</v>
      </c>
      <c r="C489" s="41">
        <f t="shared" si="15"/>
        <v>-0.01564943939</v>
      </c>
      <c r="M489" s="78">
        <f>IFERROR(__xludf.DUMMYFUNCTION("""COMPUTED_VALUE"""),45198.0)</f>
        <v>45198</v>
      </c>
      <c r="N489" s="74">
        <f>IFERROR(__xludf.DUMMYFUNCTION("""COMPUTED_VALUE"""),822.23)</f>
        <v>822.23</v>
      </c>
      <c r="O489" s="74" t="str">
        <f t="shared" si="18"/>
        <v>822,23</v>
      </c>
    </row>
    <row r="490">
      <c r="A490" s="86">
        <v>45440.0</v>
      </c>
      <c r="B490" s="20">
        <f t="shared" si="14"/>
        <v>1233.75</v>
      </c>
      <c r="C490" s="41">
        <f t="shared" si="15"/>
        <v>-0.008761904762</v>
      </c>
      <c r="M490" s="78">
        <f>IFERROR(__xludf.DUMMYFUNCTION("""COMPUTED_VALUE"""),45197.0)</f>
        <v>45197</v>
      </c>
      <c r="N490" s="74">
        <f>IFERROR(__xludf.DUMMYFUNCTION("""COMPUTED_VALUE"""),819.07)</f>
        <v>819.07</v>
      </c>
      <c r="O490" s="74" t="str">
        <f t="shared" si="18"/>
        <v>819,07</v>
      </c>
    </row>
    <row r="491">
      <c r="A491" s="86">
        <v>45439.0</v>
      </c>
      <c r="B491" s="20">
        <f t="shared" si="14"/>
        <v>1244.56</v>
      </c>
      <c r="C491" s="41" t="str">
        <f t="shared" si="15"/>
        <v>#N/A</v>
      </c>
      <c r="M491" s="78">
        <f>IFERROR(__xludf.DUMMYFUNCTION("""COMPUTED_VALUE"""),45196.0)</f>
        <v>45196</v>
      </c>
      <c r="N491" s="74">
        <f>IFERROR(__xludf.DUMMYFUNCTION("""COMPUTED_VALUE"""),789.68)</f>
        <v>789.68</v>
      </c>
      <c r="O491" s="74" t="str">
        <f t="shared" si="18"/>
        <v>789,68</v>
      </c>
    </row>
    <row r="492">
      <c r="A492" s="86">
        <v>45438.0</v>
      </c>
      <c r="B492" s="20" t="str">
        <f t="shared" si="14"/>
        <v>#N/A</v>
      </c>
      <c r="C492" s="41" t="str">
        <f t="shared" si="15"/>
        <v>#N/A</v>
      </c>
      <c r="M492" s="78">
        <f>IFERROR(__xludf.DUMMYFUNCTION("""COMPUTED_VALUE"""),45195.0)</f>
        <v>45195</v>
      </c>
      <c r="N492" s="74">
        <f>IFERROR(__xludf.DUMMYFUNCTION("""COMPUTED_VALUE"""),775.52)</f>
        <v>775.52</v>
      </c>
      <c r="O492" s="74" t="str">
        <f t="shared" si="18"/>
        <v>775,52</v>
      </c>
    </row>
    <row r="493">
      <c r="A493" s="86">
        <v>45437.0</v>
      </c>
      <c r="B493" s="20" t="str">
        <f t="shared" si="14"/>
        <v>#N/A</v>
      </c>
      <c r="C493" s="41" t="str">
        <f t="shared" si="15"/>
        <v>#N/A</v>
      </c>
      <c r="M493" s="78">
        <f>IFERROR(__xludf.DUMMYFUNCTION("""COMPUTED_VALUE"""),45194.0)</f>
        <v>45194</v>
      </c>
      <c r="N493" s="74">
        <f>IFERROR(__xludf.DUMMYFUNCTION("""COMPUTED_VALUE"""),761.71)</f>
        <v>761.71</v>
      </c>
      <c r="O493" s="74" t="str">
        <f t="shared" si="18"/>
        <v>761,71</v>
      </c>
    </row>
    <row r="494">
      <c r="A494" s="86">
        <v>45436.0</v>
      </c>
      <c r="B494" s="20">
        <f t="shared" si="14"/>
        <v>1234.96</v>
      </c>
      <c r="C494" s="41">
        <f t="shared" si="15"/>
        <v>-0.01706937877</v>
      </c>
      <c r="M494" s="78">
        <f>IFERROR(__xludf.DUMMYFUNCTION("""COMPUTED_VALUE"""),45191.0)</f>
        <v>45191</v>
      </c>
      <c r="N494" s="74">
        <f>IFERROR(__xludf.DUMMYFUNCTION("""COMPUTED_VALUE"""),753.08)</f>
        <v>753.08</v>
      </c>
      <c r="O494" s="74" t="str">
        <f t="shared" si="18"/>
        <v>753,08</v>
      </c>
    </row>
    <row r="495">
      <c r="A495" s="86">
        <v>45435.0</v>
      </c>
      <c r="B495" s="20">
        <f t="shared" si="14"/>
        <v>1256.04</v>
      </c>
      <c r="C495" s="41">
        <f t="shared" si="15"/>
        <v>-0.0002786535461</v>
      </c>
      <c r="M495" s="78">
        <f>IFERROR(__xludf.DUMMYFUNCTION("""COMPUTED_VALUE"""),45190.0)</f>
        <v>45190</v>
      </c>
      <c r="N495" s="74">
        <f>IFERROR(__xludf.DUMMYFUNCTION("""COMPUTED_VALUE"""),748.87)</f>
        <v>748.87</v>
      </c>
      <c r="O495" s="74" t="str">
        <f t="shared" si="18"/>
        <v>748,87</v>
      </c>
    </row>
    <row r="496">
      <c r="A496" s="86">
        <v>45434.0</v>
      </c>
      <c r="B496" s="20">
        <f t="shared" si="14"/>
        <v>1256.39</v>
      </c>
      <c r="C496" s="41">
        <f t="shared" si="15"/>
        <v>0.048496088</v>
      </c>
      <c r="M496" s="78">
        <f>IFERROR(__xludf.DUMMYFUNCTION("""COMPUTED_VALUE"""),45189.0)</f>
        <v>45189</v>
      </c>
      <c r="N496" s="74">
        <f>IFERROR(__xludf.DUMMYFUNCTION("""COMPUTED_VALUE"""),742.94)</f>
        <v>742.94</v>
      </c>
      <c r="O496" s="74" t="str">
        <f t="shared" si="18"/>
        <v>742,94</v>
      </c>
    </row>
    <row r="497">
      <c r="A497" s="86">
        <v>45433.0</v>
      </c>
      <c r="B497" s="20">
        <f t="shared" si="14"/>
        <v>1195.46</v>
      </c>
      <c r="C497" s="41">
        <f t="shared" si="15"/>
        <v>0.04426747863</v>
      </c>
      <c r="M497" s="78">
        <f>IFERROR(__xludf.DUMMYFUNCTION("""COMPUTED_VALUE"""),45188.0)</f>
        <v>45188</v>
      </c>
      <c r="N497" s="74">
        <f>IFERROR(__xludf.DUMMYFUNCTION("""COMPUTED_VALUE"""),737.71)</f>
        <v>737.71</v>
      </c>
      <c r="O497" s="74" t="str">
        <f t="shared" si="18"/>
        <v>737,71</v>
      </c>
    </row>
    <row r="498">
      <c r="A498" s="86">
        <v>45432.0</v>
      </c>
      <c r="B498" s="20">
        <f t="shared" si="14"/>
        <v>1142.54</v>
      </c>
      <c r="C498" s="41" t="str">
        <f t="shared" si="15"/>
        <v>#N/A</v>
      </c>
      <c r="M498" s="78">
        <f>IFERROR(__xludf.DUMMYFUNCTION("""COMPUTED_VALUE"""),45187.0)</f>
        <v>45187</v>
      </c>
      <c r="N498" s="74">
        <f>IFERROR(__xludf.DUMMYFUNCTION("""COMPUTED_VALUE"""),734.43)</f>
        <v>734.43</v>
      </c>
      <c r="O498" s="74" t="str">
        <f t="shared" si="18"/>
        <v>734,43</v>
      </c>
    </row>
    <row r="499">
      <c r="A499" s="86">
        <v>45431.0</v>
      </c>
      <c r="B499" s="20" t="str">
        <f t="shared" si="14"/>
        <v>#N/A</v>
      </c>
      <c r="C499" s="41" t="str">
        <f t="shared" si="15"/>
        <v>#N/A</v>
      </c>
      <c r="M499" s="78">
        <f>IFERROR(__xludf.DUMMYFUNCTION("""COMPUTED_VALUE"""),45184.0)</f>
        <v>45184</v>
      </c>
      <c r="N499" s="74">
        <f>IFERROR(__xludf.DUMMYFUNCTION("""COMPUTED_VALUE"""),740.08)</f>
        <v>740.08</v>
      </c>
      <c r="O499" s="74" t="str">
        <f t="shared" si="18"/>
        <v>740,08</v>
      </c>
    </row>
    <row r="500">
      <c r="A500" s="86">
        <v>45430.0</v>
      </c>
      <c r="B500" s="20" t="str">
        <f t="shared" si="14"/>
        <v>#N/A</v>
      </c>
      <c r="C500" s="41" t="str">
        <f t="shared" si="15"/>
        <v>#N/A</v>
      </c>
      <c r="M500" s="78">
        <f>IFERROR(__xludf.DUMMYFUNCTION("""COMPUTED_VALUE"""),45183.0)</f>
        <v>45183</v>
      </c>
      <c r="N500" s="74">
        <f>IFERROR(__xludf.DUMMYFUNCTION("""COMPUTED_VALUE"""),742.66)</f>
        <v>742.66</v>
      </c>
      <c r="O500" s="74" t="str">
        <f t="shared" si="18"/>
        <v>742,66</v>
      </c>
    </row>
    <row r="501">
      <c r="A501" s="86">
        <v>45429.0</v>
      </c>
      <c r="B501" s="20">
        <f t="shared" si="14"/>
        <v>1103.69</v>
      </c>
      <c r="C501" s="41">
        <f t="shared" si="15"/>
        <v>0.003977566164</v>
      </c>
      <c r="M501" s="78">
        <f>IFERROR(__xludf.DUMMYFUNCTION("""COMPUTED_VALUE"""),45182.0)</f>
        <v>45182</v>
      </c>
      <c r="N501" s="74">
        <f>IFERROR(__xludf.DUMMYFUNCTION("""COMPUTED_VALUE"""),741.06)</f>
        <v>741.06</v>
      </c>
      <c r="O501" s="74" t="str">
        <f t="shared" si="18"/>
        <v>741,06</v>
      </c>
    </row>
    <row r="502">
      <c r="A502" s="86">
        <v>45428.0</v>
      </c>
      <c r="B502" s="20">
        <f t="shared" si="14"/>
        <v>1099.3</v>
      </c>
      <c r="C502" s="41">
        <f t="shared" si="15"/>
        <v>0.006304011644</v>
      </c>
      <c r="M502" s="78">
        <f>IFERROR(__xludf.DUMMYFUNCTION("""COMPUTED_VALUE"""),45181.0)</f>
        <v>45181</v>
      </c>
      <c r="N502" s="74">
        <f>IFERROR(__xludf.DUMMYFUNCTION("""COMPUTED_VALUE"""),739.15)</f>
        <v>739.15</v>
      </c>
      <c r="O502" s="74" t="str">
        <f t="shared" si="18"/>
        <v>739,15</v>
      </c>
    </row>
    <row r="503">
      <c r="A503" s="86">
        <v>45427.0</v>
      </c>
      <c r="B503" s="20">
        <f t="shared" si="14"/>
        <v>1092.37</v>
      </c>
      <c r="C503" s="41">
        <f t="shared" si="15"/>
        <v>0.007039739282</v>
      </c>
      <c r="M503" s="78">
        <f>IFERROR(__xludf.DUMMYFUNCTION("""COMPUTED_VALUE"""),45180.0)</f>
        <v>45180</v>
      </c>
      <c r="N503" s="74">
        <f>IFERROR(__xludf.DUMMYFUNCTION("""COMPUTED_VALUE"""),736.03)</f>
        <v>736.03</v>
      </c>
      <c r="O503" s="74" t="str">
        <f t="shared" si="18"/>
        <v>736,03</v>
      </c>
    </row>
    <row r="504">
      <c r="A504" s="86">
        <v>45426.0</v>
      </c>
      <c r="B504" s="20">
        <f t="shared" si="14"/>
        <v>1084.68</v>
      </c>
      <c r="C504" s="41">
        <f t="shared" si="15"/>
        <v>0.008325035955</v>
      </c>
      <c r="M504" s="78">
        <f>IFERROR(__xludf.DUMMYFUNCTION("""COMPUTED_VALUE"""),45177.0)</f>
        <v>45177</v>
      </c>
      <c r="N504" s="74">
        <f>IFERROR(__xludf.DUMMYFUNCTION("""COMPUTED_VALUE"""),741.09)</f>
        <v>741.09</v>
      </c>
      <c r="O504" s="74" t="str">
        <f t="shared" si="18"/>
        <v>741,09</v>
      </c>
    </row>
    <row r="505">
      <c r="A505" s="86">
        <v>45425.0</v>
      </c>
      <c r="B505" s="20">
        <f t="shared" si="14"/>
        <v>1075.65</v>
      </c>
      <c r="C505" s="41" t="str">
        <f t="shared" si="15"/>
        <v>#N/A</v>
      </c>
      <c r="M505" s="78">
        <f>IFERROR(__xludf.DUMMYFUNCTION("""COMPUTED_VALUE"""),45176.0)</f>
        <v>45176</v>
      </c>
      <c r="N505" s="74">
        <f>IFERROR(__xludf.DUMMYFUNCTION("""COMPUTED_VALUE"""),738.69)</f>
        <v>738.69</v>
      </c>
      <c r="O505" s="74" t="str">
        <f t="shared" si="18"/>
        <v>738,69</v>
      </c>
    </row>
    <row r="506">
      <c r="A506" s="86">
        <v>45424.0</v>
      </c>
      <c r="B506" s="20" t="str">
        <f t="shared" si="14"/>
        <v>#N/A</v>
      </c>
      <c r="C506" s="41" t="str">
        <f t="shared" si="15"/>
        <v>#N/A</v>
      </c>
      <c r="M506" s="78">
        <f>IFERROR(__xludf.DUMMYFUNCTION("""COMPUTED_VALUE"""),45175.0)</f>
        <v>45175</v>
      </c>
      <c r="N506" s="74">
        <f>IFERROR(__xludf.DUMMYFUNCTION("""COMPUTED_VALUE"""),762.97)</f>
        <v>762.97</v>
      </c>
      <c r="O506" s="74" t="str">
        <f t="shared" si="18"/>
        <v>762,97</v>
      </c>
    </row>
    <row r="507">
      <c r="A507" s="86">
        <v>45423.0</v>
      </c>
      <c r="B507" s="20" t="str">
        <f t="shared" si="14"/>
        <v>#N/A</v>
      </c>
      <c r="C507" s="41" t="str">
        <f t="shared" si="15"/>
        <v>#N/A</v>
      </c>
      <c r="M507" s="78">
        <f>IFERROR(__xludf.DUMMYFUNCTION("""COMPUTED_VALUE"""),45174.0)</f>
        <v>45174</v>
      </c>
      <c r="N507" s="74">
        <f>IFERROR(__xludf.DUMMYFUNCTION("""COMPUTED_VALUE"""),761.48)</f>
        <v>761.48</v>
      </c>
      <c r="O507" s="74" t="str">
        <f t="shared" si="18"/>
        <v>761,48</v>
      </c>
    </row>
    <row r="508">
      <c r="A508" s="86">
        <v>45422.0</v>
      </c>
      <c r="B508" s="20">
        <f t="shared" si="14"/>
        <v>1078.58</v>
      </c>
      <c r="C508" s="41">
        <f t="shared" si="15"/>
        <v>-0.004570824603</v>
      </c>
      <c r="M508" s="78">
        <f>IFERROR(__xludf.DUMMYFUNCTION("""COMPUTED_VALUE"""),45173.0)</f>
        <v>45173</v>
      </c>
      <c r="N508" s="74">
        <f>IFERROR(__xludf.DUMMYFUNCTION("""COMPUTED_VALUE"""),769.98)</f>
        <v>769.98</v>
      </c>
      <c r="O508" s="74" t="str">
        <f t="shared" si="18"/>
        <v>769,98</v>
      </c>
    </row>
    <row r="509">
      <c r="A509" s="86">
        <v>45421.0</v>
      </c>
      <c r="B509" s="20">
        <f t="shared" si="14"/>
        <v>1083.51</v>
      </c>
      <c r="C509" s="41">
        <f t="shared" si="15"/>
        <v>0.006912718849</v>
      </c>
      <c r="M509" s="78">
        <f>IFERROR(__xludf.DUMMYFUNCTION("""COMPUTED_VALUE"""),45170.0)</f>
        <v>45170</v>
      </c>
      <c r="N509" s="74">
        <f>IFERROR(__xludf.DUMMYFUNCTION("""COMPUTED_VALUE"""),767.88)</f>
        <v>767.88</v>
      </c>
      <c r="O509" s="74" t="str">
        <f t="shared" si="18"/>
        <v>767,88</v>
      </c>
    </row>
    <row r="510">
      <c r="A510" s="86">
        <v>45420.0</v>
      </c>
      <c r="B510" s="20">
        <f t="shared" si="14"/>
        <v>1076.02</v>
      </c>
      <c r="C510" s="41">
        <f t="shared" si="15"/>
        <v>-0.01736027211</v>
      </c>
      <c r="M510" s="78">
        <f>IFERROR(__xludf.DUMMYFUNCTION("""COMPUTED_VALUE"""),45169.0)</f>
        <v>45169</v>
      </c>
      <c r="N510" s="74">
        <f>IFERROR(__xludf.DUMMYFUNCTION("""COMPUTED_VALUE"""),780.54)</f>
        <v>780.54</v>
      </c>
      <c r="O510" s="74" t="str">
        <f t="shared" si="18"/>
        <v>780,54</v>
      </c>
    </row>
    <row r="511">
      <c r="A511" s="86">
        <v>45419.0</v>
      </c>
      <c r="B511" s="20">
        <f t="shared" si="14"/>
        <v>1094.7</v>
      </c>
      <c r="C511" s="41">
        <f t="shared" si="15"/>
        <v>-0.01243262994</v>
      </c>
      <c r="M511" s="78">
        <f>IFERROR(__xludf.DUMMYFUNCTION("""COMPUTED_VALUE"""),45168.0)</f>
        <v>45168</v>
      </c>
      <c r="N511" s="74">
        <f>IFERROR(__xludf.DUMMYFUNCTION("""COMPUTED_VALUE"""),798.38)</f>
        <v>798.38</v>
      </c>
      <c r="O511" s="74" t="str">
        <f t="shared" si="18"/>
        <v>798,38</v>
      </c>
    </row>
    <row r="512">
      <c r="A512" s="86">
        <v>45418.0</v>
      </c>
      <c r="B512" s="20">
        <f t="shared" si="14"/>
        <v>1108.31</v>
      </c>
      <c r="C512" s="41" t="str">
        <f t="shared" si="15"/>
        <v>#N/A</v>
      </c>
      <c r="M512" s="78">
        <f>IFERROR(__xludf.DUMMYFUNCTION("""COMPUTED_VALUE"""),45167.0)</f>
        <v>45167</v>
      </c>
      <c r="N512" s="74">
        <f>IFERROR(__xludf.DUMMYFUNCTION("""COMPUTED_VALUE"""),802.35)</f>
        <v>802.35</v>
      </c>
      <c r="O512" s="74" t="str">
        <f t="shared" si="18"/>
        <v>802,35</v>
      </c>
    </row>
    <row r="513">
      <c r="A513" s="86">
        <v>45417.0</v>
      </c>
      <c r="B513" s="20" t="str">
        <f t="shared" si="14"/>
        <v>#N/A</v>
      </c>
      <c r="C513" s="41" t="str">
        <f t="shared" si="15"/>
        <v>#N/A</v>
      </c>
      <c r="M513" s="78">
        <f>IFERROR(__xludf.DUMMYFUNCTION("""COMPUTED_VALUE"""),45166.0)</f>
        <v>45166</v>
      </c>
      <c r="N513" s="74">
        <f>IFERROR(__xludf.DUMMYFUNCTION("""COMPUTED_VALUE"""),787.36)</f>
        <v>787.36</v>
      </c>
      <c r="O513" s="74" t="str">
        <f t="shared" si="18"/>
        <v>787,36</v>
      </c>
    </row>
    <row r="514">
      <c r="A514" s="86">
        <v>45416.0</v>
      </c>
      <c r="B514" s="20" t="str">
        <f t="shared" si="14"/>
        <v>#N/A</v>
      </c>
      <c r="C514" s="41" t="str">
        <f t="shared" si="15"/>
        <v>#N/A</v>
      </c>
      <c r="M514" s="78">
        <f>IFERROR(__xludf.DUMMYFUNCTION("""COMPUTED_VALUE"""),45163.0)</f>
        <v>45163</v>
      </c>
      <c r="N514" s="74">
        <f>IFERROR(__xludf.DUMMYFUNCTION("""COMPUTED_VALUE"""),770.12)</f>
        <v>770.12</v>
      </c>
      <c r="O514" s="74" t="str">
        <f t="shared" si="18"/>
        <v>770,12</v>
      </c>
    </row>
    <row r="515">
      <c r="A515" s="86">
        <v>45415.0</v>
      </c>
      <c r="B515" s="20">
        <f t="shared" si="14"/>
        <v>1121.12</v>
      </c>
      <c r="C515" s="41">
        <f t="shared" si="15"/>
        <v>0.0007403310975</v>
      </c>
      <c r="M515" s="78">
        <f>IFERROR(__xludf.DUMMYFUNCTION("""COMPUTED_VALUE"""),45162.0)</f>
        <v>45162</v>
      </c>
      <c r="N515" s="74">
        <f>IFERROR(__xludf.DUMMYFUNCTION("""COMPUTED_VALUE"""),761.61)</f>
        <v>761.61</v>
      </c>
      <c r="O515" s="74" t="str">
        <f t="shared" si="18"/>
        <v>761,61</v>
      </c>
    </row>
    <row r="516">
      <c r="A516" s="86">
        <v>45414.0</v>
      </c>
      <c r="B516" s="20">
        <f t="shared" si="14"/>
        <v>1120.29</v>
      </c>
      <c r="C516" s="41">
        <f t="shared" si="15"/>
        <v>0.02529702131</v>
      </c>
      <c r="M516" s="78">
        <f>IFERROR(__xludf.DUMMYFUNCTION("""COMPUTED_VALUE"""),45161.0)</f>
        <v>45161</v>
      </c>
      <c r="N516" s="74">
        <f>IFERROR(__xludf.DUMMYFUNCTION("""COMPUTED_VALUE"""),746.6)</f>
        <v>746.6</v>
      </c>
      <c r="O516" s="74" t="str">
        <f t="shared" si="18"/>
        <v>746,6</v>
      </c>
    </row>
    <row r="517">
      <c r="A517" s="86">
        <v>45413.0</v>
      </c>
      <c r="B517" s="20">
        <f t="shared" si="14"/>
        <v>1091.95</v>
      </c>
      <c r="C517" s="41">
        <f t="shared" si="15"/>
        <v>-0.0001648427126</v>
      </c>
      <c r="M517" s="78">
        <f>IFERROR(__xludf.DUMMYFUNCTION("""COMPUTED_VALUE"""),45160.0)</f>
        <v>45160</v>
      </c>
      <c r="N517" s="74">
        <f>IFERROR(__xludf.DUMMYFUNCTION("""COMPUTED_VALUE"""),745.51)</f>
        <v>745.51</v>
      </c>
      <c r="O517" s="74" t="str">
        <f t="shared" si="18"/>
        <v>745,51</v>
      </c>
    </row>
    <row r="518">
      <c r="A518" s="86">
        <v>45412.0</v>
      </c>
      <c r="B518" s="20">
        <f t="shared" si="14"/>
        <v>1092.13</v>
      </c>
      <c r="C518" s="41">
        <f t="shared" si="15"/>
        <v>0.001355150028</v>
      </c>
      <c r="M518" s="78">
        <f>IFERROR(__xludf.DUMMYFUNCTION("""COMPUTED_VALUE"""),45159.0)</f>
        <v>45159</v>
      </c>
      <c r="N518" s="74">
        <f>IFERROR(__xludf.DUMMYFUNCTION("""COMPUTED_VALUE"""),746.14)</f>
        <v>746.14</v>
      </c>
      <c r="O518" s="74" t="str">
        <f t="shared" si="18"/>
        <v>746,14</v>
      </c>
    </row>
    <row r="519">
      <c r="A519" s="86">
        <v>45411.0</v>
      </c>
      <c r="B519" s="20">
        <f t="shared" si="14"/>
        <v>1090.65</v>
      </c>
      <c r="C519" s="41" t="str">
        <f t="shared" si="15"/>
        <v>#N/A</v>
      </c>
      <c r="M519" s="78">
        <f>IFERROR(__xludf.DUMMYFUNCTION("""COMPUTED_VALUE"""),45156.0)</f>
        <v>45156</v>
      </c>
      <c r="N519" s="74">
        <f>IFERROR(__xludf.DUMMYFUNCTION("""COMPUTED_VALUE"""),745.78)</f>
        <v>745.78</v>
      </c>
      <c r="O519" s="74" t="str">
        <f t="shared" si="18"/>
        <v>745,78</v>
      </c>
    </row>
    <row r="520">
      <c r="A520" s="86">
        <v>45410.0</v>
      </c>
      <c r="B520" s="20" t="str">
        <f t="shared" si="14"/>
        <v>#N/A</v>
      </c>
      <c r="C520" s="41" t="str">
        <f t="shared" si="15"/>
        <v>#N/A</v>
      </c>
      <c r="M520" s="78">
        <f>IFERROR(__xludf.DUMMYFUNCTION("""COMPUTED_VALUE"""),45155.0)</f>
        <v>45155</v>
      </c>
      <c r="N520" s="74">
        <f>IFERROR(__xludf.DUMMYFUNCTION("""COMPUTED_VALUE"""),743.44)</f>
        <v>743.44</v>
      </c>
      <c r="O520" s="74" t="str">
        <f t="shared" si="18"/>
        <v>743,44</v>
      </c>
    </row>
    <row r="521">
      <c r="A521" s="86">
        <v>45409.0</v>
      </c>
      <c r="B521" s="20" t="str">
        <f t="shared" si="14"/>
        <v>#N/A</v>
      </c>
      <c r="C521" s="41" t="str">
        <f t="shared" si="15"/>
        <v>#N/A</v>
      </c>
      <c r="M521" s="78">
        <f>IFERROR(__xludf.DUMMYFUNCTION("""COMPUTED_VALUE"""),45154.0)</f>
        <v>45154</v>
      </c>
      <c r="N521" s="74">
        <f>IFERROR(__xludf.DUMMYFUNCTION("""COMPUTED_VALUE"""),722.98)</f>
        <v>722.98</v>
      </c>
      <c r="O521" s="74" t="str">
        <f t="shared" si="18"/>
        <v>722,98</v>
      </c>
    </row>
    <row r="522">
      <c r="A522" s="86">
        <v>45408.0</v>
      </c>
      <c r="B522" s="20">
        <f t="shared" si="14"/>
        <v>1085.25</v>
      </c>
      <c r="C522" s="41">
        <f t="shared" si="15"/>
        <v>0.004026721953</v>
      </c>
      <c r="M522" s="78">
        <f>IFERROR(__xludf.DUMMYFUNCTION("""COMPUTED_VALUE"""),45153.0)</f>
        <v>45153</v>
      </c>
      <c r="N522" s="74">
        <f>IFERROR(__xludf.DUMMYFUNCTION("""COMPUTED_VALUE"""),702.22)</f>
        <v>702.22</v>
      </c>
      <c r="O522" s="74" t="str">
        <f t="shared" si="18"/>
        <v>702,22</v>
      </c>
    </row>
    <row r="523">
      <c r="A523" s="86">
        <v>45407.0</v>
      </c>
      <c r="B523" s="20">
        <f t="shared" si="14"/>
        <v>1080.88</v>
      </c>
      <c r="C523" s="41">
        <f t="shared" si="15"/>
        <v>0.02480386352</v>
      </c>
      <c r="M523" s="78">
        <f>IFERROR(__xludf.DUMMYFUNCTION("""COMPUTED_VALUE"""),45152.0)</f>
        <v>45152</v>
      </c>
      <c r="N523" s="74">
        <f>IFERROR(__xludf.DUMMYFUNCTION("""COMPUTED_VALUE"""),654.95)</f>
        <v>654.95</v>
      </c>
      <c r="O523" s="74" t="str">
        <f t="shared" si="18"/>
        <v>654,95</v>
      </c>
    </row>
    <row r="524">
      <c r="A524" s="86">
        <v>45406.0</v>
      </c>
      <c r="B524" s="20">
        <f t="shared" si="14"/>
        <v>1054.07</v>
      </c>
      <c r="C524" s="41">
        <f t="shared" si="15"/>
        <v>0.002011251625</v>
      </c>
      <c r="M524" s="78">
        <f>IFERROR(__xludf.DUMMYFUNCTION("""COMPUTED_VALUE"""),45149.0)</f>
        <v>45149</v>
      </c>
      <c r="N524" s="74">
        <f>IFERROR(__xludf.DUMMYFUNCTION("""COMPUTED_VALUE"""),601.24)</f>
        <v>601.24</v>
      </c>
      <c r="O524" s="74" t="str">
        <f t="shared" si="18"/>
        <v>601,24</v>
      </c>
    </row>
    <row r="525">
      <c r="A525" s="86">
        <v>45405.0</v>
      </c>
      <c r="B525" s="20">
        <f t="shared" si="14"/>
        <v>1051.95</v>
      </c>
      <c r="C525" s="41">
        <f t="shared" si="15"/>
        <v>-0.006026902419</v>
      </c>
      <c r="M525" s="78">
        <f>IFERROR(__xludf.DUMMYFUNCTION("""COMPUTED_VALUE"""),45148.0)</f>
        <v>45148</v>
      </c>
      <c r="N525" s="74">
        <f>IFERROR(__xludf.DUMMYFUNCTION("""COMPUTED_VALUE"""),598.83)</f>
        <v>598.83</v>
      </c>
      <c r="O525" s="74" t="str">
        <f t="shared" si="18"/>
        <v>598,83</v>
      </c>
    </row>
    <row r="526">
      <c r="A526" s="86">
        <v>45404.0</v>
      </c>
      <c r="B526" s="20">
        <f t="shared" si="14"/>
        <v>1058.29</v>
      </c>
      <c r="C526" s="41" t="str">
        <f t="shared" si="15"/>
        <v>#N/A</v>
      </c>
      <c r="M526" s="78">
        <f>IFERROR(__xludf.DUMMYFUNCTION("""COMPUTED_VALUE"""),45147.0)</f>
        <v>45147</v>
      </c>
      <c r="N526" s="74">
        <f>IFERROR(__xludf.DUMMYFUNCTION("""COMPUTED_VALUE"""),591.7)</f>
        <v>591.7</v>
      </c>
      <c r="O526" s="74" t="str">
        <f t="shared" si="18"/>
        <v>591,7</v>
      </c>
    </row>
    <row r="527">
      <c r="A527" s="86">
        <v>45403.0</v>
      </c>
      <c r="B527" s="20" t="str">
        <f t="shared" si="14"/>
        <v>#N/A</v>
      </c>
      <c r="C527" s="41" t="str">
        <f t="shared" si="15"/>
        <v>#N/A</v>
      </c>
      <c r="M527" s="78">
        <f>IFERROR(__xludf.DUMMYFUNCTION("""COMPUTED_VALUE"""),45146.0)</f>
        <v>45146</v>
      </c>
      <c r="N527" s="74">
        <f>IFERROR(__xludf.DUMMYFUNCTION("""COMPUTED_VALUE"""),597.4)</f>
        <v>597.4</v>
      </c>
      <c r="O527" s="74" t="str">
        <f t="shared" si="18"/>
        <v>597,4</v>
      </c>
    </row>
    <row r="528">
      <c r="A528" s="86">
        <v>45402.0</v>
      </c>
      <c r="B528" s="20" t="str">
        <f t="shared" si="14"/>
        <v>#N/A</v>
      </c>
      <c r="C528" s="41" t="str">
        <f t="shared" si="15"/>
        <v>#N/A</v>
      </c>
      <c r="M528" s="78">
        <f>IFERROR(__xludf.DUMMYFUNCTION("""COMPUTED_VALUE"""),45145.0)</f>
        <v>45145</v>
      </c>
      <c r="N528" s="74">
        <f>IFERROR(__xludf.DUMMYFUNCTION("""COMPUTED_VALUE"""),597.63)</f>
        <v>597.63</v>
      </c>
      <c r="O528" s="74" t="str">
        <f t="shared" si="18"/>
        <v>597,63</v>
      </c>
    </row>
    <row r="529">
      <c r="A529" s="86">
        <v>45401.0</v>
      </c>
      <c r="B529" s="20">
        <f t="shared" si="14"/>
        <v>1068.98</v>
      </c>
      <c r="C529" s="41">
        <f t="shared" si="15"/>
        <v>0.002694157047</v>
      </c>
      <c r="M529" s="78">
        <f>IFERROR(__xludf.DUMMYFUNCTION("""COMPUTED_VALUE"""),45142.0)</f>
        <v>45142</v>
      </c>
      <c r="N529" s="74">
        <f>IFERROR(__xludf.DUMMYFUNCTION("""COMPUTED_VALUE"""),585.31)</f>
        <v>585.31</v>
      </c>
      <c r="O529" s="74" t="str">
        <f t="shared" si="18"/>
        <v>585,31</v>
      </c>
    </row>
    <row r="530">
      <c r="A530" s="86">
        <v>45400.0</v>
      </c>
      <c r="B530" s="20">
        <f t="shared" si="14"/>
        <v>1066.1</v>
      </c>
      <c r="C530" s="41">
        <f t="shared" si="15"/>
        <v>0.003273614107</v>
      </c>
      <c r="M530" s="78">
        <f>IFERROR(__xludf.DUMMYFUNCTION("""COMPUTED_VALUE"""),45141.0)</f>
        <v>45141</v>
      </c>
      <c r="N530" s="74">
        <f>IFERROR(__xludf.DUMMYFUNCTION("""COMPUTED_VALUE"""),576.7)</f>
        <v>576.7</v>
      </c>
      <c r="O530" s="74" t="str">
        <f t="shared" si="18"/>
        <v>576,7</v>
      </c>
    </row>
    <row r="531">
      <c r="A531" s="86">
        <v>45399.0</v>
      </c>
      <c r="B531" s="20">
        <f t="shared" si="14"/>
        <v>1062.61</v>
      </c>
      <c r="C531" s="41">
        <f t="shared" si="15"/>
        <v>-0.01242224334</v>
      </c>
      <c r="M531" s="78">
        <f>IFERROR(__xludf.DUMMYFUNCTION("""COMPUTED_VALUE"""),45140.0)</f>
        <v>45140</v>
      </c>
      <c r="N531" s="74">
        <f>IFERROR(__xludf.DUMMYFUNCTION("""COMPUTED_VALUE"""),568.59)</f>
        <v>568.59</v>
      </c>
      <c r="O531" s="74" t="str">
        <f t="shared" si="18"/>
        <v>568,59</v>
      </c>
    </row>
    <row r="532">
      <c r="A532" s="86">
        <v>45398.0</v>
      </c>
      <c r="B532" s="20">
        <f t="shared" si="14"/>
        <v>1075.81</v>
      </c>
      <c r="C532" s="41">
        <f t="shared" si="15"/>
        <v>0.00156161404</v>
      </c>
      <c r="M532" s="78">
        <f>IFERROR(__xludf.DUMMYFUNCTION("""COMPUTED_VALUE"""),45139.0)</f>
        <v>45139</v>
      </c>
      <c r="N532" s="74">
        <f>IFERROR(__xludf.DUMMYFUNCTION("""COMPUTED_VALUE"""),560.13)</f>
        <v>560.13</v>
      </c>
      <c r="O532" s="74" t="str">
        <f t="shared" si="18"/>
        <v>560,13</v>
      </c>
    </row>
    <row r="533">
      <c r="A533" s="86">
        <v>45397.0</v>
      </c>
      <c r="B533" s="20">
        <f t="shared" si="14"/>
        <v>1074.13</v>
      </c>
      <c r="C533" s="41" t="str">
        <f t="shared" si="15"/>
        <v>#N/A</v>
      </c>
      <c r="M533" s="78">
        <f>IFERROR(__xludf.DUMMYFUNCTION("""COMPUTED_VALUE"""),45138.0)</f>
        <v>45138</v>
      </c>
      <c r="N533" s="74">
        <f>IFERROR(__xludf.DUMMYFUNCTION("""COMPUTED_VALUE"""),555.1)</f>
        <v>555.1</v>
      </c>
      <c r="O533" s="74" t="str">
        <f t="shared" si="18"/>
        <v>555,1</v>
      </c>
    </row>
    <row r="534">
      <c r="A534" s="86">
        <v>45396.0</v>
      </c>
      <c r="B534" s="20" t="str">
        <f t="shared" si="14"/>
        <v>#N/A</v>
      </c>
      <c r="C534" s="41" t="str">
        <f t="shared" si="15"/>
        <v>#N/A</v>
      </c>
      <c r="M534" s="78">
        <f>IFERROR(__xludf.DUMMYFUNCTION("""COMPUTED_VALUE"""),45135.0)</f>
        <v>45135</v>
      </c>
      <c r="N534" s="74">
        <f>IFERROR(__xludf.DUMMYFUNCTION("""COMPUTED_VALUE"""),536.07)</f>
        <v>536.07</v>
      </c>
      <c r="O534" s="74" t="str">
        <f t="shared" si="18"/>
        <v>536,07</v>
      </c>
    </row>
    <row r="535">
      <c r="A535" s="86">
        <v>45395.0</v>
      </c>
      <c r="B535" s="20" t="str">
        <f t="shared" si="14"/>
        <v>#N/A</v>
      </c>
      <c r="C535" s="41" t="str">
        <f t="shared" si="15"/>
        <v>#N/A</v>
      </c>
      <c r="M535" s="78">
        <f>IFERROR(__xludf.DUMMYFUNCTION("""COMPUTED_VALUE"""),45134.0)</f>
        <v>45134</v>
      </c>
      <c r="N535" s="74">
        <f>IFERROR(__xludf.DUMMYFUNCTION("""COMPUTED_VALUE"""),531.34)</f>
        <v>531.34</v>
      </c>
      <c r="O535" s="74" t="str">
        <f t="shared" si="18"/>
        <v>531,34</v>
      </c>
    </row>
    <row r="536">
      <c r="A536" s="86">
        <v>45394.0</v>
      </c>
      <c r="B536" s="20">
        <f t="shared" si="14"/>
        <v>1047.54</v>
      </c>
      <c r="C536" s="41">
        <f t="shared" si="15"/>
        <v>-0.001470110927</v>
      </c>
      <c r="M536" s="78">
        <f>IFERROR(__xludf.DUMMYFUNCTION("""COMPUTED_VALUE"""),45133.0)</f>
        <v>45133</v>
      </c>
      <c r="N536" s="74">
        <f>IFERROR(__xludf.DUMMYFUNCTION("""COMPUTED_VALUE"""),527.72)</f>
        <v>527.72</v>
      </c>
      <c r="O536" s="74" t="str">
        <f t="shared" si="18"/>
        <v>527,72</v>
      </c>
    </row>
    <row r="537">
      <c r="A537" s="86">
        <v>45393.0</v>
      </c>
      <c r="B537" s="20">
        <f t="shared" si="14"/>
        <v>1049.08</v>
      </c>
      <c r="C537" s="41">
        <f t="shared" si="15"/>
        <v>0.003259999237</v>
      </c>
      <c r="M537" s="78">
        <f>IFERROR(__xludf.DUMMYFUNCTION("""COMPUTED_VALUE"""),45132.0)</f>
        <v>45132</v>
      </c>
      <c r="N537" s="74">
        <f>IFERROR(__xludf.DUMMYFUNCTION("""COMPUTED_VALUE"""),530.1)</f>
        <v>530.1</v>
      </c>
      <c r="O537" s="74" t="str">
        <f t="shared" si="18"/>
        <v>530,1</v>
      </c>
    </row>
    <row r="538">
      <c r="A538" s="86">
        <v>45392.0</v>
      </c>
      <c r="B538" s="20">
        <f t="shared" si="14"/>
        <v>1045.66</v>
      </c>
      <c r="C538" s="41">
        <f t="shared" si="15"/>
        <v>-0.000765067039</v>
      </c>
      <c r="M538" s="78">
        <f>IFERROR(__xludf.DUMMYFUNCTION("""COMPUTED_VALUE"""),45131.0)</f>
        <v>45131</v>
      </c>
      <c r="N538" s="74">
        <f>IFERROR(__xludf.DUMMYFUNCTION("""COMPUTED_VALUE"""),531.88)</f>
        <v>531.88</v>
      </c>
      <c r="O538" s="74" t="str">
        <f t="shared" si="18"/>
        <v>531,88</v>
      </c>
    </row>
    <row r="539">
      <c r="A539" s="86">
        <v>45391.0</v>
      </c>
      <c r="B539" s="20">
        <f t="shared" si="14"/>
        <v>1046.46</v>
      </c>
      <c r="C539" s="41">
        <f t="shared" si="15"/>
        <v>0.01176346922</v>
      </c>
      <c r="M539" s="78">
        <f>IFERROR(__xludf.DUMMYFUNCTION("""COMPUTED_VALUE"""),45128.0)</f>
        <v>45128</v>
      </c>
      <c r="N539" s="74">
        <f>IFERROR(__xludf.DUMMYFUNCTION("""COMPUTED_VALUE"""),533.27)</f>
        <v>533.27</v>
      </c>
      <c r="O539" s="74" t="str">
        <f t="shared" si="18"/>
        <v>533,27</v>
      </c>
    </row>
    <row r="540">
      <c r="A540" s="86">
        <v>45390.0</v>
      </c>
      <c r="B540" s="20">
        <f t="shared" si="14"/>
        <v>1034.15</v>
      </c>
      <c r="C540" s="41" t="str">
        <f t="shared" si="15"/>
        <v>#N/A</v>
      </c>
      <c r="M540" s="78">
        <f>IFERROR(__xludf.DUMMYFUNCTION("""COMPUTED_VALUE"""),45127.0)</f>
        <v>45127</v>
      </c>
      <c r="N540" s="74">
        <f>IFERROR(__xludf.DUMMYFUNCTION("""COMPUTED_VALUE"""),532.51)</f>
        <v>532.51</v>
      </c>
      <c r="O540" s="74" t="str">
        <f t="shared" si="18"/>
        <v>532,51</v>
      </c>
    </row>
    <row r="541">
      <c r="A541" s="86">
        <v>45389.0</v>
      </c>
      <c r="B541" s="20" t="str">
        <f t="shared" si="14"/>
        <v>#N/A</v>
      </c>
      <c r="C541" s="41" t="str">
        <f t="shared" si="15"/>
        <v>#N/A</v>
      </c>
      <c r="M541" s="78">
        <f>IFERROR(__xludf.DUMMYFUNCTION("""COMPUTED_VALUE"""),45126.0)</f>
        <v>45126</v>
      </c>
      <c r="N541" s="74">
        <f>IFERROR(__xludf.DUMMYFUNCTION("""COMPUTED_VALUE"""),526.26)</f>
        <v>526.26</v>
      </c>
      <c r="O541" s="74" t="str">
        <f t="shared" si="18"/>
        <v>526,26</v>
      </c>
    </row>
    <row r="542">
      <c r="A542" s="86">
        <v>45388.0</v>
      </c>
      <c r="B542" s="20" t="str">
        <f t="shared" si="14"/>
        <v>#N/A</v>
      </c>
      <c r="C542" s="41" t="str">
        <f t="shared" si="15"/>
        <v>#N/A</v>
      </c>
      <c r="M542" s="78">
        <f>IFERROR(__xludf.DUMMYFUNCTION("""COMPUTED_VALUE"""),45125.0)</f>
        <v>45125</v>
      </c>
      <c r="N542" s="74">
        <f>IFERROR(__xludf.DUMMYFUNCTION("""COMPUTED_VALUE"""),520.74)</f>
        <v>520.74</v>
      </c>
      <c r="O542" s="74" t="str">
        <f t="shared" si="18"/>
        <v>520,74</v>
      </c>
    </row>
    <row r="543">
      <c r="A543" s="86">
        <v>45387.0</v>
      </c>
      <c r="B543" s="20">
        <f t="shared" si="14"/>
        <v>1048.61</v>
      </c>
      <c r="C543" s="41">
        <f t="shared" si="15"/>
        <v>-0.008210869627</v>
      </c>
      <c r="M543" s="78">
        <f>IFERROR(__xludf.DUMMYFUNCTION("""COMPUTED_VALUE"""),45124.0)</f>
        <v>45124</v>
      </c>
      <c r="N543" s="74">
        <f>IFERROR(__xludf.DUMMYFUNCTION("""COMPUTED_VALUE"""),507.53)</f>
        <v>507.53</v>
      </c>
      <c r="O543" s="74" t="str">
        <f t="shared" si="18"/>
        <v>507,53</v>
      </c>
    </row>
    <row r="544">
      <c r="A544" s="86">
        <v>45386.0</v>
      </c>
      <c r="B544" s="20">
        <f t="shared" si="14"/>
        <v>1057.22</v>
      </c>
      <c r="C544" s="41">
        <f t="shared" si="15"/>
        <v>-0.01155861599</v>
      </c>
      <c r="M544" s="78">
        <f>IFERROR(__xludf.DUMMYFUNCTION("""COMPUTED_VALUE"""),45121.0)</f>
        <v>45121</v>
      </c>
      <c r="N544" s="74">
        <f>IFERROR(__xludf.DUMMYFUNCTION("""COMPUTED_VALUE"""),504.49)</f>
        <v>504.49</v>
      </c>
      <c r="O544" s="74" t="str">
        <f t="shared" si="18"/>
        <v>504,49</v>
      </c>
    </row>
    <row r="545">
      <c r="A545" s="86">
        <v>45385.0</v>
      </c>
      <c r="B545" s="20">
        <f t="shared" si="14"/>
        <v>1069.44</v>
      </c>
      <c r="C545" s="41">
        <f t="shared" si="15"/>
        <v>-0.01520421903</v>
      </c>
      <c r="M545" s="78">
        <f>IFERROR(__xludf.DUMMYFUNCTION("""COMPUTED_VALUE"""),45120.0)</f>
        <v>45120</v>
      </c>
      <c r="N545" s="74">
        <f>IFERROR(__xludf.DUMMYFUNCTION("""COMPUTED_VALUE"""),502.46)</f>
        <v>502.46</v>
      </c>
      <c r="O545" s="74" t="str">
        <f t="shared" si="18"/>
        <v>502,46</v>
      </c>
    </row>
    <row r="546">
      <c r="A546" s="86">
        <v>45384.0</v>
      </c>
      <c r="B546" s="20">
        <f t="shared" si="14"/>
        <v>1085.7</v>
      </c>
      <c r="C546" s="41">
        <f t="shared" si="15"/>
        <v>0</v>
      </c>
      <c r="M546" s="78">
        <f>IFERROR(__xludf.DUMMYFUNCTION("""COMPUTED_VALUE"""),45119.0)</f>
        <v>45119</v>
      </c>
      <c r="N546" s="74">
        <f>IFERROR(__xludf.DUMMYFUNCTION("""COMPUTED_VALUE"""),501.46)</f>
        <v>501.46</v>
      </c>
      <c r="O546" s="74" t="str">
        <f t="shared" si="18"/>
        <v>501,46</v>
      </c>
    </row>
    <row r="547">
      <c r="A547" s="86">
        <v>45383.0</v>
      </c>
      <c r="B547" s="20">
        <f t="shared" si="14"/>
        <v>1085.7</v>
      </c>
      <c r="C547" s="41" t="str">
        <f t="shared" si="15"/>
        <v>#N/A</v>
      </c>
      <c r="M547" s="78">
        <f>IFERROR(__xludf.DUMMYFUNCTION("""COMPUTED_VALUE"""),45118.0)</f>
        <v>45118</v>
      </c>
      <c r="N547" s="74">
        <f>IFERROR(__xludf.DUMMYFUNCTION("""COMPUTED_VALUE"""),500.41)</f>
        <v>500.41</v>
      </c>
      <c r="O547" s="74" t="str">
        <f t="shared" si="18"/>
        <v>500,41</v>
      </c>
    </row>
    <row r="548">
      <c r="A548" s="86">
        <v>45382.0</v>
      </c>
      <c r="B548" s="20" t="str">
        <f t="shared" si="14"/>
        <v>#N/A</v>
      </c>
      <c r="C548" s="41" t="str">
        <f t="shared" si="15"/>
        <v>#N/A</v>
      </c>
      <c r="M548" s="78">
        <f>IFERROR(__xludf.DUMMYFUNCTION("""COMPUTED_VALUE"""),45117.0)</f>
        <v>45117</v>
      </c>
      <c r="N548" s="74">
        <f>IFERROR(__xludf.DUMMYFUNCTION("""COMPUTED_VALUE"""),500.53)</f>
        <v>500.53</v>
      </c>
      <c r="O548" s="74" t="str">
        <f t="shared" si="18"/>
        <v>500,53</v>
      </c>
    </row>
    <row r="549">
      <c r="A549" s="86">
        <v>45381.0</v>
      </c>
      <c r="B549" s="20" t="str">
        <f t="shared" si="14"/>
        <v>#N/A</v>
      </c>
      <c r="C549" s="41" t="str">
        <f t="shared" si="15"/>
        <v>#N/A</v>
      </c>
      <c r="M549" s="78">
        <f>IFERROR(__xludf.DUMMYFUNCTION("""COMPUTED_VALUE"""),45114.0)</f>
        <v>45114</v>
      </c>
      <c r="N549" s="74">
        <f>IFERROR(__xludf.DUMMYFUNCTION("""COMPUTED_VALUE"""),499.56)</f>
        <v>499.56</v>
      </c>
      <c r="O549" s="74" t="str">
        <f t="shared" si="18"/>
        <v>499,56</v>
      </c>
    </row>
    <row r="550">
      <c r="A550" s="86">
        <v>45380.0</v>
      </c>
      <c r="B550" s="20">
        <f t="shared" si="14"/>
        <v>1085.7</v>
      </c>
      <c r="C550" s="41">
        <f t="shared" si="15"/>
        <v>0</v>
      </c>
      <c r="M550" s="78">
        <f>IFERROR(__xludf.DUMMYFUNCTION("""COMPUTED_VALUE"""),45113.0)</f>
        <v>45113</v>
      </c>
      <c r="N550" s="74">
        <f>IFERROR(__xludf.DUMMYFUNCTION("""COMPUTED_VALUE"""),498.87)</f>
        <v>498.87</v>
      </c>
      <c r="O550" s="74" t="str">
        <f t="shared" si="18"/>
        <v>498,87</v>
      </c>
    </row>
    <row r="551">
      <c r="A551" s="86">
        <v>45379.0</v>
      </c>
      <c r="B551" s="20">
        <f t="shared" si="14"/>
        <v>1085.7</v>
      </c>
      <c r="C551" s="41">
        <f t="shared" si="15"/>
        <v>0.0004144791379</v>
      </c>
      <c r="M551" s="78">
        <f>IFERROR(__xludf.DUMMYFUNCTION("""COMPUTED_VALUE"""),45112.0)</f>
        <v>45112</v>
      </c>
      <c r="N551" s="74">
        <f>IFERROR(__xludf.DUMMYFUNCTION("""COMPUTED_VALUE"""),492.9)</f>
        <v>492.9</v>
      </c>
      <c r="O551" s="74" t="str">
        <f t="shared" si="18"/>
        <v>492,9</v>
      </c>
    </row>
    <row r="552">
      <c r="A552" s="86">
        <v>45378.0</v>
      </c>
      <c r="B552" s="20">
        <f t="shared" si="14"/>
        <v>1085.25</v>
      </c>
      <c r="C552" s="41">
        <f t="shared" si="15"/>
        <v>-0.01491822161</v>
      </c>
      <c r="M552" s="78">
        <f>IFERROR(__xludf.DUMMYFUNCTION("""COMPUTED_VALUE"""),45111.0)</f>
        <v>45111</v>
      </c>
      <c r="N552" s="74">
        <f>IFERROR(__xludf.DUMMYFUNCTION("""COMPUTED_VALUE"""),495.0)</f>
        <v>495</v>
      </c>
      <c r="O552" s="74" t="str">
        <f t="shared" si="18"/>
        <v>495</v>
      </c>
    </row>
    <row r="553">
      <c r="A553" s="86">
        <v>45377.0</v>
      </c>
      <c r="B553" s="20">
        <f t="shared" si="14"/>
        <v>1101.44</v>
      </c>
      <c r="C553" s="41">
        <f t="shared" si="15"/>
        <v>0.02011911679</v>
      </c>
      <c r="M553" s="78">
        <f>IFERROR(__xludf.DUMMYFUNCTION("""COMPUTED_VALUE"""),45110.0)</f>
        <v>45110</v>
      </c>
      <c r="N553" s="74">
        <f>IFERROR(__xludf.DUMMYFUNCTION("""COMPUTED_VALUE"""),485.57)</f>
        <v>485.57</v>
      </c>
      <c r="O553" s="74" t="str">
        <f t="shared" si="18"/>
        <v>485,57</v>
      </c>
    </row>
    <row r="554">
      <c r="A554" s="86">
        <v>45376.0</v>
      </c>
      <c r="B554" s="20">
        <f t="shared" si="14"/>
        <v>1079.28</v>
      </c>
      <c r="C554" s="41" t="str">
        <f t="shared" si="15"/>
        <v>#N/A</v>
      </c>
      <c r="M554" s="78">
        <f>IFERROR(__xludf.DUMMYFUNCTION("""COMPUTED_VALUE"""),45107.0)</f>
        <v>45107</v>
      </c>
      <c r="N554" s="74">
        <f>IFERROR(__xludf.DUMMYFUNCTION("""COMPUTED_VALUE"""),495.64)</f>
        <v>495.64</v>
      </c>
      <c r="O554" s="74" t="str">
        <f t="shared" si="18"/>
        <v>495,64</v>
      </c>
    </row>
    <row r="555">
      <c r="A555" s="86">
        <v>45375.0</v>
      </c>
      <c r="B555" s="20" t="str">
        <f t="shared" si="14"/>
        <v>#N/A</v>
      </c>
      <c r="C555" s="41" t="str">
        <f t="shared" si="15"/>
        <v>#N/A</v>
      </c>
      <c r="M555" s="78">
        <f>IFERROR(__xludf.DUMMYFUNCTION("""COMPUTED_VALUE"""),45106.0)</f>
        <v>45106</v>
      </c>
      <c r="N555" s="74">
        <f>IFERROR(__xludf.DUMMYFUNCTION("""COMPUTED_VALUE"""),487.56)</f>
        <v>487.56</v>
      </c>
      <c r="O555" s="74" t="str">
        <f t="shared" si="18"/>
        <v>487,56</v>
      </c>
    </row>
    <row r="556">
      <c r="A556" s="86">
        <v>45374.0</v>
      </c>
      <c r="B556" s="20" t="str">
        <f t="shared" si="14"/>
        <v>#N/A</v>
      </c>
      <c r="C556" s="41" t="str">
        <f t="shared" si="15"/>
        <v>#N/A</v>
      </c>
      <c r="M556" s="78">
        <f>IFERROR(__xludf.DUMMYFUNCTION("""COMPUTED_VALUE"""),45105.0)</f>
        <v>45105</v>
      </c>
      <c r="N556" s="74">
        <f>IFERROR(__xludf.DUMMYFUNCTION("""COMPUTED_VALUE"""),496.29)</f>
        <v>496.29</v>
      </c>
      <c r="O556" s="74" t="str">
        <f t="shared" si="18"/>
        <v>496,29</v>
      </c>
    </row>
    <row r="557">
      <c r="A557" s="86">
        <v>45373.0</v>
      </c>
      <c r="B557" s="20">
        <f t="shared" si="14"/>
        <v>1096.17</v>
      </c>
      <c r="C557" s="41">
        <f t="shared" si="15"/>
        <v>-0.003092586004</v>
      </c>
      <c r="M557" s="78">
        <f>IFERROR(__xludf.DUMMYFUNCTION("""COMPUTED_VALUE"""),45104.0)</f>
        <v>45104</v>
      </c>
      <c r="N557" s="74">
        <f>IFERROR(__xludf.DUMMYFUNCTION("""COMPUTED_VALUE"""),498.18)</f>
        <v>498.18</v>
      </c>
      <c r="O557" s="74" t="str">
        <f t="shared" si="18"/>
        <v>498,18</v>
      </c>
    </row>
    <row r="558">
      <c r="A558" s="86">
        <v>45372.0</v>
      </c>
      <c r="B558" s="20">
        <f t="shared" si="14"/>
        <v>1099.56</v>
      </c>
      <c r="C558" s="41">
        <f t="shared" si="15"/>
        <v>0.001418749318</v>
      </c>
      <c r="M558" s="78">
        <f>IFERROR(__xludf.DUMMYFUNCTION("""COMPUTED_VALUE"""),45103.0)</f>
        <v>45103</v>
      </c>
      <c r="N558" s="74">
        <f>IFERROR(__xludf.DUMMYFUNCTION("""COMPUTED_VALUE"""),489.63)</f>
        <v>489.63</v>
      </c>
      <c r="O558" s="74" t="str">
        <f t="shared" si="18"/>
        <v>489,63</v>
      </c>
    </row>
    <row r="559">
      <c r="A559" s="86">
        <v>45371.0</v>
      </c>
      <c r="B559" s="20">
        <f t="shared" si="14"/>
        <v>1098</v>
      </c>
      <c r="C559" s="41">
        <f t="shared" si="15"/>
        <v>0.01286885246</v>
      </c>
      <c r="M559" s="78">
        <f>IFERROR(__xludf.DUMMYFUNCTION("""COMPUTED_VALUE"""),45100.0)</f>
        <v>45100</v>
      </c>
      <c r="N559" s="74">
        <f>IFERROR(__xludf.DUMMYFUNCTION("""COMPUTED_VALUE"""),488.05)</f>
        <v>488.05</v>
      </c>
      <c r="O559" s="74" t="str">
        <f t="shared" si="18"/>
        <v>488,05</v>
      </c>
    </row>
    <row r="560">
      <c r="A560" s="86">
        <v>45370.0</v>
      </c>
      <c r="B560" s="20">
        <f t="shared" si="14"/>
        <v>1083.87</v>
      </c>
      <c r="C560" s="41">
        <f t="shared" si="15"/>
        <v>0.002740181018</v>
      </c>
      <c r="M560" s="78">
        <f>IFERROR(__xludf.DUMMYFUNCTION("""COMPUTED_VALUE"""),45099.0)</f>
        <v>45099</v>
      </c>
      <c r="N560" s="74">
        <f>IFERROR(__xludf.DUMMYFUNCTION("""COMPUTED_VALUE"""),502.34)</f>
        <v>502.34</v>
      </c>
      <c r="O560" s="74" t="str">
        <f t="shared" si="18"/>
        <v>502,34</v>
      </c>
    </row>
    <row r="561">
      <c r="A561" s="86">
        <v>45369.0</v>
      </c>
      <c r="B561" s="20">
        <f t="shared" si="14"/>
        <v>1080.9</v>
      </c>
      <c r="C561" s="41" t="str">
        <f t="shared" si="15"/>
        <v>#N/A</v>
      </c>
      <c r="M561" s="78">
        <f>IFERROR(__xludf.DUMMYFUNCTION("""COMPUTED_VALUE"""),45098.0)</f>
        <v>45098</v>
      </c>
      <c r="N561" s="74">
        <f>IFERROR(__xludf.DUMMYFUNCTION("""COMPUTED_VALUE"""),492.71)</f>
        <v>492.71</v>
      </c>
      <c r="O561" s="74" t="str">
        <f t="shared" si="18"/>
        <v>492,71</v>
      </c>
    </row>
    <row r="562">
      <c r="A562" s="86">
        <v>45368.0</v>
      </c>
      <c r="B562" s="20" t="str">
        <f t="shared" si="14"/>
        <v>#N/A</v>
      </c>
      <c r="C562" s="41" t="str">
        <f t="shared" si="15"/>
        <v>#N/A</v>
      </c>
      <c r="M562" s="78">
        <f>IFERROR(__xludf.DUMMYFUNCTION("""COMPUTED_VALUE"""),45097.0)</f>
        <v>45097</v>
      </c>
      <c r="N562" s="74">
        <f>IFERROR(__xludf.DUMMYFUNCTION("""COMPUTED_VALUE"""),487.12)</f>
        <v>487.12</v>
      </c>
      <c r="O562" s="74" t="str">
        <f t="shared" si="18"/>
        <v>487,12</v>
      </c>
    </row>
    <row r="563">
      <c r="A563" s="86">
        <v>45367.0</v>
      </c>
      <c r="B563" s="20" t="str">
        <f t="shared" si="14"/>
        <v>#N/A</v>
      </c>
      <c r="C563" s="41" t="str">
        <f t="shared" si="15"/>
        <v>#N/A</v>
      </c>
      <c r="M563" s="78">
        <f>IFERROR(__xludf.DUMMYFUNCTION("""COMPUTED_VALUE"""),45096.0)</f>
        <v>45096</v>
      </c>
      <c r="N563" s="74">
        <f>IFERROR(__xludf.DUMMYFUNCTION("""COMPUTED_VALUE"""),487.12)</f>
        <v>487.12</v>
      </c>
      <c r="O563" s="74" t="str">
        <f t="shared" si="18"/>
        <v>487,12</v>
      </c>
    </row>
    <row r="564">
      <c r="A564" s="86">
        <v>45366.0</v>
      </c>
      <c r="B564" s="20">
        <f t="shared" si="14"/>
        <v>1067.88</v>
      </c>
      <c r="C564" s="41">
        <f t="shared" si="15"/>
        <v>0.007116904521</v>
      </c>
      <c r="M564" s="78">
        <f>IFERROR(__xludf.DUMMYFUNCTION("""COMPUTED_VALUE"""),45093.0)</f>
        <v>45093</v>
      </c>
      <c r="N564" s="74">
        <f>IFERROR(__xludf.DUMMYFUNCTION("""COMPUTED_VALUE"""),487.12)</f>
        <v>487.12</v>
      </c>
      <c r="O564" s="74" t="str">
        <f t="shared" si="18"/>
        <v>487,12</v>
      </c>
    </row>
    <row r="565">
      <c r="A565" s="86">
        <v>45365.0</v>
      </c>
      <c r="B565" s="20">
        <f t="shared" si="14"/>
        <v>1060.28</v>
      </c>
      <c r="C565" s="41">
        <f t="shared" si="15"/>
        <v>0.006554872298</v>
      </c>
      <c r="M565" s="78">
        <f>IFERROR(__xludf.DUMMYFUNCTION("""COMPUTED_VALUE"""),45092.0)</f>
        <v>45092</v>
      </c>
      <c r="N565" s="74">
        <f>IFERROR(__xludf.DUMMYFUNCTION("""COMPUTED_VALUE"""),493.92)</f>
        <v>493.92</v>
      </c>
      <c r="O565" s="74" t="str">
        <f t="shared" si="18"/>
        <v>493,92</v>
      </c>
    </row>
    <row r="566">
      <c r="A566" s="86">
        <v>45364.0</v>
      </c>
      <c r="B566" s="20">
        <f t="shared" si="14"/>
        <v>1053.33</v>
      </c>
      <c r="C566" s="41">
        <f t="shared" si="15"/>
        <v>-0.01319624429</v>
      </c>
      <c r="M566" s="78">
        <f>IFERROR(__xludf.DUMMYFUNCTION("""COMPUTED_VALUE"""),45091.0)</f>
        <v>45091</v>
      </c>
      <c r="N566" s="74">
        <f>IFERROR(__xludf.DUMMYFUNCTION("""COMPUTED_VALUE"""),495.56)</f>
        <v>495.56</v>
      </c>
      <c r="O566" s="74" t="str">
        <f t="shared" si="18"/>
        <v>495,56</v>
      </c>
    </row>
    <row r="567">
      <c r="A567" s="86">
        <v>45363.0</v>
      </c>
      <c r="B567" s="20">
        <f t="shared" si="14"/>
        <v>1067.23</v>
      </c>
      <c r="C567" s="41">
        <f t="shared" si="15"/>
        <v>0.04245570308</v>
      </c>
      <c r="M567" s="78">
        <f>IFERROR(__xludf.DUMMYFUNCTION("""COMPUTED_VALUE"""),45090.0)</f>
        <v>45090</v>
      </c>
      <c r="N567" s="74">
        <f>IFERROR(__xludf.DUMMYFUNCTION("""COMPUTED_VALUE"""),492.22)</f>
        <v>492.22</v>
      </c>
      <c r="O567" s="74" t="str">
        <f t="shared" si="18"/>
        <v>492,22</v>
      </c>
    </row>
    <row r="568">
      <c r="A568" s="86">
        <v>45362.0</v>
      </c>
      <c r="B568" s="20">
        <f t="shared" si="14"/>
        <v>1021.92</v>
      </c>
      <c r="C568" s="41" t="str">
        <f t="shared" si="15"/>
        <v>#N/A</v>
      </c>
      <c r="M568" s="78">
        <f>IFERROR(__xludf.DUMMYFUNCTION("""COMPUTED_VALUE"""),45089.0)</f>
        <v>45089</v>
      </c>
      <c r="N568" s="74">
        <f>IFERROR(__xludf.DUMMYFUNCTION("""COMPUTED_VALUE"""),503.37)</f>
        <v>503.37</v>
      </c>
      <c r="O568" s="74" t="str">
        <f t="shared" si="18"/>
        <v>503,37</v>
      </c>
    </row>
    <row r="569">
      <c r="A569" s="86">
        <v>45361.0</v>
      </c>
      <c r="B569" s="20" t="str">
        <f t="shared" si="14"/>
        <v>#N/A</v>
      </c>
      <c r="C569" s="41" t="str">
        <f t="shared" si="15"/>
        <v>#N/A</v>
      </c>
      <c r="M569" s="78">
        <f>IFERROR(__xludf.DUMMYFUNCTION("""COMPUTED_VALUE"""),45086.0)</f>
        <v>45086</v>
      </c>
      <c r="N569" s="74">
        <f>IFERROR(__xludf.DUMMYFUNCTION("""COMPUTED_VALUE"""),479.27)</f>
        <v>479.27</v>
      </c>
      <c r="O569" s="74" t="str">
        <f t="shared" si="18"/>
        <v>479,27</v>
      </c>
    </row>
    <row r="570">
      <c r="A570" s="86">
        <v>45360.0</v>
      </c>
      <c r="B570" s="20" t="str">
        <f t="shared" si="14"/>
        <v>#N/A</v>
      </c>
      <c r="C570" s="41" t="str">
        <f t="shared" si="15"/>
        <v>#N/A</v>
      </c>
      <c r="M570" s="78">
        <f>IFERROR(__xludf.DUMMYFUNCTION("""COMPUTED_VALUE"""),45085.0)</f>
        <v>45085</v>
      </c>
      <c r="N570" s="74">
        <f>IFERROR(__xludf.DUMMYFUNCTION("""COMPUTED_VALUE"""),481.54)</f>
        <v>481.54</v>
      </c>
      <c r="O570" s="74" t="str">
        <f t="shared" si="18"/>
        <v>481,54</v>
      </c>
    </row>
    <row r="571">
      <c r="A571" s="86">
        <v>45359.0</v>
      </c>
      <c r="B571" s="20">
        <f t="shared" si="14"/>
        <v>1047.74</v>
      </c>
      <c r="C571" s="41">
        <f t="shared" si="15"/>
        <v>0.01654990742</v>
      </c>
      <c r="M571" s="78">
        <f>IFERROR(__xludf.DUMMYFUNCTION("""COMPUTED_VALUE"""),45084.0)</f>
        <v>45084</v>
      </c>
      <c r="N571" s="74">
        <f>IFERROR(__xludf.DUMMYFUNCTION("""COMPUTED_VALUE"""),489.85)</f>
        <v>489.85</v>
      </c>
      <c r="O571" s="74" t="str">
        <f t="shared" si="18"/>
        <v>489,85</v>
      </c>
    </row>
    <row r="572">
      <c r="A572" s="86">
        <v>45358.0</v>
      </c>
      <c r="B572" s="20">
        <f t="shared" si="14"/>
        <v>1030.4</v>
      </c>
      <c r="C572" s="41">
        <f t="shared" si="15"/>
        <v>0.007579580745</v>
      </c>
      <c r="M572" s="78">
        <f>IFERROR(__xludf.DUMMYFUNCTION("""COMPUTED_VALUE"""),45083.0)</f>
        <v>45083</v>
      </c>
      <c r="N572" s="74">
        <f>IFERROR(__xludf.DUMMYFUNCTION("""COMPUTED_VALUE"""),493.46)</f>
        <v>493.46</v>
      </c>
      <c r="O572" s="74" t="str">
        <f t="shared" si="18"/>
        <v>493,46</v>
      </c>
    </row>
    <row r="573">
      <c r="A573" s="86">
        <v>45357.0</v>
      </c>
      <c r="B573" s="20">
        <f t="shared" si="14"/>
        <v>1022.59</v>
      </c>
      <c r="C573" s="41">
        <f t="shared" si="15"/>
        <v>-0.01910834254</v>
      </c>
      <c r="M573" s="78">
        <f>IFERROR(__xludf.DUMMYFUNCTION("""COMPUTED_VALUE"""),45082.0)</f>
        <v>45082</v>
      </c>
      <c r="N573" s="74">
        <f>IFERROR(__xludf.DUMMYFUNCTION("""COMPUTED_VALUE"""),496.78)</f>
        <v>496.78</v>
      </c>
      <c r="O573" s="74" t="str">
        <f t="shared" si="18"/>
        <v>496,78</v>
      </c>
    </row>
    <row r="574">
      <c r="A574" s="86">
        <v>45356.0</v>
      </c>
      <c r="B574" s="20">
        <f t="shared" si="14"/>
        <v>1042.13</v>
      </c>
      <c r="C574" s="41">
        <f t="shared" si="15"/>
        <v>-0.02108182281</v>
      </c>
      <c r="M574" s="78">
        <f>IFERROR(__xludf.DUMMYFUNCTION("""COMPUTED_VALUE"""),45079.0)</f>
        <v>45079</v>
      </c>
      <c r="N574" s="74">
        <f>IFERROR(__xludf.DUMMYFUNCTION("""COMPUTED_VALUE"""),479.0)</f>
        <v>479</v>
      </c>
      <c r="O574" s="74" t="str">
        <f t="shared" si="18"/>
        <v>479</v>
      </c>
    </row>
    <row r="575">
      <c r="A575" s="86">
        <v>45355.0</v>
      </c>
      <c r="B575" s="20">
        <f t="shared" si="14"/>
        <v>1064.1</v>
      </c>
      <c r="C575" s="41" t="str">
        <f t="shared" si="15"/>
        <v>#N/A</v>
      </c>
      <c r="M575" s="78">
        <f>IFERROR(__xludf.DUMMYFUNCTION("""COMPUTED_VALUE"""),45078.0)</f>
        <v>45078</v>
      </c>
      <c r="N575" s="74">
        <f>IFERROR(__xludf.DUMMYFUNCTION("""COMPUTED_VALUE"""),469.55)</f>
        <v>469.55</v>
      </c>
      <c r="O575" s="74" t="str">
        <f t="shared" si="18"/>
        <v>469,55</v>
      </c>
    </row>
    <row r="576">
      <c r="A576" s="86">
        <v>45354.0</v>
      </c>
      <c r="B576" s="20" t="str">
        <f t="shared" si="14"/>
        <v>#N/A</v>
      </c>
      <c r="C576" s="41" t="str">
        <f t="shared" si="15"/>
        <v>#N/A</v>
      </c>
      <c r="M576" s="78">
        <f>IFERROR(__xludf.DUMMYFUNCTION("""COMPUTED_VALUE"""),45077.0)</f>
        <v>45077</v>
      </c>
      <c r="N576" s="74">
        <f>IFERROR(__xludf.DUMMYFUNCTION("""COMPUTED_VALUE"""),474.99)</f>
        <v>474.99</v>
      </c>
      <c r="O576" s="74" t="str">
        <f t="shared" si="18"/>
        <v>474,99</v>
      </c>
    </row>
    <row r="577">
      <c r="A577" s="86">
        <v>45353.0</v>
      </c>
      <c r="B577" s="20" t="str">
        <f t="shared" si="14"/>
        <v>#N/A</v>
      </c>
      <c r="C577" s="41" t="str">
        <f t="shared" si="15"/>
        <v>#N/A</v>
      </c>
      <c r="M577" s="78">
        <f>IFERROR(__xludf.DUMMYFUNCTION("""COMPUTED_VALUE"""),45076.0)</f>
        <v>45076</v>
      </c>
      <c r="N577" s="74">
        <f>IFERROR(__xludf.DUMMYFUNCTION("""COMPUTED_VALUE"""),463.14)</f>
        <v>463.14</v>
      </c>
      <c r="O577" s="74" t="str">
        <f t="shared" si="18"/>
        <v>463,14</v>
      </c>
    </row>
    <row r="578">
      <c r="A578" s="86">
        <v>45352.0</v>
      </c>
      <c r="B578" s="20">
        <f t="shared" si="14"/>
        <v>1089.77</v>
      </c>
      <c r="C578" s="41">
        <f t="shared" si="15"/>
        <v>0.01680171045</v>
      </c>
      <c r="M578" s="78">
        <f>IFERROR(__xludf.DUMMYFUNCTION("""COMPUTED_VALUE"""),45075.0)</f>
        <v>45075</v>
      </c>
      <c r="N578" s="74">
        <f>IFERROR(__xludf.DUMMYFUNCTION("""COMPUTED_VALUE"""),480.66)</f>
        <v>480.66</v>
      </c>
      <c r="O578" s="74" t="str">
        <f t="shared" si="18"/>
        <v>480,66</v>
      </c>
    </row>
    <row r="579">
      <c r="A579" s="86">
        <v>45351.0</v>
      </c>
      <c r="B579" s="20">
        <f t="shared" si="14"/>
        <v>1071.46</v>
      </c>
      <c r="C579" s="41">
        <f t="shared" si="15"/>
        <v>-0.001763948258</v>
      </c>
      <c r="M579" s="78">
        <f>IFERROR(__xludf.DUMMYFUNCTION("""COMPUTED_VALUE"""),45072.0)</f>
        <v>45072</v>
      </c>
      <c r="N579" s="74">
        <f>IFERROR(__xludf.DUMMYFUNCTION("""COMPUTED_VALUE"""),480.88)</f>
        <v>480.88</v>
      </c>
      <c r="O579" s="74" t="str">
        <f t="shared" si="18"/>
        <v>480,88</v>
      </c>
    </row>
    <row r="580">
      <c r="A580" s="86">
        <v>45350.0</v>
      </c>
      <c r="B580" s="20">
        <f t="shared" si="14"/>
        <v>1073.35</v>
      </c>
      <c r="C580" s="41">
        <f t="shared" si="15"/>
        <v>-0.01413332091</v>
      </c>
      <c r="M580" s="78">
        <f>IFERROR(__xludf.DUMMYFUNCTION("""COMPUTED_VALUE"""),45071.0)</f>
        <v>45071</v>
      </c>
      <c r="N580" s="74">
        <f>IFERROR(__xludf.DUMMYFUNCTION("""COMPUTED_VALUE"""),480.88)</f>
        <v>480.88</v>
      </c>
      <c r="O580" s="74" t="str">
        <f t="shared" si="18"/>
        <v>480,88</v>
      </c>
    </row>
    <row r="581">
      <c r="A581" s="86">
        <v>45349.0</v>
      </c>
      <c r="B581" s="20">
        <f t="shared" si="14"/>
        <v>1088.52</v>
      </c>
      <c r="C581" s="41">
        <f t="shared" si="15"/>
        <v>-0.007119758939</v>
      </c>
      <c r="M581" s="78">
        <f>IFERROR(__xludf.DUMMYFUNCTION("""COMPUTED_VALUE"""),45070.0)</f>
        <v>45070</v>
      </c>
      <c r="N581" s="74">
        <f>IFERROR(__xludf.DUMMYFUNCTION("""COMPUTED_VALUE"""),479.65)</f>
        <v>479.65</v>
      </c>
      <c r="O581" s="74" t="str">
        <f t="shared" si="18"/>
        <v>479,65</v>
      </c>
    </row>
    <row r="582">
      <c r="A582" s="86">
        <v>45348.0</v>
      </c>
      <c r="B582" s="20">
        <f t="shared" si="14"/>
        <v>1096.27</v>
      </c>
      <c r="C582" s="41" t="str">
        <f t="shared" si="15"/>
        <v>#N/A</v>
      </c>
      <c r="M582" s="78">
        <f>IFERROR(__xludf.DUMMYFUNCTION("""COMPUTED_VALUE"""),45069.0)</f>
        <v>45069</v>
      </c>
      <c r="N582" s="74">
        <f>IFERROR(__xludf.DUMMYFUNCTION("""COMPUTED_VALUE"""),481.11)</f>
        <v>481.11</v>
      </c>
      <c r="O582" s="74" t="str">
        <f t="shared" si="18"/>
        <v>481,11</v>
      </c>
    </row>
    <row r="583">
      <c r="A583" s="86">
        <v>45347.0</v>
      </c>
      <c r="B583" s="20" t="str">
        <f t="shared" si="14"/>
        <v>#N/A</v>
      </c>
      <c r="C583" s="41" t="str">
        <f t="shared" si="15"/>
        <v>#N/A</v>
      </c>
      <c r="M583" s="78">
        <f>IFERROR(__xludf.DUMMYFUNCTION("""COMPUTED_VALUE"""),45068.0)</f>
        <v>45068</v>
      </c>
      <c r="N583" s="74">
        <f>IFERROR(__xludf.DUMMYFUNCTION("""COMPUTED_VALUE"""),478.92)</f>
        <v>478.92</v>
      </c>
      <c r="O583" s="74" t="str">
        <f t="shared" si="18"/>
        <v>478,92</v>
      </c>
    </row>
    <row r="584">
      <c r="A584" s="86">
        <v>45346.0</v>
      </c>
      <c r="B584" s="20" t="str">
        <f t="shared" si="14"/>
        <v>#N/A</v>
      </c>
      <c r="C584" s="41" t="str">
        <f t="shared" si="15"/>
        <v>#N/A</v>
      </c>
      <c r="M584" s="78">
        <f>IFERROR(__xludf.DUMMYFUNCTION("""COMPUTED_VALUE"""),45065.0)</f>
        <v>45065</v>
      </c>
      <c r="N584" s="74">
        <f>IFERROR(__xludf.DUMMYFUNCTION("""COMPUTED_VALUE"""),474.35)</f>
        <v>474.35</v>
      </c>
      <c r="O584" s="74" t="str">
        <f t="shared" si="18"/>
        <v>474,35</v>
      </c>
    </row>
    <row r="585">
      <c r="A585" s="86">
        <v>45345.0</v>
      </c>
      <c r="B585" s="20">
        <f t="shared" si="14"/>
        <v>1111.53</v>
      </c>
      <c r="C585" s="41">
        <f t="shared" si="15"/>
        <v>0.01516828156</v>
      </c>
      <c r="M585" s="78">
        <f>IFERROR(__xludf.DUMMYFUNCTION("""COMPUTED_VALUE"""),45064.0)</f>
        <v>45064</v>
      </c>
      <c r="N585" s="74">
        <f>IFERROR(__xludf.DUMMYFUNCTION("""COMPUTED_VALUE"""),478.98)</f>
        <v>478.98</v>
      </c>
      <c r="O585" s="74" t="str">
        <f t="shared" si="18"/>
        <v>478,98</v>
      </c>
    </row>
    <row r="586">
      <c r="A586" s="86">
        <v>45344.0</v>
      </c>
      <c r="B586" s="20">
        <f t="shared" si="14"/>
        <v>1094.67</v>
      </c>
      <c r="C586" s="41">
        <f t="shared" si="15"/>
        <v>-0.01877278084</v>
      </c>
      <c r="M586" s="78">
        <f>IFERROR(__xludf.DUMMYFUNCTION("""COMPUTED_VALUE"""),45063.0)</f>
        <v>45063</v>
      </c>
      <c r="N586" s="74">
        <f>IFERROR(__xludf.DUMMYFUNCTION("""COMPUTED_VALUE"""),454.37)</f>
        <v>454.37</v>
      </c>
      <c r="O586" s="74" t="str">
        <f t="shared" si="18"/>
        <v>454,37</v>
      </c>
    </row>
    <row r="587">
      <c r="A587" s="86">
        <v>45343.0</v>
      </c>
      <c r="B587" s="20">
        <f t="shared" si="14"/>
        <v>1115.22</v>
      </c>
      <c r="C587" s="41">
        <f t="shared" si="15"/>
        <v>-0.01440074604</v>
      </c>
      <c r="M587" s="78">
        <f>IFERROR(__xludf.DUMMYFUNCTION("""COMPUTED_VALUE"""),45062.0)</f>
        <v>45062</v>
      </c>
      <c r="N587" s="74">
        <f>IFERROR(__xludf.DUMMYFUNCTION("""COMPUTED_VALUE"""),447.43)</f>
        <v>447.43</v>
      </c>
      <c r="O587" s="74" t="str">
        <f t="shared" si="18"/>
        <v>447,43</v>
      </c>
    </row>
    <row r="588">
      <c r="A588" s="86">
        <v>45342.0</v>
      </c>
      <c r="B588" s="20">
        <f t="shared" si="14"/>
        <v>1131.28</v>
      </c>
      <c r="C588" s="41">
        <f t="shared" si="15"/>
        <v>-0.01117318436</v>
      </c>
      <c r="M588" s="78">
        <f>IFERROR(__xludf.DUMMYFUNCTION("""COMPUTED_VALUE"""),45061.0)</f>
        <v>45061</v>
      </c>
      <c r="N588" s="74">
        <f>IFERROR(__xludf.DUMMYFUNCTION("""COMPUTED_VALUE"""),444.6)</f>
        <v>444.6</v>
      </c>
      <c r="O588" s="74" t="str">
        <f t="shared" si="18"/>
        <v>444,6</v>
      </c>
    </row>
    <row r="589">
      <c r="A589" s="86">
        <v>45341.0</v>
      </c>
      <c r="B589" s="20">
        <f t="shared" si="14"/>
        <v>1143.92</v>
      </c>
      <c r="C589" s="41" t="str">
        <f t="shared" si="15"/>
        <v>#N/A</v>
      </c>
      <c r="M589" s="78">
        <f>IFERROR(__xludf.DUMMYFUNCTION("""COMPUTED_VALUE"""),45058.0)</f>
        <v>45058</v>
      </c>
      <c r="N589" s="74">
        <f>IFERROR(__xludf.DUMMYFUNCTION("""COMPUTED_VALUE"""),440.8)</f>
        <v>440.8</v>
      </c>
      <c r="O589" s="74" t="str">
        <f t="shared" si="18"/>
        <v>440,8</v>
      </c>
    </row>
    <row r="590">
      <c r="A590" s="86">
        <v>45340.0</v>
      </c>
      <c r="B590" s="20" t="str">
        <f t="shared" si="14"/>
        <v>#N/A</v>
      </c>
      <c r="C590" s="41" t="str">
        <f t="shared" si="15"/>
        <v>#N/A</v>
      </c>
      <c r="M590" s="78">
        <f>IFERROR(__xludf.DUMMYFUNCTION("""COMPUTED_VALUE"""),45057.0)</f>
        <v>45057</v>
      </c>
      <c r="N590" s="74">
        <f>IFERROR(__xludf.DUMMYFUNCTION("""COMPUTED_VALUE"""),441.64)</f>
        <v>441.64</v>
      </c>
      <c r="O590" s="74" t="str">
        <f t="shared" si="18"/>
        <v>441,64</v>
      </c>
    </row>
    <row r="591">
      <c r="A591" s="86">
        <v>45339.0</v>
      </c>
      <c r="B591" s="20" t="str">
        <f t="shared" si="14"/>
        <v>#N/A</v>
      </c>
      <c r="C591" s="41" t="str">
        <f t="shared" si="15"/>
        <v>#N/A</v>
      </c>
      <c r="M591" s="78">
        <f>IFERROR(__xludf.DUMMYFUNCTION("""COMPUTED_VALUE"""),45056.0)</f>
        <v>45056</v>
      </c>
      <c r="N591" s="74">
        <f>IFERROR(__xludf.DUMMYFUNCTION("""COMPUTED_VALUE"""),441.64)</f>
        <v>441.64</v>
      </c>
      <c r="O591" s="74" t="str">
        <f t="shared" si="18"/>
        <v>441,64</v>
      </c>
    </row>
    <row r="592">
      <c r="A592" s="86">
        <v>45338.0</v>
      </c>
      <c r="B592" s="20">
        <f t="shared" si="14"/>
        <v>1115.43</v>
      </c>
      <c r="C592" s="41">
        <f t="shared" si="15"/>
        <v>-0.03393310203</v>
      </c>
      <c r="M592" s="78">
        <f>IFERROR(__xludf.DUMMYFUNCTION("""COMPUTED_VALUE"""),45055.0)</f>
        <v>45055</v>
      </c>
      <c r="N592" s="74">
        <f>IFERROR(__xludf.DUMMYFUNCTION("""COMPUTED_VALUE"""),434.0)</f>
        <v>434</v>
      </c>
      <c r="O592" s="74" t="str">
        <f t="shared" si="18"/>
        <v>434</v>
      </c>
    </row>
    <row r="593">
      <c r="A593" s="86">
        <v>45337.0</v>
      </c>
      <c r="B593" s="20">
        <f t="shared" si="14"/>
        <v>1153.28</v>
      </c>
      <c r="C593" s="41">
        <f t="shared" si="15"/>
        <v>-0.02007318257</v>
      </c>
      <c r="M593" s="78">
        <f>IFERROR(__xludf.DUMMYFUNCTION("""COMPUTED_VALUE"""),45054.0)</f>
        <v>45054</v>
      </c>
      <c r="N593" s="74">
        <f>IFERROR(__xludf.DUMMYFUNCTION("""COMPUTED_VALUE"""),440.3)</f>
        <v>440.3</v>
      </c>
      <c r="O593" s="74" t="str">
        <f t="shared" si="18"/>
        <v>440,3</v>
      </c>
    </row>
    <row r="594">
      <c r="A594" s="86">
        <v>45336.0</v>
      </c>
      <c r="B594" s="20">
        <f t="shared" si="14"/>
        <v>1176.43</v>
      </c>
      <c r="C594" s="41">
        <f t="shared" si="15"/>
        <v>-0.04469454196</v>
      </c>
      <c r="M594" s="78">
        <f>IFERROR(__xludf.DUMMYFUNCTION("""COMPUTED_VALUE"""),45051.0)</f>
        <v>45051</v>
      </c>
      <c r="N594" s="74">
        <f>IFERROR(__xludf.DUMMYFUNCTION("""COMPUTED_VALUE"""),440.61)</f>
        <v>440.61</v>
      </c>
      <c r="O594" s="74" t="str">
        <f t="shared" si="18"/>
        <v>440,61</v>
      </c>
    </row>
    <row r="595">
      <c r="A595" s="86">
        <v>45335.0</v>
      </c>
      <c r="B595" s="20">
        <f t="shared" si="14"/>
        <v>1229.01</v>
      </c>
      <c r="C595" s="41">
        <f t="shared" si="15"/>
        <v>0</v>
      </c>
      <c r="M595" s="78">
        <f>IFERROR(__xludf.DUMMYFUNCTION("""COMPUTED_VALUE"""),45050.0)</f>
        <v>45050</v>
      </c>
      <c r="N595" s="74">
        <f>IFERROR(__xludf.DUMMYFUNCTION("""COMPUTED_VALUE"""),420.79)</f>
        <v>420.79</v>
      </c>
      <c r="O595" s="74" t="str">
        <f t="shared" si="18"/>
        <v>420,79</v>
      </c>
    </row>
    <row r="596">
      <c r="A596" s="86">
        <v>45334.0</v>
      </c>
      <c r="B596" s="20">
        <f t="shared" si="14"/>
        <v>1229.01</v>
      </c>
      <c r="C596" s="41" t="str">
        <f t="shared" si="15"/>
        <v>#N/A</v>
      </c>
      <c r="M596" s="78">
        <f>IFERROR(__xludf.DUMMYFUNCTION("""COMPUTED_VALUE"""),45049.0)</f>
        <v>45049</v>
      </c>
      <c r="N596" s="74">
        <f>IFERROR(__xludf.DUMMYFUNCTION("""COMPUTED_VALUE"""),427.27)</f>
        <v>427.27</v>
      </c>
      <c r="O596" s="74" t="str">
        <f t="shared" si="18"/>
        <v>427,27</v>
      </c>
    </row>
    <row r="597">
      <c r="A597" s="86">
        <v>45333.0</v>
      </c>
      <c r="B597" s="20" t="str">
        <f t="shared" si="14"/>
        <v>#N/A</v>
      </c>
      <c r="C597" s="41" t="str">
        <f t="shared" si="15"/>
        <v>#N/A</v>
      </c>
      <c r="M597" s="78">
        <f>IFERROR(__xludf.DUMMYFUNCTION("""COMPUTED_VALUE"""),45048.0)</f>
        <v>45048</v>
      </c>
      <c r="N597" s="74">
        <f>IFERROR(__xludf.DUMMYFUNCTION("""COMPUTED_VALUE"""),433.64)</f>
        <v>433.64</v>
      </c>
      <c r="O597" s="74" t="str">
        <f t="shared" si="18"/>
        <v>433,64</v>
      </c>
    </row>
    <row r="598">
      <c r="A598" s="86">
        <v>45332.0</v>
      </c>
      <c r="B598" s="20" t="str">
        <f t="shared" si="14"/>
        <v>#N/A</v>
      </c>
      <c r="C598" s="41" t="str">
        <f t="shared" si="15"/>
        <v>#N/A</v>
      </c>
      <c r="M598" s="78">
        <f>IFERROR(__xludf.DUMMYFUNCTION("""COMPUTED_VALUE"""),45047.0)</f>
        <v>45047</v>
      </c>
      <c r="N598" s="74">
        <f>IFERROR(__xludf.DUMMYFUNCTION("""COMPUTED_VALUE"""),453.16)</f>
        <v>453.16</v>
      </c>
      <c r="O598" s="74" t="str">
        <f t="shared" si="18"/>
        <v>453,16</v>
      </c>
    </row>
    <row r="599">
      <c r="A599" s="86">
        <v>45331.0</v>
      </c>
      <c r="B599" s="20">
        <f t="shared" si="14"/>
        <v>1230.05</v>
      </c>
      <c r="C599" s="41">
        <f t="shared" si="15"/>
        <v>-0.01512946628</v>
      </c>
      <c r="M599" s="78">
        <f>IFERROR(__xludf.DUMMYFUNCTION("""COMPUTED_VALUE"""),45044.0)</f>
        <v>45044</v>
      </c>
      <c r="N599" s="74">
        <f>IFERROR(__xludf.DUMMYFUNCTION("""COMPUTED_VALUE"""),453.16)</f>
        <v>453.16</v>
      </c>
      <c r="O599" s="74" t="str">
        <f t="shared" si="18"/>
        <v>453,16</v>
      </c>
    </row>
    <row r="600">
      <c r="A600" s="86">
        <v>45330.0</v>
      </c>
      <c r="B600" s="20">
        <f t="shared" si="14"/>
        <v>1248.66</v>
      </c>
      <c r="C600" s="41">
        <f t="shared" si="15"/>
        <v>-0.01142825109</v>
      </c>
      <c r="M600" s="78">
        <f>IFERROR(__xludf.DUMMYFUNCTION("""COMPUTED_VALUE"""),45043.0)</f>
        <v>45043</v>
      </c>
      <c r="N600" s="74">
        <f>IFERROR(__xludf.DUMMYFUNCTION("""COMPUTED_VALUE"""),457.29)</f>
        <v>457.29</v>
      </c>
      <c r="O600" s="74" t="str">
        <f t="shared" si="18"/>
        <v>457,29</v>
      </c>
    </row>
    <row r="601">
      <c r="A601" s="86">
        <v>45329.0</v>
      </c>
      <c r="B601" s="20">
        <f t="shared" si="14"/>
        <v>1262.93</v>
      </c>
      <c r="C601" s="41">
        <f t="shared" si="15"/>
        <v>0.008218982841</v>
      </c>
      <c r="M601" s="78">
        <f>IFERROR(__xludf.DUMMYFUNCTION("""COMPUTED_VALUE"""),45042.0)</f>
        <v>45042</v>
      </c>
      <c r="N601" s="74">
        <f>IFERROR(__xludf.DUMMYFUNCTION("""COMPUTED_VALUE"""),469.32)</f>
        <v>469.32</v>
      </c>
      <c r="O601" s="74" t="str">
        <f t="shared" si="18"/>
        <v>469,32</v>
      </c>
    </row>
    <row r="602">
      <c r="A602" s="86">
        <v>45328.0</v>
      </c>
      <c r="B602" s="20">
        <f t="shared" si="14"/>
        <v>1252.55</v>
      </c>
      <c r="C602" s="41">
        <f t="shared" si="15"/>
        <v>-0.0327172568</v>
      </c>
      <c r="M602" s="78">
        <f>IFERROR(__xludf.DUMMYFUNCTION("""COMPUTED_VALUE"""),45041.0)</f>
        <v>45041</v>
      </c>
      <c r="N602" s="74">
        <f>IFERROR(__xludf.DUMMYFUNCTION("""COMPUTED_VALUE"""),465.97)</f>
        <v>465.97</v>
      </c>
      <c r="O602" s="74" t="str">
        <f t="shared" si="18"/>
        <v>465,97</v>
      </c>
    </row>
    <row r="603">
      <c r="A603" s="86">
        <v>45327.0</v>
      </c>
      <c r="B603" s="20">
        <f t="shared" si="14"/>
        <v>1293.53</v>
      </c>
      <c r="C603" s="41" t="str">
        <f t="shared" si="15"/>
        <v>#N/A</v>
      </c>
      <c r="M603" s="78">
        <f>IFERROR(__xludf.DUMMYFUNCTION("""COMPUTED_VALUE"""),45040.0)</f>
        <v>45040</v>
      </c>
      <c r="N603" s="74">
        <f>IFERROR(__xludf.DUMMYFUNCTION("""COMPUTED_VALUE"""),462.35)</f>
        <v>462.35</v>
      </c>
      <c r="O603" s="74" t="str">
        <f t="shared" si="18"/>
        <v>462,35</v>
      </c>
    </row>
    <row r="604">
      <c r="A604" s="86">
        <v>45326.0</v>
      </c>
      <c r="B604" s="20" t="str">
        <f t="shared" si="14"/>
        <v>#N/A</v>
      </c>
      <c r="C604" s="41" t="str">
        <f t="shared" si="15"/>
        <v>#N/A</v>
      </c>
      <c r="M604" s="78">
        <f>IFERROR(__xludf.DUMMYFUNCTION("""COMPUTED_VALUE"""),45037.0)</f>
        <v>45037</v>
      </c>
      <c r="N604" s="74">
        <f>IFERROR(__xludf.DUMMYFUNCTION("""COMPUTED_VALUE"""),455.11)</f>
        <v>455.11</v>
      </c>
      <c r="O604" s="74" t="str">
        <f t="shared" si="18"/>
        <v>455,11</v>
      </c>
    </row>
    <row r="605">
      <c r="A605" s="86">
        <v>45325.0</v>
      </c>
      <c r="B605" s="20" t="str">
        <f t="shared" si="14"/>
        <v>#N/A</v>
      </c>
      <c r="C605" s="41" t="str">
        <f t="shared" si="15"/>
        <v>#N/A</v>
      </c>
      <c r="M605" s="78">
        <f>IFERROR(__xludf.DUMMYFUNCTION("""COMPUTED_VALUE"""),45036.0)</f>
        <v>45036</v>
      </c>
      <c r="N605" s="74">
        <f>IFERROR(__xludf.DUMMYFUNCTION("""COMPUTED_VALUE"""),435.74)</f>
        <v>435.74</v>
      </c>
      <c r="O605" s="74" t="str">
        <f t="shared" si="18"/>
        <v>435,74</v>
      </c>
    </row>
    <row r="606">
      <c r="A606" s="86">
        <v>45324.0</v>
      </c>
      <c r="B606" s="20">
        <f t="shared" si="14"/>
        <v>1284.97</v>
      </c>
      <c r="C606" s="41">
        <f t="shared" si="15"/>
        <v>0.002070087239</v>
      </c>
      <c r="M606" s="78">
        <f>IFERROR(__xludf.DUMMYFUNCTION("""COMPUTED_VALUE"""),45035.0)</f>
        <v>45035</v>
      </c>
      <c r="N606" s="74">
        <f>IFERROR(__xludf.DUMMYFUNCTION("""COMPUTED_VALUE"""),429.65)</f>
        <v>429.65</v>
      </c>
      <c r="O606" s="74" t="str">
        <f t="shared" si="18"/>
        <v>429,65</v>
      </c>
    </row>
    <row r="607">
      <c r="A607" s="86">
        <v>45323.0</v>
      </c>
      <c r="B607" s="20">
        <f t="shared" si="14"/>
        <v>1282.31</v>
      </c>
      <c r="C607" s="41">
        <f t="shared" si="15"/>
        <v>0.02421411359</v>
      </c>
      <c r="M607" s="78">
        <f>IFERROR(__xludf.DUMMYFUNCTION("""COMPUTED_VALUE"""),45034.0)</f>
        <v>45034</v>
      </c>
      <c r="N607" s="74">
        <f>IFERROR(__xludf.DUMMYFUNCTION("""COMPUTED_VALUE"""),425.9)</f>
        <v>425.9</v>
      </c>
      <c r="O607" s="74" t="str">
        <f t="shared" si="18"/>
        <v>425,9</v>
      </c>
    </row>
    <row r="608">
      <c r="A608" s="86">
        <v>45322.0</v>
      </c>
      <c r="B608" s="20">
        <f t="shared" si="14"/>
        <v>1251.26</v>
      </c>
      <c r="C608" s="41">
        <f t="shared" si="15"/>
        <v>-0.01497690328</v>
      </c>
      <c r="M608" s="78">
        <f>IFERROR(__xludf.DUMMYFUNCTION("""COMPUTED_VALUE"""),45033.0)</f>
        <v>45033</v>
      </c>
      <c r="N608" s="74">
        <f>IFERROR(__xludf.DUMMYFUNCTION("""COMPUTED_VALUE"""),409.04)</f>
        <v>409.04</v>
      </c>
      <c r="O608" s="74" t="str">
        <f t="shared" si="18"/>
        <v>409,04</v>
      </c>
    </row>
    <row r="609">
      <c r="A609" s="86">
        <v>45321.0</v>
      </c>
      <c r="B609" s="20">
        <f t="shared" si="14"/>
        <v>1270</v>
      </c>
      <c r="C609" s="41">
        <f t="shared" si="15"/>
        <v>0.004535433071</v>
      </c>
      <c r="M609" s="78">
        <f>IFERROR(__xludf.DUMMYFUNCTION("""COMPUTED_VALUE"""),45030.0)</f>
        <v>45030</v>
      </c>
      <c r="N609" s="74">
        <f>IFERROR(__xludf.DUMMYFUNCTION("""COMPUTED_VALUE"""),404.88)</f>
        <v>404.88</v>
      </c>
      <c r="O609" s="74" t="str">
        <f t="shared" si="18"/>
        <v>404,88</v>
      </c>
    </row>
    <row r="610">
      <c r="A610" s="86">
        <v>45320.0</v>
      </c>
      <c r="B610" s="20">
        <f t="shared" si="14"/>
        <v>1264.24</v>
      </c>
      <c r="C610" s="41" t="str">
        <f t="shared" si="15"/>
        <v>#N/A</v>
      </c>
      <c r="M610" s="78">
        <f>IFERROR(__xludf.DUMMYFUNCTION("""COMPUTED_VALUE"""),45029.0)</f>
        <v>45029</v>
      </c>
      <c r="N610" s="74">
        <f>IFERROR(__xludf.DUMMYFUNCTION("""COMPUTED_VALUE"""),402.14)</f>
        <v>402.14</v>
      </c>
      <c r="O610" s="74" t="str">
        <f t="shared" si="18"/>
        <v>402,14</v>
      </c>
    </row>
    <row r="611">
      <c r="A611" s="86">
        <v>45319.0</v>
      </c>
      <c r="B611" s="20" t="str">
        <f t="shared" si="14"/>
        <v>#N/A</v>
      </c>
      <c r="C611" s="41" t="str">
        <f t="shared" si="15"/>
        <v>#N/A</v>
      </c>
      <c r="M611" s="78">
        <f>IFERROR(__xludf.DUMMYFUNCTION("""COMPUTED_VALUE"""),45028.0)</f>
        <v>45028</v>
      </c>
      <c r="N611" s="74">
        <f>IFERROR(__xludf.DUMMYFUNCTION("""COMPUTED_VALUE"""),398.31)</f>
        <v>398.31</v>
      </c>
      <c r="O611" s="74" t="str">
        <f t="shared" si="18"/>
        <v>398,31</v>
      </c>
    </row>
    <row r="612">
      <c r="A612" s="86">
        <v>45318.0</v>
      </c>
      <c r="B612" s="20" t="str">
        <f t="shared" si="14"/>
        <v>#N/A</v>
      </c>
      <c r="C612" s="41" t="str">
        <f t="shared" si="15"/>
        <v>#N/A</v>
      </c>
      <c r="M612" s="78">
        <f>IFERROR(__xludf.DUMMYFUNCTION("""COMPUTED_VALUE"""),45027.0)</f>
        <v>45027</v>
      </c>
      <c r="N612" s="74">
        <f>IFERROR(__xludf.DUMMYFUNCTION("""COMPUTED_VALUE"""),398.97)</f>
        <v>398.97</v>
      </c>
      <c r="O612" s="74" t="str">
        <f t="shared" si="18"/>
        <v>398,97</v>
      </c>
    </row>
    <row r="613">
      <c r="A613" s="86">
        <v>45317.0</v>
      </c>
      <c r="B613" s="20">
        <f t="shared" si="14"/>
        <v>1231.3</v>
      </c>
      <c r="C613" s="41">
        <f t="shared" si="15"/>
        <v>-0.04219118005</v>
      </c>
      <c r="M613" s="78">
        <f>IFERROR(__xludf.DUMMYFUNCTION("""COMPUTED_VALUE"""),45026.0)</f>
        <v>45026</v>
      </c>
      <c r="N613" s="74">
        <f>IFERROR(__xludf.DUMMYFUNCTION("""COMPUTED_VALUE"""),403.17)</f>
        <v>403.17</v>
      </c>
      <c r="O613" s="74" t="str">
        <f t="shared" si="18"/>
        <v>403,17</v>
      </c>
    </row>
    <row r="614">
      <c r="A614" s="86">
        <v>45316.0</v>
      </c>
      <c r="B614" s="20">
        <f t="shared" si="14"/>
        <v>1283.25</v>
      </c>
      <c r="M614" s="78">
        <f>IFERROR(__xludf.DUMMYFUNCTION("""COMPUTED_VALUE"""),45023.0)</f>
        <v>45023</v>
      </c>
      <c r="N614" s="74">
        <f>IFERROR(__xludf.DUMMYFUNCTION("""COMPUTED_VALUE"""),408.24)</f>
        <v>408.24</v>
      </c>
      <c r="O614" s="74" t="str">
        <f t="shared" si="18"/>
        <v>408,24</v>
      </c>
    </row>
    <row r="615">
      <c r="A615" s="86">
        <v>45315.0</v>
      </c>
      <c r="B615" s="20">
        <f t="shared" si="14"/>
        <v>1303.82</v>
      </c>
      <c r="M615" s="78">
        <f>IFERROR(__xludf.DUMMYFUNCTION("""COMPUTED_VALUE"""),45022.0)</f>
        <v>45022</v>
      </c>
      <c r="N615" s="74">
        <f>IFERROR(__xludf.DUMMYFUNCTION("""COMPUTED_VALUE"""),408.24)</f>
        <v>408.24</v>
      </c>
      <c r="O615" s="74" t="str">
        <f t="shared" si="18"/>
        <v>408,24</v>
      </c>
    </row>
    <row r="616">
      <c r="A616" s="86">
        <v>45314.0</v>
      </c>
      <c r="B616" s="20">
        <f t="shared" si="14"/>
        <v>1284.32</v>
      </c>
      <c r="M616" s="78">
        <f>IFERROR(__xludf.DUMMYFUNCTION("""COMPUTED_VALUE"""),45021.0)</f>
        <v>45021</v>
      </c>
      <c r="N616" s="74">
        <f>IFERROR(__xludf.DUMMYFUNCTION("""COMPUTED_VALUE"""),408.24)</f>
        <v>408.24</v>
      </c>
      <c r="O616" s="74" t="str">
        <f t="shared" si="18"/>
        <v>408,24</v>
      </c>
    </row>
    <row r="617">
      <c r="A617" s="86">
        <v>45313.0</v>
      </c>
      <c r="B617" s="20">
        <f t="shared" si="14"/>
        <v>1310.4</v>
      </c>
      <c r="M617" s="78">
        <f>IFERROR(__xludf.DUMMYFUNCTION("""COMPUTED_VALUE"""),45020.0)</f>
        <v>45020</v>
      </c>
      <c r="N617" s="74">
        <f>IFERROR(__xludf.DUMMYFUNCTION("""COMPUTED_VALUE"""),409.82)</f>
        <v>409.82</v>
      </c>
      <c r="O617" s="74" t="str">
        <f t="shared" si="18"/>
        <v>409,82</v>
      </c>
    </row>
    <row r="618">
      <c r="A618" s="86">
        <v>45312.0</v>
      </c>
      <c r="B618" s="20" t="str">
        <f t="shared" si="14"/>
        <v>#N/A</v>
      </c>
      <c r="M618" s="78">
        <f>IFERROR(__xludf.DUMMYFUNCTION("""COMPUTED_VALUE"""),45019.0)</f>
        <v>45019</v>
      </c>
      <c r="N618" s="74">
        <f>IFERROR(__xludf.DUMMYFUNCTION("""COMPUTED_VALUE"""),406.77)</f>
        <v>406.77</v>
      </c>
      <c r="O618" s="74" t="str">
        <f t="shared" si="18"/>
        <v>406,77</v>
      </c>
    </row>
    <row r="619">
      <c r="A619" s="86">
        <v>45311.0</v>
      </c>
      <c r="B619" s="20" t="str">
        <f t="shared" si="14"/>
        <v>#N/A</v>
      </c>
      <c r="M619" s="78">
        <f>IFERROR(__xludf.DUMMYFUNCTION("""COMPUTED_VALUE"""),45016.0)</f>
        <v>45016</v>
      </c>
      <c r="N619" s="74">
        <f>IFERROR(__xludf.DUMMYFUNCTION("""COMPUTED_VALUE"""),406.54)</f>
        <v>406.54</v>
      </c>
      <c r="O619" s="74" t="str">
        <f t="shared" si="18"/>
        <v>406,54</v>
      </c>
    </row>
    <row r="620">
      <c r="A620" s="86">
        <v>45310.0</v>
      </c>
      <c r="B620" s="20">
        <f t="shared" si="14"/>
        <v>1306.38</v>
      </c>
      <c r="M620" s="78">
        <f>IFERROR(__xludf.DUMMYFUNCTION("""COMPUTED_VALUE"""),45015.0)</f>
        <v>45015</v>
      </c>
      <c r="N620" s="74">
        <f>IFERROR(__xludf.DUMMYFUNCTION("""COMPUTED_VALUE"""),402.79)</f>
        <v>402.79</v>
      </c>
      <c r="O620" s="74" t="str">
        <f t="shared" si="18"/>
        <v>402,79</v>
      </c>
    </row>
    <row r="621">
      <c r="A621" s="86">
        <v>45309.0</v>
      </c>
      <c r="B621" s="20">
        <f t="shared" si="14"/>
        <v>1281.2</v>
      </c>
      <c r="M621" s="78">
        <f>IFERROR(__xludf.DUMMYFUNCTION("""COMPUTED_VALUE"""),45014.0)</f>
        <v>45014</v>
      </c>
      <c r="N621" s="74">
        <f>IFERROR(__xludf.DUMMYFUNCTION("""COMPUTED_VALUE"""),395.89)</f>
        <v>395.89</v>
      </c>
      <c r="O621" s="74" t="str">
        <f t="shared" si="18"/>
        <v>395,89</v>
      </c>
    </row>
    <row r="622">
      <c r="A622" s="86">
        <v>45308.0</v>
      </c>
      <c r="B622" s="20">
        <f t="shared" si="14"/>
        <v>1273.87</v>
      </c>
      <c r="M622" s="78">
        <f>IFERROR(__xludf.DUMMYFUNCTION("""COMPUTED_VALUE"""),45013.0)</f>
        <v>45013</v>
      </c>
      <c r="N622" s="74">
        <f>IFERROR(__xludf.DUMMYFUNCTION("""COMPUTED_VALUE"""),390.63)</f>
        <v>390.63</v>
      </c>
      <c r="O622" s="74" t="str">
        <f t="shared" si="18"/>
        <v>390,63</v>
      </c>
    </row>
    <row r="623">
      <c r="A623" s="86">
        <v>45307.0</v>
      </c>
      <c r="B623" s="20">
        <f t="shared" si="14"/>
        <v>1214.66</v>
      </c>
      <c r="M623" s="78">
        <f>IFERROR(__xludf.DUMMYFUNCTION("""COMPUTED_VALUE"""),45012.0)</f>
        <v>45012</v>
      </c>
      <c r="N623" s="74">
        <f>IFERROR(__xludf.DUMMYFUNCTION("""COMPUTED_VALUE"""),392.58)</f>
        <v>392.58</v>
      </c>
      <c r="O623" s="74" t="str">
        <f t="shared" si="18"/>
        <v>392,58</v>
      </c>
    </row>
    <row r="624">
      <c r="A624" s="86">
        <v>45306.0</v>
      </c>
      <c r="B624" s="20">
        <f t="shared" si="14"/>
        <v>1164.6</v>
      </c>
      <c r="M624" s="78">
        <f>IFERROR(__xludf.DUMMYFUNCTION("""COMPUTED_VALUE"""),45009.0)</f>
        <v>45009</v>
      </c>
      <c r="N624" s="74">
        <f>IFERROR(__xludf.DUMMYFUNCTION("""COMPUTED_VALUE"""),390.19)</f>
        <v>390.19</v>
      </c>
      <c r="O624" s="74" t="str">
        <f t="shared" si="18"/>
        <v>390,19</v>
      </c>
    </row>
    <row r="625">
      <c r="A625" s="86">
        <v>45305.0</v>
      </c>
      <c r="B625" s="20" t="str">
        <f t="shared" si="14"/>
        <v>#N/A</v>
      </c>
      <c r="M625" s="78">
        <f>IFERROR(__xludf.DUMMYFUNCTION("""COMPUTED_VALUE"""),45008.0)</f>
        <v>45008</v>
      </c>
      <c r="N625" s="74">
        <f>IFERROR(__xludf.DUMMYFUNCTION("""COMPUTED_VALUE"""),390.19)</f>
        <v>390.19</v>
      </c>
      <c r="O625" s="74" t="str">
        <f t="shared" si="18"/>
        <v>390,19</v>
      </c>
    </row>
    <row r="626">
      <c r="A626" s="86">
        <v>45304.0</v>
      </c>
      <c r="B626" s="20" t="str">
        <f t="shared" si="14"/>
        <v>#N/A</v>
      </c>
      <c r="M626" s="78">
        <f>IFERROR(__xludf.DUMMYFUNCTION("""COMPUTED_VALUE"""),45007.0)</f>
        <v>45007</v>
      </c>
      <c r="N626" s="74">
        <f>IFERROR(__xludf.DUMMYFUNCTION("""COMPUTED_VALUE"""),397.17)</f>
        <v>397.17</v>
      </c>
      <c r="O626" s="74" t="str">
        <f t="shared" si="18"/>
        <v>397,17</v>
      </c>
    </row>
    <row r="627">
      <c r="A627" s="86">
        <v>45303.0</v>
      </c>
      <c r="B627" s="20">
        <f t="shared" si="14"/>
        <v>1136</v>
      </c>
      <c r="M627" s="78">
        <f>IFERROR(__xludf.DUMMYFUNCTION("""COMPUTED_VALUE"""),45006.0)</f>
        <v>45006</v>
      </c>
      <c r="N627" s="74">
        <f>IFERROR(__xludf.DUMMYFUNCTION("""COMPUTED_VALUE"""),399.62)</f>
        <v>399.62</v>
      </c>
      <c r="O627" s="74" t="str">
        <f t="shared" si="18"/>
        <v>399,62</v>
      </c>
    </row>
    <row r="628">
      <c r="A628" s="86">
        <v>45302.0</v>
      </c>
      <c r="B628" s="20">
        <f t="shared" si="14"/>
        <v>1147.42</v>
      </c>
      <c r="M628" s="78">
        <f>IFERROR(__xludf.DUMMYFUNCTION("""COMPUTED_VALUE"""),45005.0)</f>
        <v>45005</v>
      </c>
      <c r="N628" s="74">
        <f>IFERROR(__xludf.DUMMYFUNCTION("""COMPUTED_VALUE"""),401.36)</f>
        <v>401.36</v>
      </c>
      <c r="O628" s="74" t="str">
        <f t="shared" si="18"/>
        <v>401,36</v>
      </c>
    </row>
    <row r="629">
      <c r="A629" s="86">
        <v>45301.0</v>
      </c>
      <c r="B629" s="20">
        <f t="shared" si="14"/>
        <v>1183.02</v>
      </c>
      <c r="M629" s="78">
        <f>IFERROR(__xludf.DUMMYFUNCTION("""COMPUTED_VALUE"""),45002.0)</f>
        <v>45002</v>
      </c>
      <c r="N629" s="74">
        <f>IFERROR(__xludf.DUMMYFUNCTION("""COMPUTED_VALUE"""),403.57)</f>
        <v>403.57</v>
      </c>
      <c r="O629" s="74" t="str">
        <f t="shared" si="18"/>
        <v>403,57</v>
      </c>
    </row>
    <row r="630">
      <c r="A630" s="86">
        <v>45300.0</v>
      </c>
      <c r="B630" s="20">
        <f t="shared" si="14"/>
        <v>1193.3</v>
      </c>
      <c r="M630" s="78">
        <f>IFERROR(__xludf.DUMMYFUNCTION("""COMPUTED_VALUE"""),45001.0)</f>
        <v>45001</v>
      </c>
      <c r="N630" s="74">
        <f>IFERROR(__xludf.DUMMYFUNCTION("""COMPUTED_VALUE"""),400.62)</f>
        <v>400.62</v>
      </c>
      <c r="O630" s="74" t="str">
        <f t="shared" si="18"/>
        <v>400,62</v>
      </c>
    </row>
    <row r="631">
      <c r="A631" s="86">
        <v>45299.0</v>
      </c>
      <c r="B631" s="20">
        <f t="shared" si="14"/>
        <v>1200.75</v>
      </c>
      <c r="M631" s="78">
        <f>IFERROR(__xludf.DUMMYFUNCTION("""COMPUTED_VALUE"""),45000.0)</f>
        <v>45000</v>
      </c>
      <c r="N631" s="74">
        <f>IFERROR(__xludf.DUMMYFUNCTION("""COMPUTED_VALUE"""),397.07)</f>
        <v>397.07</v>
      </c>
      <c r="O631" s="74" t="str">
        <f t="shared" si="18"/>
        <v>397,07</v>
      </c>
    </row>
    <row r="632">
      <c r="A632" s="86">
        <v>45298.0</v>
      </c>
      <c r="B632" s="20" t="str">
        <f t="shared" si="14"/>
        <v>#N/A</v>
      </c>
      <c r="M632" s="78">
        <f>IFERROR(__xludf.DUMMYFUNCTION("""COMPUTED_VALUE"""),44999.0)</f>
        <v>44999</v>
      </c>
      <c r="N632" s="74">
        <f>IFERROR(__xludf.DUMMYFUNCTION("""COMPUTED_VALUE"""),391.47)</f>
        <v>391.47</v>
      </c>
      <c r="O632" s="74" t="str">
        <f t="shared" si="18"/>
        <v>391,47</v>
      </c>
    </row>
    <row r="633">
      <c r="A633" s="86">
        <v>45297.0</v>
      </c>
      <c r="B633" s="20" t="str">
        <f t="shared" si="14"/>
        <v>#N/A</v>
      </c>
      <c r="M633" s="78">
        <f>IFERROR(__xludf.DUMMYFUNCTION("""COMPUTED_VALUE"""),44998.0)</f>
        <v>44998</v>
      </c>
      <c r="N633" s="74">
        <f>IFERROR(__xludf.DUMMYFUNCTION("""COMPUTED_VALUE"""),395.5)</f>
        <v>395.5</v>
      </c>
      <c r="O633" s="74" t="str">
        <f t="shared" si="18"/>
        <v>395,5</v>
      </c>
    </row>
    <row r="634">
      <c r="A634" s="86">
        <v>45296.0</v>
      </c>
      <c r="B634" s="20">
        <f t="shared" si="14"/>
        <v>1140.53</v>
      </c>
      <c r="M634" s="78">
        <f>IFERROR(__xludf.DUMMYFUNCTION("""COMPUTED_VALUE"""),44995.0)</f>
        <v>44995</v>
      </c>
      <c r="N634" s="74">
        <f>IFERROR(__xludf.DUMMYFUNCTION("""COMPUTED_VALUE"""),393.68)</f>
        <v>393.68</v>
      </c>
      <c r="O634" s="74" t="str">
        <f t="shared" si="18"/>
        <v>393,68</v>
      </c>
    </row>
    <row r="635">
      <c r="A635" s="86">
        <v>45295.0</v>
      </c>
      <c r="B635" s="20">
        <f t="shared" si="14"/>
        <v>1088.99</v>
      </c>
      <c r="M635" s="78">
        <f>IFERROR(__xludf.DUMMYFUNCTION("""COMPUTED_VALUE"""),44994.0)</f>
        <v>44994</v>
      </c>
      <c r="N635" s="74">
        <f>IFERROR(__xludf.DUMMYFUNCTION("""COMPUTED_VALUE"""),387.78)</f>
        <v>387.78</v>
      </c>
      <c r="O635" s="74" t="str">
        <f t="shared" si="18"/>
        <v>387,78</v>
      </c>
    </row>
    <row r="636">
      <c r="A636" s="86">
        <v>45294.0</v>
      </c>
      <c r="B636" s="20">
        <f t="shared" si="14"/>
        <v>1049.17</v>
      </c>
      <c r="M636" s="78">
        <f>IFERROR(__xludf.DUMMYFUNCTION("""COMPUTED_VALUE"""),44993.0)</f>
        <v>44993</v>
      </c>
      <c r="N636" s="74">
        <f>IFERROR(__xludf.DUMMYFUNCTION("""COMPUTED_VALUE"""),378.96)</f>
        <v>378.96</v>
      </c>
      <c r="O636" s="74" t="str">
        <f t="shared" si="18"/>
        <v>378,96</v>
      </c>
    </row>
    <row r="637">
      <c r="A637" s="86">
        <v>45293.0</v>
      </c>
      <c r="B637" s="20">
        <f t="shared" si="14"/>
        <v>997.45</v>
      </c>
      <c r="M637" s="78">
        <f>IFERROR(__xludf.DUMMYFUNCTION("""COMPUTED_VALUE"""),44992.0)</f>
        <v>44992</v>
      </c>
      <c r="N637" s="74">
        <f>IFERROR(__xludf.DUMMYFUNCTION("""COMPUTED_VALUE"""),375.69)</f>
        <v>375.69</v>
      </c>
      <c r="O637" s="74" t="str">
        <f t="shared" si="18"/>
        <v>375,69</v>
      </c>
    </row>
    <row r="638">
      <c r="A638" s="86">
        <v>45292.0</v>
      </c>
      <c r="B638" s="20">
        <f t="shared" si="14"/>
        <v>973.15</v>
      </c>
      <c r="M638" s="78">
        <f>IFERROR(__xludf.DUMMYFUNCTION("""COMPUTED_VALUE"""),44991.0)</f>
        <v>44991</v>
      </c>
      <c r="N638" s="74">
        <f>IFERROR(__xludf.DUMMYFUNCTION("""COMPUTED_VALUE"""),372.68)</f>
        <v>372.68</v>
      </c>
      <c r="O638" s="74" t="str">
        <f t="shared" si="18"/>
        <v>372,68</v>
      </c>
    </row>
    <row r="639">
      <c r="A639" s="86">
        <v>45291.0</v>
      </c>
      <c r="B639" s="20" t="str">
        <f t="shared" si="14"/>
        <v>#N/A</v>
      </c>
      <c r="M639" s="78">
        <f>IFERROR(__xludf.DUMMYFUNCTION("""COMPUTED_VALUE"""),44988.0)</f>
        <v>44988</v>
      </c>
      <c r="N639" s="74">
        <f>IFERROR(__xludf.DUMMYFUNCTION("""COMPUTED_VALUE"""),372.31)</f>
        <v>372.31</v>
      </c>
      <c r="O639" s="74" t="str">
        <f t="shared" si="18"/>
        <v>372,31</v>
      </c>
    </row>
    <row r="640">
      <c r="A640" s="86">
        <v>45290.0</v>
      </c>
      <c r="B640" s="20" t="str">
        <f t="shared" si="14"/>
        <v>#N/A</v>
      </c>
      <c r="M640" s="78">
        <f>IFERROR(__xludf.DUMMYFUNCTION("""COMPUTED_VALUE"""),44987.0)</f>
        <v>44987</v>
      </c>
      <c r="N640" s="74">
        <f>IFERROR(__xludf.DUMMYFUNCTION("""COMPUTED_VALUE"""),372.57)</f>
        <v>372.57</v>
      </c>
      <c r="O640" s="74" t="str">
        <f t="shared" si="18"/>
        <v>372,57</v>
      </c>
    </row>
    <row r="641">
      <c r="A641" s="86">
        <v>45289.0</v>
      </c>
      <c r="B641" s="20">
        <f t="shared" si="14"/>
        <v>973.31</v>
      </c>
      <c r="M641" s="78">
        <f>IFERROR(__xludf.DUMMYFUNCTION("""COMPUTED_VALUE"""),44986.0)</f>
        <v>44986</v>
      </c>
      <c r="N641" s="74">
        <f>IFERROR(__xludf.DUMMYFUNCTION("""COMPUTED_VALUE"""),368.88)</f>
        <v>368.88</v>
      </c>
      <c r="O641" s="74" t="str">
        <f t="shared" si="18"/>
        <v>368,88</v>
      </c>
    </row>
    <row r="642">
      <c r="A642" s="86">
        <v>45288.0</v>
      </c>
      <c r="B642" s="20">
        <f t="shared" si="14"/>
        <v>945.02</v>
      </c>
      <c r="M642" s="78">
        <f>IFERROR(__xludf.DUMMYFUNCTION("""COMPUTED_VALUE"""),44985.0)</f>
        <v>44985</v>
      </c>
      <c r="N642" s="74">
        <f>IFERROR(__xludf.DUMMYFUNCTION("""COMPUTED_VALUE"""),366.41)</f>
        <v>366.41</v>
      </c>
      <c r="O642" s="74" t="str">
        <f t="shared" si="18"/>
        <v>366,41</v>
      </c>
    </row>
    <row r="643">
      <c r="A643" s="86">
        <v>45287.0</v>
      </c>
      <c r="B643" s="20">
        <f t="shared" si="14"/>
        <v>870.97</v>
      </c>
      <c r="M643" s="78">
        <f>IFERROR(__xludf.DUMMYFUNCTION("""COMPUTED_VALUE"""),44984.0)</f>
        <v>44984</v>
      </c>
      <c r="N643" s="74">
        <f>IFERROR(__xludf.DUMMYFUNCTION("""COMPUTED_VALUE"""),364.93)</f>
        <v>364.93</v>
      </c>
      <c r="O643" s="74" t="str">
        <f t="shared" si="18"/>
        <v>364,93</v>
      </c>
    </row>
    <row r="644">
      <c r="A644" s="86">
        <v>45286.0</v>
      </c>
      <c r="B644" s="20">
        <f t="shared" si="14"/>
        <v>901.25</v>
      </c>
      <c r="M644" s="78">
        <f>IFERROR(__xludf.DUMMYFUNCTION("""COMPUTED_VALUE"""),44981.0)</f>
        <v>44981</v>
      </c>
      <c r="N644" s="74">
        <f>IFERROR(__xludf.DUMMYFUNCTION("""COMPUTED_VALUE"""),367.02)</f>
        <v>367.02</v>
      </c>
      <c r="O644" s="74" t="str">
        <f t="shared" si="18"/>
        <v>367,02</v>
      </c>
    </row>
    <row r="645">
      <c r="A645" s="86">
        <v>45285.0</v>
      </c>
      <c r="B645" s="20">
        <f t="shared" si="14"/>
        <v>941.96</v>
      </c>
      <c r="M645" s="78">
        <f>IFERROR(__xludf.DUMMYFUNCTION("""COMPUTED_VALUE"""),44980.0)</f>
        <v>44980</v>
      </c>
      <c r="N645" s="74">
        <f>IFERROR(__xludf.DUMMYFUNCTION("""COMPUTED_VALUE"""),367.03)</f>
        <v>367.03</v>
      </c>
      <c r="O645" s="74" t="str">
        <f t="shared" si="18"/>
        <v>367,03</v>
      </c>
    </row>
    <row r="646">
      <c r="A646" s="86">
        <v>45284.0</v>
      </c>
      <c r="B646" s="20" t="str">
        <f t="shared" si="14"/>
        <v>#N/A</v>
      </c>
      <c r="M646" s="78">
        <f>IFERROR(__xludf.DUMMYFUNCTION("""COMPUTED_VALUE"""),44979.0)</f>
        <v>44979</v>
      </c>
      <c r="N646" s="74">
        <f>IFERROR(__xludf.DUMMYFUNCTION("""COMPUTED_VALUE"""),368.46)</f>
        <v>368.46</v>
      </c>
      <c r="O646" s="74" t="str">
        <f t="shared" si="18"/>
        <v>368,46</v>
      </c>
    </row>
    <row r="647">
      <c r="A647" s="86">
        <v>45283.0</v>
      </c>
      <c r="B647" s="20" t="str">
        <f t="shared" si="14"/>
        <v>#N/A</v>
      </c>
      <c r="M647" s="78">
        <f>IFERROR(__xludf.DUMMYFUNCTION("""COMPUTED_VALUE"""),44978.0)</f>
        <v>44978</v>
      </c>
      <c r="N647" s="74">
        <f>IFERROR(__xludf.DUMMYFUNCTION("""COMPUTED_VALUE"""),369.8)</f>
        <v>369.8</v>
      </c>
      <c r="O647" s="74" t="str">
        <f t="shared" si="18"/>
        <v>369,8</v>
      </c>
    </row>
    <row r="648">
      <c r="A648" s="86">
        <v>45282.0</v>
      </c>
      <c r="B648" s="20">
        <f t="shared" si="14"/>
        <v>941.72</v>
      </c>
      <c r="M648" s="78">
        <f>IFERROR(__xludf.DUMMYFUNCTION("""COMPUTED_VALUE"""),44977.0)</f>
        <v>44977</v>
      </c>
      <c r="N648" s="74">
        <f>IFERROR(__xludf.DUMMYFUNCTION("""COMPUTED_VALUE"""),369.8)</f>
        <v>369.8</v>
      </c>
      <c r="O648" s="74" t="str">
        <f t="shared" si="18"/>
        <v>369,8</v>
      </c>
    </row>
    <row r="649">
      <c r="A649" s="86">
        <v>45281.0</v>
      </c>
      <c r="B649" s="20">
        <f t="shared" si="14"/>
        <v>944.88</v>
      </c>
      <c r="M649" s="78">
        <f>IFERROR(__xludf.DUMMYFUNCTION("""COMPUTED_VALUE"""),44974.0)</f>
        <v>44974</v>
      </c>
      <c r="N649" s="74">
        <f>IFERROR(__xludf.DUMMYFUNCTION("""COMPUTED_VALUE"""),369.8)</f>
        <v>369.8</v>
      </c>
      <c r="O649" s="74" t="str">
        <f t="shared" si="18"/>
        <v>369,8</v>
      </c>
    </row>
    <row r="650">
      <c r="A650" s="86">
        <v>45280.0</v>
      </c>
      <c r="B650" s="20">
        <f t="shared" si="14"/>
        <v>945.11</v>
      </c>
      <c r="M650" s="78">
        <f>IFERROR(__xludf.DUMMYFUNCTION("""COMPUTED_VALUE"""),44973.0)</f>
        <v>44973</v>
      </c>
      <c r="N650" s="74">
        <f>IFERROR(__xludf.DUMMYFUNCTION("""COMPUTED_VALUE"""),370.02)</f>
        <v>370.02</v>
      </c>
      <c r="O650" s="74" t="str">
        <f t="shared" si="18"/>
        <v>370,02</v>
      </c>
    </row>
    <row r="651">
      <c r="A651" s="86">
        <v>45279.0</v>
      </c>
      <c r="B651" s="20">
        <f t="shared" si="14"/>
        <v>951.01</v>
      </c>
      <c r="M651" s="78">
        <f>IFERROR(__xludf.DUMMYFUNCTION("""COMPUTED_VALUE"""),44972.0)</f>
        <v>44972</v>
      </c>
      <c r="N651" s="74">
        <f>IFERROR(__xludf.DUMMYFUNCTION("""COMPUTED_VALUE"""),368.52)</f>
        <v>368.52</v>
      </c>
      <c r="O651" s="74" t="str">
        <f t="shared" si="18"/>
        <v>368,52</v>
      </c>
    </row>
    <row r="652">
      <c r="A652" s="86">
        <v>45278.0</v>
      </c>
      <c r="B652" s="20">
        <f t="shared" si="14"/>
        <v>946.65</v>
      </c>
      <c r="M652" s="78">
        <f>IFERROR(__xludf.DUMMYFUNCTION("""COMPUTED_VALUE"""),44971.0)</f>
        <v>44971</v>
      </c>
      <c r="N652" s="74">
        <f>IFERROR(__xludf.DUMMYFUNCTION("""COMPUTED_VALUE"""),369.82)</f>
        <v>369.82</v>
      </c>
      <c r="O652" s="74" t="str">
        <f t="shared" si="18"/>
        <v>369,82</v>
      </c>
    </row>
    <row r="653">
      <c r="A653" s="86">
        <v>45277.0</v>
      </c>
      <c r="B653" s="20" t="str">
        <f t="shared" si="14"/>
        <v>#N/A</v>
      </c>
      <c r="M653" s="78">
        <f>IFERROR(__xludf.DUMMYFUNCTION("""COMPUTED_VALUE"""),44970.0)</f>
        <v>44970</v>
      </c>
      <c r="N653" s="74">
        <f>IFERROR(__xludf.DUMMYFUNCTION("""COMPUTED_VALUE"""),370.87)</f>
        <v>370.87</v>
      </c>
      <c r="O653" s="74" t="str">
        <f t="shared" si="18"/>
        <v>370,87</v>
      </c>
    </row>
    <row r="654">
      <c r="A654" s="86">
        <v>45276.0</v>
      </c>
      <c r="B654" s="20" t="str">
        <f t="shared" si="14"/>
        <v>#N/A</v>
      </c>
      <c r="M654" s="78">
        <f>IFERROR(__xludf.DUMMYFUNCTION("""COMPUTED_VALUE"""),44967.0)</f>
        <v>44967</v>
      </c>
      <c r="N654" s="74">
        <f>IFERROR(__xludf.DUMMYFUNCTION("""COMPUTED_VALUE"""),371.23)</f>
        <v>371.23</v>
      </c>
      <c r="O654" s="74" t="str">
        <f t="shared" si="18"/>
        <v>371,23</v>
      </c>
    </row>
    <row r="655">
      <c r="A655" s="86">
        <v>45275.0</v>
      </c>
      <c r="B655" s="20">
        <f t="shared" si="14"/>
        <v>997.17</v>
      </c>
      <c r="M655" s="78">
        <f>IFERROR(__xludf.DUMMYFUNCTION("""COMPUTED_VALUE"""),44966.0)</f>
        <v>44966</v>
      </c>
      <c r="N655" s="74">
        <f>IFERROR(__xludf.DUMMYFUNCTION("""COMPUTED_VALUE"""),371.6)</f>
        <v>371.6</v>
      </c>
      <c r="O655" s="74" t="str">
        <f t="shared" si="18"/>
        <v>371,6</v>
      </c>
    </row>
    <row r="656">
      <c r="A656" s="86">
        <v>45274.0</v>
      </c>
      <c r="B656" s="20">
        <f t="shared" si="14"/>
        <v>1016.71</v>
      </c>
      <c r="M656" s="78">
        <f>IFERROR(__xludf.DUMMYFUNCTION("""COMPUTED_VALUE"""),44965.0)</f>
        <v>44965</v>
      </c>
      <c r="N656" s="74">
        <f>IFERROR(__xludf.DUMMYFUNCTION("""COMPUTED_VALUE"""),366.13)</f>
        <v>366.13</v>
      </c>
      <c r="O656" s="74" t="str">
        <f t="shared" si="18"/>
        <v>366,13</v>
      </c>
    </row>
    <row r="657">
      <c r="A657" s="86">
        <v>45273.0</v>
      </c>
      <c r="B657" s="20">
        <f t="shared" si="14"/>
        <v>1008.09</v>
      </c>
      <c r="M657" s="78">
        <f>IFERROR(__xludf.DUMMYFUNCTION("""COMPUTED_VALUE"""),44964.0)</f>
        <v>44964</v>
      </c>
      <c r="N657" s="74">
        <f>IFERROR(__xludf.DUMMYFUNCTION("""COMPUTED_VALUE"""),366.16)</f>
        <v>366.16</v>
      </c>
      <c r="O657" s="74" t="str">
        <f t="shared" si="18"/>
        <v>366,16</v>
      </c>
    </row>
    <row r="658">
      <c r="A658" s="86">
        <v>45272.0</v>
      </c>
      <c r="B658" s="20">
        <f t="shared" si="14"/>
        <v>1032.95</v>
      </c>
      <c r="M658" s="78">
        <f>IFERROR(__xludf.DUMMYFUNCTION("""COMPUTED_VALUE"""),44963.0)</f>
        <v>44963</v>
      </c>
      <c r="N658" s="74">
        <f>IFERROR(__xludf.DUMMYFUNCTION("""COMPUTED_VALUE"""),365.71)</f>
        <v>365.71</v>
      </c>
      <c r="O658" s="74" t="str">
        <f t="shared" si="18"/>
        <v>365,71</v>
      </c>
    </row>
    <row r="659">
      <c r="A659" s="86">
        <v>45271.0</v>
      </c>
      <c r="B659" s="20">
        <f t="shared" si="14"/>
        <v>1000.55</v>
      </c>
      <c r="M659" s="78">
        <f>IFERROR(__xludf.DUMMYFUNCTION("""COMPUTED_VALUE"""),44960.0)</f>
        <v>44960</v>
      </c>
      <c r="N659" s="74">
        <f>IFERROR(__xludf.DUMMYFUNCTION("""COMPUTED_VALUE"""),362.95)</f>
        <v>362.95</v>
      </c>
      <c r="O659" s="74" t="str">
        <f t="shared" si="18"/>
        <v>362,95</v>
      </c>
    </row>
    <row r="660">
      <c r="A660" s="86">
        <v>45270.0</v>
      </c>
      <c r="B660" s="20" t="str">
        <f t="shared" si="14"/>
        <v>#N/A</v>
      </c>
      <c r="M660" s="78">
        <f>IFERROR(__xludf.DUMMYFUNCTION("""COMPUTED_VALUE"""),44959.0)</f>
        <v>44959</v>
      </c>
      <c r="N660" s="74">
        <f>IFERROR(__xludf.DUMMYFUNCTION("""COMPUTED_VALUE"""),366.83)</f>
        <v>366.83</v>
      </c>
      <c r="O660" s="74" t="str">
        <f t="shared" si="18"/>
        <v>366,83</v>
      </c>
    </row>
    <row r="661">
      <c r="A661" s="86">
        <v>45269.0</v>
      </c>
      <c r="B661" s="20" t="str">
        <f t="shared" si="14"/>
        <v>#N/A</v>
      </c>
      <c r="M661" s="78">
        <f>IFERROR(__xludf.DUMMYFUNCTION("""COMPUTED_VALUE"""),44958.0)</f>
        <v>44958</v>
      </c>
      <c r="N661" s="74">
        <f>IFERROR(__xludf.DUMMYFUNCTION("""COMPUTED_VALUE"""),367.07)</f>
        <v>367.07</v>
      </c>
      <c r="O661" s="74" t="str">
        <f t="shared" si="18"/>
        <v>367,07</v>
      </c>
    </row>
    <row r="662">
      <c r="A662" s="86">
        <v>45268.0</v>
      </c>
      <c r="B662" s="20">
        <f t="shared" si="14"/>
        <v>991.66</v>
      </c>
      <c r="M662" s="78">
        <f>IFERROR(__xludf.DUMMYFUNCTION("""COMPUTED_VALUE"""),44957.0)</f>
        <v>44957</v>
      </c>
      <c r="N662" s="74">
        <f>IFERROR(__xludf.DUMMYFUNCTION("""COMPUTED_VALUE"""),367.42)</f>
        <v>367.42</v>
      </c>
      <c r="O662" s="74" t="str">
        <f t="shared" si="18"/>
        <v>367,42</v>
      </c>
    </row>
    <row r="663">
      <c r="A663" s="86">
        <v>45267.0</v>
      </c>
      <c r="B663" s="20">
        <f t="shared" si="14"/>
        <v>991.83</v>
      </c>
      <c r="M663" s="78">
        <f>IFERROR(__xludf.DUMMYFUNCTION("""COMPUTED_VALUE"""),44956.0)</f>
        <v>44956</v>
      </c>
      <c r="N663" s="74">
        <f>IFERROR(__xludf.DUMMYFUNCTION("""COMPUTED_VALUE"""),369.52)</f>
        <v>369.52</v>
      </c>
      <c r="O663" s="74" t="str">
        <f t="shared" si="18"/>
        <v>369,52</v>
      </c>
    </row>
    <row r="664">
      <c r="A664" s="86">
        <v>45266.0</v>
      </c>
      <c r="B664" s="20">
        <f t="shared" si="14"/>
        <v>937.44</v>
      </c>
      <c r="M664" s="78">
        <f>IFERROR(__xludf.DUMMYFUNCTION("""COMPUTED_VALUE"""),44953.0)</f>
        <v>44953</v>
      </c>
      <c r="N664" s="74">
        <f>IFERROR(__xludf.DUMMYFUNCTION("""COMPUTED_VALUE"""),370.39)</f>
        <v>370.39</v>
      </c>
      <c r="O664" s="74" t="str">
        <f t="shared" si="18"/>
        <v>370,39</v>
      </c>
    </row>
    <row r="665">
      <c r="A665" s="86">
        <v>45265.0</v>
      </c>
      <c r="B665" s="20">
        <f t="shared" si="14"/>
        <v>909.52</v>
      </c>
      <c r="M665" s="78">
        <f>IFERROR(__xludf.DUMMYFUNCTION("""COMPUTED_VALUE"""),44952.0)</f>
        <v>44952</v>
      </c>
      <c r="N665" s="74">
        <f>IFERROR(__xludf.DUMMYFUNCTION("""COMPUTED_VALUE"""),369.39)</f>
        <v>369.39</v>
      </c>
      <c r="O665" s="74" t="str">
        <f t="shared" si="18"/>
        <v>369,39</v>
      </c>
    </row>
    <row r="666">
      <c r="A666" s="86">
        <v>45264.0</v>
      </c>
      <c r="B666" s="20">
        <f t="shared" si="14"/>
        <v>890.78</v>
      </c>
      <c r="M666" s="78">
        <f>IFERROR(__xludf.DUMMYFUNCTION("""COMPUTED_VALUE"""),44951.0)</f>
        <v>44951</v>
      </c>
      <c r="N666" s="74">
        <f>IFERROR(__xludf.DUMMYFUNCTION("""COMPUTED_VALUE"""),365.99)</f>
        <v>365.99</v>
      </c>
      <c r="O666" s="74" t="str">
        <f t="shared" si="18"/>
        <v>365,99</v>
      </c>
    </row>
    <row r="667">
      <c r="A667" s="86">
        <v>45263.0</v>
      </c>
      <c r="B667" s="20" t="str">
        <f t="shared" si="14"/>
        <v>#N/A</v>
      </c>
      <c r="M667" s="78">
        <f>IFERROR(__xludf.DUMMYFUNCTION("""COMPUTED_VALUE"""),44950.0)</f>
        <v>44950</v>
      </c>
      <c r="N667" s="74">
        <f>IFERROR(__xludf.DUMMYFUNCTION("""COMPUTED_VALUE"""),360.03)</f>
        <v>360.03</v>
      </c>
      <c r="O667" s="74" t="str">
        <f t="shared" si="18"/>
        <v>360,03</v>
      </c>
    </row>
    <row r="668">
      <c r="A668" s="86">
        <v>45262.0</v>
      </c>
      <c r="B668" s="20" t="str">
        <f t="shared" si="14"/>
        <v>#N/A</v>
      </c>
      <c r="M668" s="78">
        <f>IFERROR(__xludf.DUMMYFUNCTION("""COMPUTED_VALUE"""),44949.0)</f>
        <v>44949</v>
      </c>
      <c r="N668" s="74">
        <f>IFERROR(__xludf.DUMMYFUNCTION("""COMPUTED_VALUE"""),363.19)</f>
        <v>363.19</v>
      </c>
      <c r="O668" s="74" t="str">
        <f t="shared" si="18"/>
        <v>363,19</v>
      </c>
    </row>
    <row r="669">
      <c r="A669" s="86">
        <v>45261.0</v>
      </c>
      <c r="B669" s="20">
        <f t="shared" si="14"/>
        <v>904.36</v>
      </c>
      <c r="M669" s="78">
        <f>IFERROR(__xludf.DUMMYFUNCTION("""COMPUTED_VALUE"""),44946.0)</f>
        <v>44946</v>
      </c>
      <c r="N669" s="74">
        <f>IFERROR(__xludf.DUMMYFUNCTION("""COMPUTED_VALUE"""),360.98)</f>
        <v>360.98</v>
      </c>
      <c r="O669" s="74" t="str">
        <f t="shared" si="18"/>
        <v>360,98</v>
      </c>
    </row>
    <row r="670">
      <c r="A670" s="86">
        <v>45260.0</v>
      </c>
      <c r="B670" s="20">
        <f t="shared" si="14"/>
        <v>836.84</v>
      </c>
      <c r="M670" s="78">
        <f>IFERROR(__xludf.DUMMYFUNCTION("""COMPUTED_VALUE"""),44945.0)</f>
        <v>44945</v>
      </c>
      <c r="N670" s="74">
        <f>IFERROR(__xludf.DUMMYFUNCTION("""COMPUTED_VALUE"""),355.41)</f>
        <v>355.41</v>
      </c>
      <c r="O670" s="74" t="str">
        <f t="shared" si="18"/>
        <v>355,41</v>
      </c>
    </row>
    <row r="671">
      <c r="A671" s="86">
        <v>45259.0</v>
      </c>
      <c r="B671" s="20">
        <f t="shared" si="14"/>
        <v>820.27</v>
      </c>
      <c r="M671" s="78">
        <f>IFERROR(__xludf.DUMMYFUNCTION("""COMPUTED_VALUE"""),44944.0)</f>
        <v>44944</v>
      </c>
      <c r="N671" s="74">
        <f>IFERROR(__xludf.DUMMYFUNCTION("""COMPUTED_VALUE"""),351.82)</f>
        <v>351.82</v>
      </c>
      <c r="O671" s="74" t="str">
        <f t="shared" si="18"/>
        <v>351,82</v>
      </c>
    </row>
    <row r="672">
      <c r="A672" s="86">
        <v>45258.0</v>
      </c>
      <c r="B672" s="20">
        <f t="shared" si="14"/>
        <v>848.9</v>
      </c>
      <c r="M672" s="78">
        <f>IFERROR(__xludf.DUMMYFUNCTION("""COMPUTED_VALUE"""),44943.0)</f>
        <v>44943</v>
      </c>
      <c r="N672" s="74">
        <f>IFERROR(__xludf.DUMMYFUNCTION("""COMPUTED_VALUE"""),362.19)</f>
        <v>362.19</v>
      </c>
      <c r="O672" s="74" t="str">
        <f t="shared" si="18"/>
        <v>362,19</v>
      </c>
    </row>
    <row r="673">
      <c r="A673" s="86">
        <v>45257.0</v>
      </c>
      <c r="B673" s="20">
        <f t="shared" si="14"/>
        <v>858.28</v>
      </c>
      <c r="M673" s="78">
        <f>IFERROR(__xludf.DUMMYFUNCTION("""COMPUTED_VALUE"""),44942.0)</f>
        <v>44942</v>
      </c>
      <c r="N673" s="74">
        <f>IFERROR(__xludf.DUMMYFUNCTION("""COMPUTED_VALUE"""),356.38)</f>
        <v>356.38</v>
      </c>
      <c r="O673" s="74" t="str">
        <f t="shared" si="18"/>
        <v>356,38</v>
      </c>
    </row>
    <row r="674">
      <c r="A674" s="86">
        <v>45256.0</v>
      </c>
      <c r="B674" s="20" t="str">
        <f t="shared" si="14"/>
        <v>#N/A</v>
      </c>
      <c r="M674" s="78">
        <f>IFERROR(__xludf.DUMMYFUNCTION("""COMPUTED_VALUE"""),44939.0)</f>
        <v>44939</v>
      </c>
      <c r="N674" s="74">
        <f>IFERROR(__xludf.DUMMYFUNCTION("""COMPUTED_VALUE"""),349.26)</f>
        <v>349.26</v>
      </c>
      <c r="O674" s="74" t="str">
        <f t="shared" si="18"/>
        <v>349,26</v>
      </c>
    </row>
    <row r="675">
      <c r="A675" s="86">
        <v>45255.0</v>
      </c>
      <c r="B675" s="20" t="str">
        <f t="shared" si="14"/>
        <v>#N/A</v>
      </c>
      <c r="M675" s="78">
        <f>IFERROR(__xludf.DUMMYFUNCTION("""COMPUTED_VALUE"""),44938.0)</f>
        <v>44938</v>
      </c>
      <c r="N675" s="74">
        <f>IFERROR(__xludf.DUMMYFUNCTION("""COMPUTED_VALUE"""),343.57)</f>
        <v>343.57</v>
      </c>
      <c r="O675" s="74" t="str">
        <f t="shared" si="18"/>
        <v>343,57</v>
      </c>
    </row>
    <row r="676">
      <c r="A676" s="86">
        <v>45254.0</v>
      </c>
      <c r="B676" s="20">
        <f t="shared" si="14"/>
        <v>925.18</v>
      </c>
      <c r="M676" s="78">
        <f>IFERROR(__xludf.DUMMYFUNCTION("""COMPUTED_VALUE"""),44937.0)</f>
        <v>44937</v>
      </c>
      <c r="N676" s="74">
        <f>IFERROR(__xludf.DUMMYFUNCTION("""COMPUTED_VALUE"""),336.96)</f>
        <v>336.96</v>
      </c>
      <c r="O676" s="74" t="str">
        <f t="shared" si="18"/>
        <v>336,96</v>
      </c>
    </row>
    <row r="677">
      <c r="A677" s="86">
        <v>45253.0</v>
      </c>
      <c r="B677" s="20">
        <f t="shared" si="14"/>
        <v>962</v>
      </c>
      <c r="M677" s="78">
        <f>IFERROR(__xludf.DUMMYFUNCTION("""COMPUTED_VALUE"""),44936.0)</f>
        <v>44936</v>
      </c>
      <c r="N677" s="74">
        <f>IFERROR(__xludf.DUMMYFUNCTION("""COMPUTED_VALUE"""),331.97)</f>
        <v>331.97</v>
      </c>
      <c r="O677" s="74" t="str">
        <f t="shared" si="18"/>
        <v>331,97</v>
      </c>
    </row>
    <row r="678">
      <c r="A678" s="86">
        <v>45252.0</v>
      </c>
      <c r="B678" s="20">
        <f t="shared" si="14"/>
        <v>947.16</v>
      </c>
      <c r="M678" s="78">
        <f>IFERROR(__xludf.DUMMYFUNCTION("""COMPUTED_VALUE"""),44935.0)</f>
        <v>44935</v>
      </c>
      <c r="N678" s="74">
        <f>IFERROR(__xludf.DUMMYFUNCTION("""COMPUTED_VALUE"""),333.97)</f>
        <v>333.97</v>
      </c>
      <c r="O678" s="74" t="str">
        <f t="shared" si="18"/>
        <v>333,97</v>
      </c>
    </row>
    <row r="679">
      <c r="A679" s="86">
        <v>45251.0</v>
      </c>
      <c r="B679" s="20">
        <f t="shared" si="14"/>
        <v>881.85</v>
      </c>
      <c r="M679" s="78">
        <f>IFERROR(__xludf.DUMMYFUNCTION("""COMPUTED_VALUE"""),44932.0)</f>
        <v>44932</v>
      </c>
      <c r="N679" s="74">
        <f>IFERROR(__xludf.DUMMYFUNCTION("""COMPUTED_VALUE"""),338.92)</f>
        <v>338.92</v>
      </c>
      <c r="O679" s="74" t="str">
        <f t="shared" si="18"/>
        <v>338,92</v>
      </c>
    </row>
    <row r="680">
      <c r="A680" s="86">
        <v>45250.0</v>
      </c>
      <c r="B680" s="20">
        <f t="shared" si="14"/>
        <v>876.27</v>
      </c>
      <c r="M680" s="78">
        <f>IFERROR(__xludf.DUMMYFUNCTION("""COMPUTED_VALUE"""),44931.0)</f>
        <v>44931</v>
      </c>
      <c r="N680" s="74">
        <f>IFERROR(__xludf.DUMMYFUNCTION("""COMPUTED_VALUE"""),342.16)</f>
        <v>342.16</v>
      </c>
      <c r="O680" s="74" t="str">
        <f t="shared" si="18"/>
        <v>342,16</v>
      </c>
    </row>
    <row r="681">
      <c r="A681" s="86">
        <v>45249.0</v>
      </c>
      <c r="B681" s="20" t="str">
        <f t="shared" si="14"/>
        <v>#N/A</v>
      </c>
      <c r="M681" s="78">
        <f>IFERROR(__xludf.DUMMYFUNCTION("""COMPUTED_VALUE"""),44930.0)</f>
        <v>44930</v>
      </c>
      <c r="N681" s="74">
        <f>IFERROR(__xludf.DUMMYFUNCTION("""COMPUTED_VALUE"""),339.48)</f>
        <v>339.48</v>
      </c>
      <c r="O681" s="74" t="str">
        <f t="shared" si="18"/>
        <v>339,48</v>
      </c>
    </row>
    <row r="682">
      <c r="A682" s="86">
        <v>45248.0</v>
      </c>
      <c r="B682" s="20" t="str">
        <f t="shared" si="14"/>
        <v>#N/A</v>
      </c>
      <c r="M682" s="78">
        <f>IFERROR(__xludf.DUMMYFUNCTION("""COMPUTED_VALUE"""),44929.0)</f>
        <v>44929</v>
      </c>
      <c r="N682" s="74">
        <f>IFERROR(__xludf.DUMMYFUNCTION("""COMPUTED_VALUE"""),344.44)</f>
        <v>344.44</v>
      </c>
      <c r="O682" s="74" t="str">
        <f t="shared" si="18"/>
        <v>344,44</v>
      </c>
    </row>
    <row r="683">
      <c r="A683" s="86">
        <v>45247.0</v>
      </c>
      <c r="B683" s="20">
        <f t="shared" si="14"/>
        <v>876.96</v>
      </c>
      <c r="M683" s="78">
        <f>IFERROR(__xludf.DUMMYFUNCTION("""COMPUTED_VALUE"""),44928.0)</f>
        <v>44928</v>
      </c>
      <c r="N683" s="74">
        <f>IFERROR(__xludf.DUMMYFUNCTION("""COMPUTED_VALUE"""),344.88)</f>
        <v>344.88</v>
      </c>
      <c r="O683" s="74" t="str">
        <f t="shared" si="18"/>
        <v>344,88</v>
      </c>
    </row>
    <row r="684">
      <c r="A684" s="86">
        <v>45246.0</v>
      </c>
      <c r="B684" s="20">
        <f t="shared" si="14"/>
        <v>870.26</v>
      </c>
      <c r="M684" s="78">
        <f>IFERROR(__xludf.DUMMYFUNCTION("""COMPUTED_VALUE"""),44925.0)</f>
        <v>44925</v>
      </c>
      <c r="N684" s="74">
        <f>IFERROR(__xludf.DUMMYFUNCTION("""COMPUTED_VALUE"""),344.13)</f>
        <v>344.13</v>
      </c>
      <c r="O684" s="74" t="str">
        <f t="shared" si="18"/>
        <v>344,13</v>
      </c>
    </row>
    <row r="685">
      <c r="A685" s="86">
        <v>45245.0</v>
      </c>
      <c r="B685" s="20">
        <f t="shared" si="14"/>
        <v>875.19</v>
      </c>
      <c r="M685" s="78">
        <f>IFERROR(__xludf.DUMMYFUNCTION("""COMPUTED_VALUE"""),44924.0)</f>
        <v>44924</v>
      </c>
      <c r="N685" s="74">
        <f>IFERROR(__xludf.DUMMYFUNCTION("""COMPUTED_VALUE"""),340.5)</f>
        <v>340.5</v>
      </c>
      <c r="O685" s="74" t="str">
        <f t="shared" si="18"/>
        <v>340,5</v>
      </c>
    </row>
    <row r="686">
      <c r="A686" s="86">
        <v>45244.0</v>
      </c>
      <c r="B686" s="20">
        <f t="shared" si="14"/>
        <v>875.28</v>
      </c>
      <c r="M686" s="78">
        <f>IFERROR(__xludf.DUMMYFUNCTION("""COMPUTED_VALUE"""),44923.0)</f>
        <v>44923</v>
      </c>
      <c r="N686" s="74">
        <f>IFERROR(__xludf.DUMMYFUNCTION("""COMPUTED_VALUE"""),346.15)</f>
        <v>346.15</v>
      </c>
      <c r="O686" s="74" t="str">
        <f t="shared" si="18"/>
        <v>346,15</v>
      </c>
    </row>
    <row r="687">
      <c r="A687" s="86">
        <v>45243.0</v>
      </c>
      <c r="B687" s="20">
        <f t="shared" si="14"/>
        <v>878.29</v>
      </c>
      <c r="M687" s="78">
        <f>IFERROR(__xludf.DUMMYFUNCTION("""COMPUTED_VALUE"""),44922.0)</f>
        <v>44922</v>
      </c>
      <c r="N687" s="74">
        <f>IFERROR(__xludf.DUMMYFUNCTION("""COMPUTED_VALUE"""),337.49)</f>
        <v>337.49</v>
      </c>
      <c r="O687" s="74" t="str">
        <f t="shared" si="18"/>
        <v>337,49</v>
      </c>
    </row>
    <row r="688">
      <c r="A688" s="86">
        <v>45242.0</v>
      </c>
      <c r="B688" s="20" t="str">
        <f t="shared" si="14"/>
        <v>#N/A</v>
      </c>
      <c r="M688" s="78">
        <f>IFERROR(__xludf.DUMMYFUNCTION("""COMPUTED_VALUE"""),44921.0)</f>
        <v>44921</v>
      </c>
      <c r="N688" s="74">
        <f>IFERROR(__xludf.DUMMYFUNCTION("""COMPUTED_VALUE"""),334.85)</f>
        <v>334.85</v>
      </c>
      <c r="O688" s="74" t="str">
        <f t="shared" si="18"/>
        <v>334,85</v>
      </c>
    </row>
    <row r="689">
      <c r="A689" s="86">
        <v>45241.0</v>
      </c>
      <c r="B689" s="20" t="str">
        <f t="shared" si="14"/>
        <v>#N/A</v>
      </c>
      <c r="M689" s="78">
        <f>IFERROR(__xludf.DUMMYFUNCTION("""COMPUTED_VALUE"""),44918.0)</f>
        <v>44918</v>
      </c>
      <c r="N689" s="74">
        <f>IFERROR(__xludf.DUMMYFUNCTION("""COMPUTED_VALUE"""),333.16)</f>
        <v>333.16</v>
      </c>
      <c r="O689" s="74" t="str">
        <f t="shared" si="18"/>
        <v>333,16</v>
      </c>
    </row>
    <row r="690">
      <c r="A690" s="86">
        <v>45240.0</v>
      </c>
      <c r="B690" s="20">
        <f t="shared" si="14"/>
        <v>877.02</v>
      </c>
      <c r="M690" s="78">
        <f>IFERROR(__xludf.DUMMYFUNCTION("""COMPUTED_VALUE"""),44917.0)</f>
        <v>44917</v>
      </c>
      <c r="N690" s="74">
        <f>IFERROR(__xludf.DUMMYFUNCTION("""COMPUTED_VALUE"""),333.48)</f>
        <v>333.48</v>
      </c>
      <c r="O690" s="74" t="str">
        <f t="shared" si="18"/>
        <v>333,48</v>
      </c>
    </row>
    <row r="691">
      <c r="A691" s="86">
        <v>45239.0</v>
      </c>
      <c r="B691" s="20">
        <f t="shared" si="14"/>
        <v>871.33</v>
      </c>
      <c r="M691" s="78">
        <f>IFERROR(__xludf.DUMMYFUNCTION("""COMPUTED_VALUE"""),44916.0)</f>
        <v>44916</v>
      </c>
      <c r="N691" s="74">
        <f>IFERROR(__xludf.DUMMYFUNCTION("""COMPUTED_VALUE"""),332.95)</f>
        <v>332.95</v>
      </c>
      <c r="O691" s="74" t="str">
        <f t="shared" si="18"/>
        <v>332,95</v>
      </c>
    </row>
    <row r="692">
      <c r="A692" s="86">
        <v>45238.0</v>
      </c>
      <c r="B692" s="20">
        <f t="shared" si="14"/>
        <v>823.26</v>
      </c>
      <c r="M692" s="78">
        <f>IFERROR(__xludf.DUMMYFUNCTION("""COMPUTED_VALUE"""),44915.0)</f>
        <v>44915</v>
      </c>
      <c r="N692" s="74">
        <f>IFERROR(__xludf.DUMMYFUNCTION("""COMPUTED_VALUE"""),331.58)</f>
        <v>331.58</v>
      </c>
      <c r="O692" s="74" t="str">
        <f t="shared" si="18"/>
        <v>331,58</v>
      </c>
    </row>
    <row r="693">
      <c r="A693" s="86">
        <v>45237.0</v>
      </c>
      <c r="B693" s="20">
        <f t="shared" si="14"/>
        <v>857.74</v>
      </c>
      <c r="M693" s="78">
        <f>IFERROR(__xludf.DUMMYFUNCTION("""COMPUTED_VALUE"""),44914.0)</f>
        <v>44914</v>
      </c>
      <c r="N693" s="74">
        <f>IFERROR(__xludf.DUMMYFUNCTION("""COMPUTED_VALUE"""),332.43)</f>
        <v>332.43</v>
      </c>
      <c r="O693" s="74" t="str">
        <f t="shared" si="18"/>
        <v>332,43</v>
      </c>
    </row>
    <row r="694">
      <c r="A694" s="86">
        <v>45236.0</v>
      </c>
      <c r="B694" s="20">
        <f t="shared" si="14"/>
        <v>868.08</v>
      </c>
      <c r="M694" s="78">
        <f>IFERROR(__xludf.DUMMYFUNCTION("""COMPUTED_VALUE"""),44911.0)</f>
        <v>44911</v>
      </c>
      <c r="N694" s="74">
        <f>IFERROR(__xludf.DUMMYFUNCTION("""COMPUTED_VALUE"""),332.31)</f>
        <v>332.31</v>
      </c>
      <c r="O694" s="74" t="str">
        <f t="shared" si="18"/>
        <v>332,31</v>
      </c>
    </row>
    <row r="695">
      <c r="A695" s="86">
        <v>45235.0</v>
      </c>
      <c r="B695" s="20" t="str">
        <f t="shared" si="14"/>
        <v>#N/A</v>
      </c>
      <c r="M695" s="78">
        <f>IFERROR(__xludf.DUMMYFUNCTION("""COMPUTED_VALUE"""),44910.0)</f>
        <v>44910</v>
      </c>
      <c r="N695" s="74">
        <f>IFERROR(__xludf.DUMMYFUNCTION("""COMPUTED_VALUE"""),332.67)</f>
        <v>332.67</v>
      </c>
      <c r="O695" s="74" t="str">
        <f t="shared" si="18"/>
        <v>332,67</v>
      </c>
    </row>
    <row r="696">
      <c r="A696" s="86">
        <v>45234.0</v>
      </c>
      <c r="B696" s="20" t="str">
        <f t="shared" si="14"/>
        <v>#N/A</v>
      </c>
      <c r="M696" s="78">
        <f>IFERROR(__xludf.DUMMYFUNCTION("""COMPUTED_VALUE"""),44909.0)</f>
        <v>44909</v>
      </c>
      <c r="N696" s="74">
        <f>IFERROR(__xludf.DUMMYFUNCTION("""COMPUTED_VALUE"""),330.13)</f>
        <v>330.13</v>
      </c>
      <c r="O696" s="74" t="str">
        <f t="shared" si="18"/>
        <v>330,13</v>
      </c>
    </row>
    <row r="697">
      <c r="A697" s="86">
        <v>45233.0</v>
      </c>
      <c r="B697" s="20">
        <f t="shared" si="14"/>
        <v>868.08</v>
      </c>
      <c r="M697" s="78">
        <f>IFERROR(__xludf.DUMMYFUNCTION("""COMPUTED_VALUE"""),44908.0)</f>
        <v>44908</v>
      </c>
      <c r="N697" s="74">
        <f>IFERROR(__xludf.DUMMYFUNCTION("""COMPUTED_VALUE"""),333.68)</f>
        <v>333.68</v>
      </c>
      <c r="O697" s="74" t="str">
        <f t="shared" si="18"/>
        <v>333,68</v>
      </c>
    </row>
    <row r="698">
      <c r="A698" s="86">
        <v>45232.0</v>
      </c>
      <c r="B698" s="20">
        <f t="shared" si="14"/>
        <v>883.21</v>
      </c>
      <c r="M698" s="78">
        <f>IFERROR(__xludf.DUMMYFUNCTION("""COMPUTED_VALUE"""),44907.0)</f>
        <v>44907</v>
      </c>
      <c r="N698" s="74">
        <f>IFERROR(__xludf.DUMMYFUNCTION("""COMPUTED_VALUE"""),332.38)</f>
        <v>332.38</v>
      </c>
      <c r="O698" s="74" t="str">
        <f t="shared" si="18"/>
        <v>332,38</v>
      </c>
    </row>
    <row r="699">
      <c r="A699" s="86">
        <v>45231.0</v>
      </c>
      <c r="B699" s="20">
        <f t="shared" si="14"/>
        <v>883.05</v>
      </c>
      <c r="M699" s="78">
        <f>IFERROR(__xludf.DUMMYFUNCTION("""COMPUTED_VALUE"""),44904.0)</f>
        <v>44904</v>
      </c>
      <c r="N699" s="74">
        <f>IFERROR(__xludf.DUMMYFUNCTION("""COMPUTED_VALUE"""),338.09)</f>
        <v>338.09</v>
      </c>
      <c r="O699" s="74" t="str">
        <f t="shared" si="18"/>
        <v>338,09</v>
      </c>
    </row>
    <row r="700">
      <c r="A700" s="86">
        <v>45230.0</v>
      </c>
      <c r="B700" s="20">
        <f t="shared" si="14"/>
        <v>864.84</v>
      </c>
      <c r="M700" s="78">
        <f>IFERROR(__xludf.DUMMYFUNCTION("""COMPUTED_VALUE"""),44903.0)</f>
        <v>44903</v>
      </c>
      <c r="N700" s="74">
        <f>IFERROR(__xludf.DUMMYFUNCTION("""COMPUTED_VALUE"""),338.09)</f>
        <v>338.09</v>
      </c>
      <c r="O700" s="74" t="str">
        <f t="shared" si="18"/>
        <v>338,09</v>
      </c>
    </row>
    <row r="701">
      <c r="A701" s="86">
        <v>45229.0</v>
      </c>
      <c r="B701" s="20">
        <f t="shared" si="14"/>
        <v>853.07</v>
      </c>
      <c r="M701" s="78">
        <f>IFERROR(__xludf.DUMMYFUNCTION("""COMPUTED_VALUE"""),44902.0)</f>
        <v>44902</v>
      </c>
      <c r="N701" s="74">
        <f>IFERROR(__xludf.DUMMYFUNCTION("""COMPUTED_VALUE"""),338.09)</f>
        <v>338.09</v>
      </c>
      <c r="O701" s="74" t="str">
        <f t="shared" si="18"/>
        <v>338,09</v>
      </c>
    </row>
    <row r="702">
      <c r="A702" s="86">
        <v>45228.0</v>
      </c>
      <c r="B702" s="20" t="str">
        <f t="shared" si="14"/>
        <v>#N/A</v>
      </c>
      <c r="M702" s="78">
        <f>IFERROR(__xludf.DUMMYFUNCTION("""COMPUTED_VALUE"""),44901.0)</f>
        <v>44901</v>
      </c>
      <c r="N702" s="74">
        <f>IFERROR(__xludf.DUMMYFUNCTION("""COMPUTED_VALUE"""),340.4)</f>
        <v>340.4</v>
      </c>
      <c r="O702" s="74" t="str">
        <f t="shared" si="18"/>
        <v>340,4</v>
      </c>
    </row>
    <row r="703">
      <c r="A703" s="86">
        <v>45227.0</v>
      </c>
      <c r="B703" s="20" t="str">
        <f t="shared" si="14"/>
        <v>#N/A</v>
      </c>
      <c r="M703" s="78">
        <f>IFERROR(__xludf.DUMMYFUNCTION("""COMPUTED_VALUE"""),44900.0)</f>
        <v>44900</v>
      </c>
      <c r="N703" s="74">
        <f>IFERROR(__xludf.DUMMYFUNCTION("""COMPUTED_VALUE"""),330.47)</f>
        <v>330.47</v>
      </c>
      <c r="O703" s="74" t="str">
        <f t="shared" si="18"/>
        <v>330,47</v>
      </c>
    </row>
    <row r="704">
      <c r="A704" s="86">
        <v>45226.0</v>
      </c>
      <c r="B704" s="20">
        <f t="shared" si="14"/>
        <v>859.73</v>
      </c>
      <c r="M704" s="78">
        <f>IFERROR(__xludf.DUMMYFUNCTION("""COMPUTED_VALUE"""),44897.0)</f>
        <v>44897</v>
      </c>
      <c r="N704" s="74">
        <f>IFERROR(__xludf.DUMMYFUNCTION("""COMPUTED_VALUE"""),327.0)</f>
        <v>327</v>
      </c>
      <c r="O704" s="74" t="str">
        <f t="shared" si="18"/>
        <v>327</v>
      </c>
    </row>
    <row r="705">
      <c r="A705" s="86">
        <v>45225.0</v>
      </c>
      <c r="B705" s="20">
        <f t="shared" si="14"/>
        <v>872.78</v>
      </c>
      <c r="M705" s="78">
        <f>IFERROR(__xludf.DUMMYFUNCTION("""COMPUTED_VALUE"""),44896.0)</f>
        <v>44896</v>
      </c>
      <c r="N705" s="74">
        <f>IFERROR(__xludf.DUMMYFUNCTION("""COMPUTED_VALUE"""),323.72)</f>
        <v>323.72</v>
      </c>
      <c r="O705" s="74" t="str">
        <f t="shared" si="18"/>
        <v>323,72</v>
      </c>
    </row>
    <row r="706">
      <c r="A706" s="86">
        <v>45224.0</v>
      </c>
      <c r="B706" s="20">
        <f t="shared" si="14"/>
        <v>888.91</v>
      </c>
      <c r="M706" s="78">
        <f>IFERROR(__xludf.DUMMYFUNCTION("""COMPUTED_VALUE"""),44895.0)</f>
        <v>44895</v>
      </c>
      <c r="N706" s="74">
        <f>IFERROR(__xludf.DUMMYFUNCTION("""COMPUTED_VALUE"""),322.75)</f>
        <v>322.75</v>
      </c>
      <c r="O706" s="74" t="str">
        <f t="shared" si="18"/>
        <v>322,75</v>
      </c>
    </row>
    <row r="707">
      <c r="A707" s="86">
        <v>45223.0</v>
      </c>
      <c r="B707" s="20">
        <f t="shared" si="14"/>
        <v>887.88</v>
      </c>
      <c r="M707" s="78">
        <f>IFERROR(__xludf.DUMMYFUNCTION("""COMPUTED_VALUE"""),44894.0)</f>
        <v>44894</v>
      </c>
      <c r="N707" s="74">
        <f>IFERROR(__xludf.DUMMYFUNCTION("""COMPUTED_VALUE"""),322.74)</f>
        <v>322.74</v>
      </c>
      <c r="O707" s="74" t="str">
        <f t="shared" si="18"/>
        <v>322,74</v>
      </c>
    </row>
    <row r="708">
      <c r="A708" s="86">
        <v>45222.0</v>
      </c>
      <c r="B708" s="20">
        <f t="shared" si="14"/>
        <v>935.45</v>
      </c>
      <c r="M708" s="78">
        <f>IFERROR(__xludf.DUMMYFUNCTION("""COMPUTED_VALUE"""),44893.0)</f>
        <v>44893</v>
      </c>
      <c r="N708" s="74">
        <f>IFERROR(__xludf.DUMMYFUNCTION("""COMPUTED_VALUE"""),322.49)</f>
        <v>322.49</v>
      </c>
      <c r="O708" s="74" t="str">
        <f t="shared" si="18"/>
        <v>322,49</v>
      </c>
    </row>
    <row r="709">
      <c r="A709" s="86">
        <v>45221.0</v>
      </c>
      <c r="B709" s="20" t="str">
        <f t="shared" si="14"/>
        <v>#N/A</v>
      </c>
      <c r="M709" s="78">
        <f>IFERROR(__xludf.DUMMYFUNCTION("""COMPUTED_VALUE"""),44890.0)</f>
        <v>44890</v>
      </c>
      <c r="N709" s="74">
        <f>IFERROR(__xludf.DUMMYFUNCTION("""COMPUTED_VALUE"""),323.02)</f>
        <v>323.02</v>
      </c>
      <c r="O709" s="74" t="str">
        <f t="shared" si="18"/>
        <v>323,02</v>
      </c>
    </row>
    <row r="710">
      <c r="A710" s="17"/>
      <c r="B710" s="20"/>
      <c r="M710" s="78">
        <f>IFERROR(__xludf.DUMMYFUNCTION("""COMPUTED_VALUE"""),44889.0)</f>
        <v>44889</v>
      </c>
      <c r="N710" s="74">
        <f>IFERROR(__xludf.DUMMYFUNCTION("""COMPUTED_VALUE"""),322.61)</f>
        <v>322.61</v>
      </c>
      <c r="O710" s="74" t="str">
        <f t="shared" si="18"/>
        <v>322,61</v>
      </c>
    </row>
    <row r="711">
      <c r="A711" s="17"/>
      <c r="B711" s="15"/>
      <c r="M711" s="78">
        <f>IFERROR(__xludf.DUMMYFUNCTION("""COMPUTED_VALUE"""),44888.0)</f>
        <v>44888</v>
      </c>
      <c r="N711" s="74">
        <f>IFERROR(__xludf.DUMMYFUNCTION("""COMPUTED_VALUE"""),325.72)</f>
        <v>325.72</v>
      </c>
      <c r="O711" s="74" t="str">
        <f t="shared" si="18"/>
        <v>325,72</v>
      </c>
    </row>
    <row r="712">
      <c r="A712" s="17"/>
      <c r="B712" s="15"/>
      <c r="M712" s="78">
        <f>IFERROR(__xludf.DUMMYFUNCTION("""COMPUTED_VALUE"""),44887.0)</f>
        <v>44887</v>
      </c>
      <c r="N712" s="74">
        <f>IFERROR(__xludf.DUMMYFUNCTION("""COMPUTED_VALUE"""),330.95)</f>
        <v>330.95</v>
      </c>
      <c r="O712" s="74" t="str">
        <f t="shared" si="18"/>
        <v>330,95</v>
      </c>
    </row>
    <row r="713">
      <c r="A713" s="17"/>
      <c r="B713" s="15"/>
      <c r="M713" s="78">
        <f>IFERROR(__xludf.DUMMYFUNCTION("""COMPUTED_VALUE"""),44886.0)</f>
        <v>44886</v>
      </c>
      <c r="N713" s="74">
        <f>IFERROR(__xludf.DUMMYFUNCTION("""COMPUTED_VALUE"""),332.24)</f>
        <v>332.24</v>
      </c>
      <c r="O713" s="74" t="str">
        <f t="shared" si="18"/>
        <v>332,24</v>
      </c>
    </row>
    <row r="714">
      <c r="A714" s="17"/>
      <c r="B714" s="15"/>
      <c r="M714" s="78">
        <f>IFERROR(__xludf.DUMMYFUNCTION("""COMPUTED_VALUE"""),44883.0)</f>
        <v>44883</v>
      </c>
      <c r="N714" s="74">
        <f>IFERROR(__xludf.DUMMYFUNCTION("""COMPUTED_VALUE"""),332.24)</f>
        <v>332.24</v>
      </c>
      <c r="O714" s="74" t="str">
        <f t="shared" si="18"/>
        <v>332,24</v>
      </c>
    </row>
    <row r="715">
      <c r="A715" s="17"/>
      <c r="B715" s="15"/>
      <c r="M715" s="78">
        <f>IFERROR(__xludf.DUMMYFUNCTION("""COMPUTED_VALUE"""),44882.0)</f>
        <v>44882</v>
      </c>
      <c r="N715" s="74">
        <f>IFERROR(__xludf.DUMMYFUNCTION("""COMPUTED_VALUE"""),334.79)</f>
        <v>334.79</v>
      </c>
      <c r="O715" s="74" t="str">
        <f t="shared" si="18"/>
        <v>334,79</v>
      </c>
    </row>
    <row r="716">
      <c r="A716" s="17"/>
      <c r="B716" s="15"/>
      <c r="M716" s="78">
        <f>IFERROR(__xludf.DUMMYFUNCTION("""COMPUTED_VALUE"""),44881.0)</f>
        <v>44881</v>
      </c>
      <c r="N716" s="74">
        <f>IFERROR(__xludf.DUMMYFUNCTION("""COMPUTED_VALUE"""),324.62)</f>
        <v>324.62</v>
      </c>
      <c r="O716" s="74" t="str">
        <f t="shared" si="18"/>
        <v>324,62</v>
      </c>
    </row>
    <row r="717">
      <c r="A717" s="17"/>
      <c r="B717" s="15"/>
      <c r="M717" s="78">
        <f>IFERROR(__xludf.DUMMYFUNCTION("""COMPUTED_VALUE"""),44880.0)</f>
        <v>44880</v>
      </c>
      <c r="N717" s="74">
        <f>IFERROR(__xludf.DUMMYFUNCTION("""COMPUTED_VALUE"""),319.12)</f>
        <v>319.12</v>
      </c>
      <c r="O717" s="74" t="str">
        <f t="shared" si="18"/>
        <v>319,12</v>
      </c>
    </row>
    <row r="718">
      <c r="A718" s="17"/>
      <c r="B718" s="15"/>
      <c r="M718" s="78">
        <f>IFERROR(__xludf.DUMMYFUNCTION("""COMPUTED_VALUE"""),44879.0)</f>
        <v>44879</v>
      </c>
      <c r="N718" s="74">
        <f>IFERROR(__xludf.DUMMYFUNCTION("""COMPUTED_VALUE"""),310.45)</f>
        <v>310.45</v>
      </c>
      <c r="O718" s="74" t="str">
        <f t="shared" si="18"/>
        <v>310,45</v>
      </c>
    </row>
    <row r="719">
      <c r="A719" s="17"/>
      <c r="B719" s="15"/>
      <c r="M719" s="78">
        <f>IFERROR(__xludf.DUMMYFUNCTION("""COMPUTED_VALUE"""),44876.0)</f>
        <v>44876</v>
      </c>
      <c r="N719" s="74">
        <f>IFERROR(__xludf.DUMMYFUNCTION("""COMPUTED_VALUE"""),309.77)</f>
        <v>309.77</v>
      </c>
      <c r="O719" s="74" t="str">
        <f t="shared" si="18"/>
        <v>309,77</v>
      </c>
    </row>
    <row r="720">
      <c r="A720" s="17"/>
      <c r="B720" s="15"/>
      <c r="M720" s="78">
        <f>IFERROR(__xludf.DUMMYFUNCTION("""COMPUTED_VALUE"""),44875.0)</f>
        <v>44875</v>
      </c>
      <c r="N720" s="74">
        <f>IFERROR(__xludf.DUMMYFUNCTION("""COMPUTED_VALUE"""),308.69)</f>
        <v>308.69</v>
      </c>
      <c r="O720" s="74" t="str">
        <f t="shared" si="18"/>
        <v>308,69</v>
      </c>
    </row>
    <row r="721">
      <c r="A721" s="17"/>
      <c r="B721" s="15"/>
      <c r="M721" s="78">
        <f>IFERROR(__xludf.DUMMYFUNCTION("""COMPUTED_VALUE"""),44874.0)</f>
        <v>44874</v>
      </c>
      <c r="N721" s="74">
        <f>IFERROR(__xludf.DUMMYFUNCTION("""COMPUTED_VALUE"""),307.98)</f>
        <v>307.98</v>
      </c>
      <c r="O721" s="74" t="str">
        <f t="shared" si="18"/>
        <v>307,98</v>
      </c>
    </row>
    <row r="722">
      <c r="A722" s="17"/>
      <c r="B722" s="15"/>
      <c r="M722" s="78">
        <f>IFERROR(__xludf.DUMMYFUNCTION("""COMPUTED_VALUE"""),44873.0)</f>
        <v>44873</v>
      </c>
      <c r="N722" s="74">
        <f>IFERROR(__xludf.DUMMYFUNCTION("""COMPUTED_VALUE"""),301.24)</f>
        <v>301.24</v>
      </c>
      <c r="O722" s="74" t="str">
        <f t="shared" si="18"/>
        <v>301,24</v>
      </c>
    </row>
    <row r="723">
      <c r="A723" s="17"/>
      <c r="B723" s="15"/>
      <c r="M723" s="78">
        <f>IFERROR(__xludf.DUMMYFUNCTION("""COMPUTED_VALUE"""),44872.0)</f>
        <v>44872</v>
      </c>
      <c r="N723" s="74">
        <f>IFERROR(__xludf.DUMMYFUNCTION("""COMPUTED_VALUE"""),303.47)</f>
        <v>303.47</v>
      </c>
      <c r="O723" s="74" t="str">
        <f t="shared" si="18"/>
        <v>303,47</v>
      </c>
    </row>
    <row r="724">
      <c r="A724" s="17"/>
      <c r="B724" s="15"/>
      <c r="M724" s="78">
        <f>IFERROR(__xludf.DUMMYFUNCTION("""COMPUTED_VALUE"""),44869.0)</f>
        <v>44869</v>
      </c>
      <c r="N724" s="74">
        <f>IFERROR(__xludf.DUMMYFUNCTION("""COMPUTED_VALUE"""),304.55)</f>
        <v>304.55</v>
      </c>
      <c r="O724" s="74" t="str">
        <f t="shared" si="18"/>
        <v>304,55</v>
      </c>
    </row>
    <row r="725">
      <c r="A725" s="17"/>
      <c r="B725" s="15"/>
      <c r="M725" s="78">
        <f>IFERROR(__xludf.DUMMYFUNCTION("""COMPUTED_VALUE"""),44868.0)</f>
        <v>44868</v>
      </c>
      <c r="N725" s="74">
        <f>IFERROR(__xludf.DUMMYFUNCTION("""COMPUTED_VALUE"""),304.93)</f>
        <v>304.93</v>
      </c>
      <c r="O725" s="74" t="str">
        <f t="shared" si="18"/>
        <v>304,93</v>
      </c>
    </row>
    <row r="726">
      <c r="A726" s="17"/>
      <c r="B726" s="15"/>
      <c r="M726" s="78">
        <f>IFERROR(__xludf.DUMMYFUNCTION("""COMPUTED_VALUE"""),44867.0)</f>
        <v>44867</v>
      </c>
      <c r="N726" s="74">
        <f>IFERROR(__xludf.DUMMYFUNCTION("""COMPUTED_VALUE"""),303.38)</f>
        <v>303.38</v>
      </c>
      <c r="O726" s="74" t="str">
        <f t="shared" si="18"/>
        <v>303,38</v>
      </c>
    </row>
    <row r="727">
      <c r="A727" s="17"/>
      <c r="B727" s="15"/>
      <c r="M727" s="78">
        <f>IFERROR(__xludf.DUMMYFUNCTION("""COMPUTED_VALUE"""),44866.0)</f>
        <v>44866</v>
      </c>
      <c r="N727" s="74">
        <f>IFERROR(__xludf.DUMMYFUNCTION("""COMPUTED_VALUE"""),303.67)</f>
        <v>303.67</v>
      </c>
      <c r="O727" s="74" t="str">
        <f t="shared" si="18"/>
        <v>303,67</v>
      </c>
    </row>
    <row r="728">
      <c r="A728" s="17"/>
      <c r="B728" s="15"/>
      <c r="M728" s="78">
        <f>IFERROR(__xludf.DUMMYFUNCTION("""COMPUTED_VALUE"""),44865.0)</f>
        <v>44865</v>
      </c>
      <c r="N728" s="74">
        <f>IFERROR(__xludf.DUMMYFUNCTION("""COMPUTED_VALUE"""),307.42)</f>
        <v>307.42</v>
      </c>
      <c r="O728" s="74" t="str">
        <f t="shared" si="18"/>
        <v>307,42</v>
      </c>
    </row>
    <row r="729">
      <c r="A729" s="17"/>
      <c r="B729" s="15"/>
      <c r="M729" s="78">
        <f>IFERROR(__xludf.DUMMYFUNCTION("""COMPUTED_VALUE"""),44862.0)</f>
        <v>44862</v>
      </c>
      <c r="N729" s="74">
        <f>IFERROR(__xludf.DUMMYFUNCTION("""COMPUTED_VALUE"""),305.8)</f>
        <v>305.8</v>
      </c>
      <c r="O729" s="74" t="str">
        <f t="shared" si="18"/>
        <v>305,8</v>
      </c>
    </row>
    <row r="730">
      <c r="A730" s="17"/>
      <c r="B730" s="15"/>
      <c r="M730" s="78">
        <f>IFERROR(__xludf.DUMMYFUNCTION("""COMPUTED_VALUE"""),44861.0)</f>
        <v>44861</v>
      </c>
      <c r="N730" s="74">
        <f>IFERROR(__xludf.DUMMYFUNCTION("""COMPUTED_VALUE"""),307.48)</f>
        <v>307.48</v>
      </c>
      <c r="O730" s="74" t="str">
        <f t="shared" si="18"/>
        <v>307,48</v>
      </c>
    </row>
    <row r="731">
      <c r="A731" s="17"/>
      <c r="B731" s="15"/>
      <c r="M731" s="78">
        <f>IFERROR(__xludf.DUMMYFUNCTION("""COMPUTED_VALUE"""),44860.0)</f>
        <v>44860</v>
      </c>
      <c r="N731" s="74">
        <f>IFERROR(__xludf.DUMMYFUNCTION("""COMPUTED_VALUE"""),305.93)</f>
        <v>305.93</v>
      </c>
      <c r="O731" s="74" t="str">
        <f t="shared" si="18"/>
        <v>305,93</v>
      </c>
    </row>
    <row r="732">
      <c r="A732" s="17"/>
      <c r="B732" s="15"/>
      <c r="M732" s="78">
        <f>IFERROR(__xludf.DUMMYFUNCTION("""COMPUTED_VALUE"""),44859.0)</f>
        <v>44859</v>
      </c>
      <c r="N732" s="74">
        <f>IFERROR(__xludf.DUMMYFUNCTION("""COMPUTED_VALUE"""),305.82)</f>
        <v>305.82</v>
      </c>
      <c r="O732" s="74" t="str">
        <f t="shared" si="18"/>
        <v>305,82</v>
      </c>
    </row>
    <row r="733">
      <c r="A733" s="17"/>
      <c r="B733" s="15"/>
      <c r="M733" s="78">
        <f>IFERROR(__xludf.DUMMYFUNCTION("""COMPUTED_VALUE"""),44858.0)</f>
        <v>44858</v>
      </c>
      <c r="N733" s="74">
        <f>IFERROR(__xludf.DUMMYFUNCTION("""COMPUTED_VALUE"""),303.96)</f>
        <v>303.96</v>
      </c>
      <c r="O733" s="74" t="str">
        <f t="shared" si="18"/>
        <v>303,96</v>
      </c>
    </row>
    <row r="734">
      <c r="A734" s="17"/>
      <c r="B734" s="15"/>
      <c r="M734" s="78">
        <f>IFERROR(__xludf.DUMMYFUNCTION("""COMPUTED_VALUE"""),44855.0)</f>
        <v>44855</v>
      </c>
      <c r="N734" s="74">
        <f>IFERROR(__xludf.DUMMYFUNCTION("""COMPUTED_VALUE"""),303.64)</f>
        <v>303.64</v>
      </c>
      <c r="O734" s="74" t="str">
        <f t="shared" si="18"/>
        <v>303,64</v>
      </c>
    </row>
    <row r="735">
      <c r="A735" s="17"/>
      <c r="B735" s="15"/>
      <c r="M735" s="78">
        <f>IFERROR(__xludf.DUMMYFUNCTION("""COMPUTED_VALUE"""),44854.0)</f>
        <v>44854</v>
      </c>
      <c r="N735" s="74">
        <f>IFERROR(__xludf.DUMMYFUNCTION("""COMPUTED_VALUE"""),304.01)</f>
        <v>304.01</v>
      </c>
      <c r="O735" s="74" t="str">
        <f t="shared" si="18"/>
        <v>304,01</v>
      </c>
    </row>
    <row r="736">
      <c r="A736" s="17"/>
      <c r="B736" s="15"/>
      <c r="M736" s="78">
        <f>IFERROR(__xludf.DUMMYFUNCTION("""COMPUTED_VALUE"""),44853.0)</f>
        <v>44853</v>
      </c>
      <c r="N736" s="74">
        <f>IFERROR(__xludf.DUMMYFUNCTION("""COMPUTED_VALUE"""),302.97)</f>
        <v>302.97</v>
      </c>
      <c r="O736" s="74" t="str">
        <f t="shared" si="18"/>
        <v>302,97</v>
      </c>
    </row>
    <row r="737">
      <c r="A737" s="17"/>
      <c r="B737" s="15"/>
      <c r="M737" s="78">
        <f>IFERROR(__xludf.DUMMYFUNCTION("""COMPUTED_VALUE"""),44852.0)</f>
        <v>44852</v>
      </c>
      <c r="N737" s="74">
        <f>IFERROR(__xludf.DUMMYFUNCTION("""COMPUTED_VALUE"""),304.07)</f>
        <v>304.07</v>
      </c>
      <c r="O737" s="74" t="str">
        <f t="shared" si="18"/>
        <v>304,07</v>
      </c>
    </row>
    <row r="738">
      <c r="A738" s="17"/>
      <c r="B738" s="15"/>
      <c r="M738" s="78">
        <f>IFERROR(__xludf.DUMMYFUNCTION("""COMPUTED_VALUE"""),44851.0)</f>
        <v>44851</v>
      </c>
      <c r="N738" s="74">
        <f>IFERROR(__xludf.DUMMYFUNCTION("""COMPUTED_VALUE"""),307.95)</f>
        <v>307.95</v>
      </c>
      <c r="O738" s="74" t="str">
        <f t="shared" si="18"/>
        <v>307,95</v>
      </c>
    </row>
    <row r="739">
      <c r="A739" s="17"/>
      <c r="B739" s="15"/>
      <c r="M739" s="78">
        <f>IFERROR(__xludf.DUMMYFUNCTION("""COMPUTED_VALUE"""),44848.0)</f>
        <v>44848</v>
      </c>
      <c r="N739" s="74">
        <f>IFERROR(__xludf.DUMMYFUNCTION("""COMPUTED_VALUE"""),312.89)</f>
        <v>312.89</v>
      </c>
      <c r="O739" s="74" t="str">
        <f t="shared" si="18"/>
        <v>312,89</v>
      </c>
    </row>
    <row r="740">
      <c r="A740" s="17"/>
      <c r="B740" s="15"/>
      <c r="M740" s="78">
        <f>IFERROR(__xludf.DUMMYFUNCTION("""COMPUTED_VALUE"""),44847.0)</f>
        <v>44847</v>
      </c>
      <c r="N740" s="74">
        <f>IFERROR(__xludf.DUMMYFUNCTION("""COMPUTED_VALUE"""),313.72)</f>
        <v>313.72</v>
      </c>
      <c r="O740" s="74" t="str">
        <f t="shared" si="18"/>
        <v>313,72</v>
      </c>
    </row>
    <row r="741">
      <c r="A741" s="17"/>
      <c r="B741" s="15"/>
      <c r="M741" s="78">
        <f>IFERROR(__xludf.DUMMYFUNCTION("""COMPUTED_VALUE"""),44846.0)</f>
        <v>44846</v>
      </c>
      <c r="N741" s="74">
        <f>IFERROR(__xludf.DUMMYFUNCTION("""COMPUTED_VALUE"""),305.9)</f>
        <v>305.9</v>
      </c>
      <c r="O741" s="74" t="str">
        <f t="shared" si="18"/>
        <v>305,9</v>
      </c>
    </row>
    <row r="742">
      <c r="A742" s="17"/>
      <c r="B742" s="15"/>
      <c r="M742" s="78">
        <f>IFERROR(__xludf.DUMMYFUNCTION("""COMPUTED_VALUE"""),44845.0)</f>
        <v>44845</v>
      </c>
      <c r="N742" s="74">
        <f>IFERROR(__xludf.DUMMYFUNCTION("""COMPUTED_VALUE"""),304.0)</f>
        <v>304</v>
      </c>
      <c r="O742" s="74" t="str">
        <f t="shared" si="18"/>
        <v>304</v>
      </c>
    </row>
    <row r="743">
      <c r="A743" s="17"/>
      <c r="B743" s="15"/>
      <c r="M743" s="78">
        <f>IFERROR(__xludf.DUMMYFUNCTION("""COMPUTED_VALUE"""),44844.0)</f>
        <v>44844</v>
      </c>
      <c r="N743" s="74">
        <f>IFERROR(__xludf.DUMMYFUNCTION("""COMPUTED_VALUE"""),307.12)</f>
        <v>307.12</v>
      </c>
      <c r="O743" s="74" t="str">
        <f t="shared" si="18"/>
        <v>307,12</v>
      </c>
    </row>
    <row r="744">
      <c r="A744" s="17"/>
      <c r="B744" s="15"/>
      <c r="M744" s="78">
        <f>IFERROR(__xludf.DUMMYFUNCTION("""COMPUTED_VALUE"""),44841.0)</f>
        <v>44841</v>
      </c>
      <c r="N744" s="74">
        <f>IFERROR(__xludf.DUMMYFUNCTION("""COMPUTED_VALUE"""),307.12)</f>
        <v>307.12</v>
      </c>
      <c r="O744" s="74" t="str">
        <f t="shared" si="18"/>
        <v>307,12</v>
      </c>
    </row>
    <row r="745">
      <c r="A745" s="17"/>
      <c r="B745" s="15"/>
      <c r="M745" s="78">
        <f>IFERROR(__xludf.DUMMYFUNCTION("""COMPUTED_VALUE"""),44840.0)</f>
        <v>44840</v>
      </c>
      <c r="N745" s="74">
        <f>IFERROR(__xludf.DUMMYFUNCTION("""COMPUTED_VALUE"""),307.12)</f>
        <v>307.12</v>
      </c>
      <c r="O745" s="74" t="str">
        <f t="shared" si="18"/>
        <v>307,12</v>
      </c>
    </row>
    <row r="746">
      <c r="A746" s="17"/>
      <c r="B746" s="15"/>
      <c r="M746" s="78">
        <f>IFERROR(__xludf.DUMMYFUNCTION("""COMPUTED_VALUE"""),44839.0)</f>
        <v>44839</v>
      </c>
      <c r="N746" s="74">
        <f>IFERROR(__xludf.DUMMYFUNCTION("""COMPUTED_VALUE"""),309.67)</f>
        <v>309.67</v>
      </c>
      <c r="O746" s="74" t="str">
        <f t="shared" si="18"/>
        <v>309,67</v>
      </c>
    </row>
    <row r="747">
      <c r="A747" s="17"/>
      <c r="B747" s="15"/>
      <c r="M747" s="78">
        <f>IFERROR(__xludf.DUMMYFUNCTION("""COMPUTED_VALUE"""),44838.0)</f>
        <v>44838</v>
      </c>
      <c r="N747" s="74">
        <f>IFERROR(__xludf.DUMMYFUNCTION("""COMPUTED_VALUE"""),308.2)</f>
        <v>308.2</v>
      </c>
      <c r="O747" s="74" t="str">
        <f t="shared" si="18"/>
        <v>308,2</v>
      </c>
    </row>
    <row r="748">
      <c r="A748" s="17"/>
      <c r="B748" s="15"/>
      <c r="M748" s="78">
        <f>IFERROR(__xludf.DUMMYFUNCTION("""COMPUTED_VALUE"""),44837.0)</f>
        <v>44837</v>
      </c>
      <c r="N748" s="74">
        <f>IFERROR(__xludf.DUMMYFUNCTION("""COMPUTED_VALUE"""),306.98)</f>
        <v>306.98</v>
      </c>
      <c r="O748" s="74" t="str">
        <f t="shared" si="18"/>
        <v>306,98</v>
      </c>
    </row>
    <row r="749">
      <c r="A749" s="17"/>
      <c r="B749" s="15"/>
      <c r="M749" s="78">
        <f>IFERROR(__xludf.DUMMYFUNCTION("""COMPUTED_VALUE"""),44834.0)</f>
        <v>44834</v>
      </c>
      <c r="N749" s="74">
        <f>IFERROR(__xludf.DUMMYFUNCTION("""COMPUTED_VALUE"""),308.96)</f>
        <v>308.96</v>
      </c>
      <c r="O749" s="74" t="str">
        <f t="shared" si="18"/>
        <v>308,96</v>
      </c>
    </row>
    <row r="750">
      <c r="A750" s="17"/>
      <c r="B750" s="15"/>
      <c r="M750" s="78">
        <f>IFERROR(__xludf.DUMMYFUNCTION("""COMPUTED_VALUE"""),44833.0)</f>
        <v>44833</v>
      </c>
      <c r="N750" s="74">
        <f>IFERROR(__xludf.DUMMYFUNCTION("""COMPUTED_VALUE"""),304.29)</f>
        <v>304.29</v>
      </c>
      <c r="O750" s="74" t="str">
        <f t="shared" si="18"/>
        <v>304,29</v>
      </c>
    </row>
    <row r="751">
      <c r="A751" s="17"/>
      <c r="B751" s="15"/>
      <c r="M751" s="78">
        <f>IFERROR(__xludf.DUMMYFUNCTION("""COMPUTED_VALUE"""),44832.0)</f>
        <v>44832</v>
      </c>
      <c r="N751" s="74">
        <f>IFERROR(__xludf.DUMMYFUNCTION("""COMPUTED_VALUE"""),307.62)</f>
        <v>307.62</v>
      </c>
      <c r="O751" s="74" t="str">
        <f t="shared" si="18"/>
        <v>307,62</v>
      </c>
    </row>
    <row r="752">
      <c r="A752" s="17"/>
      <c r="B752" s="15"/>
      <c r="M752" s="78">
        <f>IFERROR(__xludf.DUMMYFUNCTION("""COMPUTED_VALUE"""),44831.0)</f>
        <v>44831</v>
      </c>
      <c r="N752" s="74">
        <f>IFERROR(__xludf.DUMMYFUNCTION("""COMPUTED_VALUE"""),305.54)</f>
        <v>305.54</v>
      </c>
      <c r="O752" s="74" t="str">
        <f t="shared" si="18"/>
        <v>305,54</v>
      </c>
    </row>
    <row r="753">
      <c r="A753" s="17"/>
      <c r="B753" s="15"/>
      <c r="M753" s="78">
        <f>IFERROR(__xludf.DUMMYFUNCTION("""COMPUTED_VALUE"""),44830.0)</f>
        <v>44830</v>
      </c>
      <c r="N753" s="74">
        <f>IFERROR(__xludf.DUMMYFUNCTION("""COMPUTED_VALUE"""),306.86)</f>
        <v>306.86</v>
      </c>
      <c r="O753" s="74" t="str">
        <f t="shared" si="18"/>
        <v>306,86</v>
      </c>
    </row>
    <row r="754">
      <c r="A754" s="17"/>
      <c r="B754" s="15"/>
      <c r="M754" s="78">
        <f>IFERROR(__xludf.DUMMYFUNCTION("""COMPUTED_VALUE"""),44827.0)</f>
        <v>44827</v>
      </c>
      <c r="N754" s="74">
        <f>IFERROR(__xludf.DUMMYFUNCTION("""COMPUTED_VALUE"""),312.23)</f>
        <v>312.23</v>
      </c>
      <c r="O754" s="74" t="str">
        <f t="shared" si="18"/>
        <v>312,23</v>
      </c>
    </row>
    <row r="755">
      <c r="A755" s="17"/>
      <c r="B755" s="15"/>
      <c r="M755" s="78">
        <f>IFERROR(__xludf.DUMMYFUNCTION("""COMPUTED_VALUE"""),44826.0)</f>
        <v>44826</v>
      </c>
      <c r="N755" s="74">
        <f>IFERROR(__xludf.DUMMYFUNCTION("""COMPUTED_VALUE"""),312.16)</f>
        <v>312.16</v>
      </c>
      <c r="O755" s="74" t="str">
        <f t="shared" si="18"/>
        <v>312,16</v>
      </c>
    </row>
    <row r="756">
      <c r="A756" s="17"/>
      <c r="B756" s="15"/>
      <c r="M756" s="78">
        <f>IFERROR(__xludf.DUMMYFUNCTION("""COMPUTED_VALUE"""),44825.0)</f>
        <v>44825</v>
      </c>
      <c r="N756" s="74">
        <f>IFERROR(__xludf.DUMMYFUNCTION("""COMPUTED_VALUE"""),305.9)</f>
        <v>305.9</v>
      </c>
      <c r="O756" s="74"/>
    </row>
    <row r="757">
      <c r="A757" s="17"/>
      <c r="B757" s="15"/>
      <c r="M757" s="78">
        <f>IFERROR(__xludf.DUMMYFUNCTION("""COMPUTED_VALUE"""),44824.0)</f>
        <v>44824</v>
      </c>
      <c r="N757" s="74">
        <f>IFERROR(__xludf.DUMMYFUNCTION("""COMPUTED_VALUE"""),302.89)</f>
        <v>302.89</v>
      </c>
      <c r="O757" s="74"/>
    </row>
    <row r="758">
      <c r="A758" s="17"/>
      <c r="B758" s="15"/>
      <c r="M758" s="78">
        <f>IFERROR(__xludf.DUMMYFUNCTION("""COMPUTED_VALUE"""),44823.0)</f>
        <v>44823</v>
      </c>
      <c r="N758" s="74">
        <f>IFERROR(__xludf.DUMMYFUNCTION("""COMPUTED_VALUE"""),303.33)</f>
        <v>303.33</v>
      </c>
      <c r="O758" s="74"/>
    </row>
    <row r="759">
      <c r="A759" s="17"/>
      <c r="B759" s="15"/>
      <c r="M759" s="78">
        <f>IFERROR(__xludf.DUMMYFUNCTION("""COMPUTED_VALUE"""),44820.0)</f>
        <v>44820</v>
      </c>
      <c r="N759" s="74">
        <f>IFERROR(__xludf.DUMMYFUNCTION("""COMPUTED_VALUE"""),301.15)</f>
        <v>301.15</v>
      </c>
      <c r="O759" s="74"/>
    </row>
    <row r="760">
      <c r="A760" s="17"/>
      <c r="B760" s="15"/>
      <c r="M760" s="78">
        <f>IFERROR(__xludf.DUMMYFUNCTION("""COMPUTED_VALUE"""),44819.0)</f>
        <v>44819</v>
      </c>
      <c r="N760" s="74">
        <f>IFERROR(__xludf.DUMMYFUNCTION("""COMPUTED_VALUE"""),295.37)</f>
        <v>295.37</v>
      </c>
      <c r="O760" s="74"/>
    </row>
    <row r="761">
      <c r="A761" s="17"/>
      <c r="B761" s="15"/>
      <c r="M761" s="78">
        <f>IFERROR(__xludf.DUMMYFUNCTION("""COMPUTED_VALUE"""),44818.0)</f>
        <v>44818</v>
      </c>
      <c r="N761" s="74">
        <f>IFERROR(__xludf.DUMMYFUNCTION("""COMPUTED_VALUE"""),284.25)</f>
        <v>284.25</v>
      </c>
      <c r="O761" s="74"/>
    </row>
    <row r="762">
      <c r="A762" s="17"/>
      <c r="B762" s="15"/>
      <c r="M762" s="78">
        <f>IFERROR(__xludf.DUMMYFUNCTION("""COMPUTED_VALUE"""),44817.0)</f>
        <v>44817</v>
      </c>
      <c r="N762" s="74">
        <f>IFERROR(__xludf.DUMMYFUNCTION("""COMPUTED_VALUE"""),279.46)</f>
        <v>279.46</v>
      </c>
      <c r="O762" s="74"/>
    </row>
    <row r="763">
      <c r="A763" s="17"/>
      <c r="B763" s="15"/>
      <c r="M763" s="78">
        <f>IFERROR(__xludf.DUMMYFUNCTION("""COMPUTED_VALUE"""),44816.0)</f>
        <v>44816</v>
      </c>
      <c r="N763" s="74">
        <f>IFERROR(__xludf.DUMMYFUNCTION("""COMPUTED_VALUE"""),279.9)</f>
        <v>279.9</v>
      </c>
      <c r="O763" s="74"/>
    </row>
    <row r="764">
      <c r="A764" s="17"/>
      <c r="B764" s="15"/>
      <c r="M764" s="78">
        <f>IFERROR(__xludf.DUMMYFUNCTION("""COMPUTED_VALUE"""),44813.0)</f>
        <v>44813</v>
      </c>
      <c r="N764" s="74">
        <f>IFERROR(__xludf.DUMMYFUNCTION("""COMPUTED_VALUE"""),280.88)</f>
        <v>280.88</v>
      </c>
      <c r="O764" s="74"/>
    </row>
    <row r="765">
      <c r="A765" s="17"/>
      <c r="B765" s="15"/>
      <c r="M765" s="78">
        <f>IFERROR(__xludf.DUMMYFUNCTION("""COMPUTED_VALUE"""),44812.0)</f>
        <v>44812</v>
      </c>
      <c r="N765" s="74">
        <f>IFERROR(__xludf.DUMMYFUNCTION("""COMPUTED_VALUE"""),282.89)</f>
        <v>282.89</v>
      </c>
      <c r="O765" s="74"/>
    </row>
    <row r="766">
      <c r="A766" s="17"/>
      <c r="B766" s="15"/>
      <c r="M766" s="78">
        <f>IFERROR(__xludf.DUMMYFUNCTION("""COMPUTED_VALUE"""),44811.0)</f>
        <v>44811</v>
      </c>
      <c r="N766" s="74">
        <f>IFERROR(__xludf.DUMMYFUNCTION("""COMPUTED_VALUE"""),280.82)</f>
        <v>280.82</v>
      </c>
      <c r="O766" s="74"/>
    </row>
    <row r="767">
      <c r="A767" s="17"/>
      <c r="B767" s="15"/>
      <c r="M767" s="78">
        <f>IFERROR(__xludf.DUMMYFUNCTION("""COMPUTED_VALUE"""),44810.0)</f>
        <v>44810</v>
      </c>
      <c r="N767" s="74">
        <f>IFERROR(__xludf.DUMMYFUNCTION("""COMPUTED_VALUE"""),283.39)</f>
        <v>283.39</v>
      </c>
      <c r="O767" s="74"/>
    </row>
    <row r="768">
      <c r="A768" s="17"/>
      <c r="B768" s="15"/>
      <c r="M768" s="78">
        <f>IFERROR(__xludf.DUMMYFUNCTION("""COMPUTED_VALUE"""),44809.0)</f>
        <v>44809</v>
      </c>
      <c r="N768" s="74">
        <f>IFERROR(__xludf.DUMMYFUNCTION("""COMPUTED_VALUE"""),282.91)</f>
        <v>282.91</v>
      </c>
      <c r="O768" s="74"/>
    </row>
    <row r="769">
      <c r="A769" s="17"/>
      <c r="B769" s="15"/>
      <c r="M769" s="78">
        <f>IFERROR(__xludf.DUMMYFUNCTION("""COMPUTED_VALUE"""),44806.0)</f>
        <v>44806</v>
      </c>
      <c r="N769" s="74">
        <f>IFERROR(__xludf.DUMMYFUNCTION("""COMPUTED_VALUE"""),288.74)</f>
        <v>288.74</v>
      </c>
      <c r="O769" s="74"/>
    </row>
    <row r="770">
      <c r="A770" s="17"/>
      <c r="B770" s="15"/>
      <c r="M770" s="78">
        <f>IFERROR(__xludf.DUMMYFUNCTION("""COMPUTED_VALUE"""),44805.0)</f>
        <v>44805</v>
      </c>
      <c r="N770" s="74">
        <f>IFERROR(__xludf.DUMMYFUNCTION("""COMPUTED_VALUE"""),288.74)</f>
        <v>288.74</v>
      </c>
      <c r="O770" s="74"/>
    </row>
    <row r="771">
      <c r="A771" s="17"/>
      <c r="B771" s="15"/>
      <c r="M771" s="78">
        <f>IFERROR(__xludf.DUMMYFUNCTION("""COMPUTED_VALUE"""),44804.0)</f>
        <v>44804</v>
      </c>
      <c r="N771" s="74">
        <f>IFERROR(__xludf.DUMMYFUNCTION("""COMPUTED_VALUE"""),292.83)</f>
        <v>292.83</v>
      </c>
      <c r="O771" s="74"/>
    </row>
    <row r="772">
      <c r="A772" s="17"/>
      <c r="B772" s="15"/>
      <c r="M772" s="78">
        <f>IFERROR(__xludf.DUMMYFUNCTION("""COMPUTED_VALUE"""),44803.0)</f>
        <v>44803</v>
      </c>
      <c r="N772" s="74">
        <f>IFERROR(__xludf.DUMMYFUNCTION("""COMPUTED_VALUE"""),298.03)</f>
        <v>298.03</v>
      </c>
      <c r="O772" s="74"/>
    </row>
    <row r="773">
      <c r="A773" s="17"/>
      <c r="B773" s="15"/>
      <c r="M773" s="78">
        <f>IFERROR(__xludf.DUMMYFUNCTION("""COMPUTED_VALUE"""),44802.0)</f>
        <v>44802</v>
      </c>
      <c r="N773" s="74">
        <f>IFERROR(__xludf.DUMMYFUNCTION("""COMPUTED_VALUE"""),290.0)</f>
        <v>290</v>
      </c>
      <c r="O773" s="74"/>
    </row>
    <row r="774">
      <c r="A774" s="17"/>
      <c r="B774" s="15"/>
      <c r="M774" s="78">
        <f>IFERROR(__xludf.DUMMYFUNCTION("""COMPUTED_VALUE"""),44801.0)</f>
        <v>44801</v>
      </c>
      <c r="N774" s="74">
        <f>IFERROR(__xludf.DUMMYFUNCTION("""COMPUTED_VALUE"""),292.53)</f>
        <v>292.53</v>
      </c>
      <c r="O774" s="74"/>
    </row>
    <row r="775">
      <c r="A775" s="17"/>
      <c r="B775" s="15"/>
      <c r="M775" s="78">
        <f>IFERROR(__xludf.DUMMYFUNCTION("""COMPUTED_VALUE"""),44800.0)</f>
        <v>44800</v>
      </c>
      <c r="N775" s="74">
        <f>IFERROR(__xludf.DUMMYFUNCTION("""COMPUTED_VALUE"""),292.53)</f>
        <v>292.53</v>
      </c>
      <c r="O775" s="74"/>
    </row>
    <row r="776">
      <c r="A776" s="17"/>
      <c r="B776" s="15"/>
      <c r="M776" s="78">
        <f>IFERROR(__xludf.DUMMYFUNCTION("""COMPUTED_VALUE"""),44799.0)</f>
        <v>44799</v>
      </c>
      <c r="N776" s="74">
        <f>IFERROR(__xludf.DUMMYFUNCTION("""COMPUTED_VALUE"""),292.53)</f>
        <v>292.53</v>
      </c>
      <c r="O776" s="74"/>
    </row>
    <row r="777">
      <c r="A777" s="17"/>
      <c r="B777" s="15"/>
      <c r="M777" s="78">
        <f>IFERROR(__xludf.DUMMYFUNCTION("""COMPUTED_VALUE"""),44798.0)</f>
        <v>44798</v>
      </c>
      <c r="N777" s="74">
        <f>IFERROR(__xludf.DUMMYFUNCTION("""COMPUTED_VALUE"""),295.96)</f>
        <v>295.96</v>
      </c>
      <c r="O777" s="74"/>
    </row>
    <row r="778">
      <c r="A778" s="17"/>
      <c r="B778" s="15"/>
      <c r="M778" s="78">
        <f>IFERROR(__xludf.DUMMYFUNCTION("""COMPUTED_VALUE"""),44797.0)</f>
        <v>44797</v>
      </c>
      <c r="N778" s="74">
        <f>IFERROR(__xludf.DUMMYFUNCTION("""COMPUTED_VALUE"""),293.48)</f>
        <v>293.48</v>
      </c>
      <c r="O778" s="74"/>
    </row>
    <row r="779">
      <c r="A779" s="17"/>
      <c r="B779" s="15"/>
      <c r="M779" s="78">
        <f>IFERROR(__xludf.DUMMYFUNCTION("""COMPUTED_VALUE"""),44796.0)</f>
        <v>44796</v>
      </c>
      <c r="N779" s="74">
        <f>IFERROR(__xludf.DUMMYFUNCTION("""COMPUTED_VALUE"""),299.0)</f>
        <v>299</v>
      </c>
      <c r="O779" s="74"/>
    </row>
    <row r="780">
      <c r="A780" s="17"/>
      <c r="B780" s="15"/>
      <c r="M780" s="78">
        <f>IFERROR(__xludf.DUMMYFUNCTION("""COMPUTED_VALUE"""),44795.0)</f>
        <v>44795</v>
      </c>
      <c r="N780" s="74">
        <f>IFERROR(__xludf.DUMMYFUNCTION("""COMPUTED_VALUE"""),300.35)</f>
        <v>300.35</v>
      </c>
      <c r="O780" s="74"/>
    </row>
    <row r="781">
      <c r="A781" s="17"/>
      <c r="B781" s="15"/>
      <c r="M781" s="78">
        <f>IFERROR(__xludf.DUMMYFUNCTION("""COMPUTED_VALUE"""),44794.0)</f>
        <v>44794</v>
      </c>
      <c r="N781" s="74">
        <f>IFERROR(__xludf.DUMMYFUNCTION("""COMPUTED_VALUE"""),300.35)</f>
        <v>300.35</v>
      </c>
      <c r="O781" s="74"/>
    </row>
    <row r="782">
      <c r="A782" s="88"/>
      <c r="B782" s="89"/>
      <c r="M782" s="78">
        <f>IFERROR(__xludf.DUMMYFUNCTION("""COMPUTED_VALUE"""),44793.0)</f>
        <v>44793</v>
      </c>
      <c r="N782" s="74">
        <f>IFERROR(__xludf.DUMMYFUNCTION("""COMPUTED_VALUE"""),300.35)</f>
        <v>300.35</v>
      </c>
      <c r="O782" s="74"/>
    </row>
    <row r="783">
      <c r="A783" s="88"/>
      <c r="B783" s="89"/>
      <c r="M783" s="78">
        <f>IFERROR(__xludf.DUMMYFUNCTION("""COMPUTED_VALUE"""),44792.0)</f>
        <v>44792</v>
      </c>
      <c r="N783" s="74">
        <f>IFERROR(__xludf.DUMMYFUNCTION("""COMPUTED_VALUE"""),300.35)</f>
        <v>300.35</v>
      </c>
      <c r="O783" s="74"/>
    </row>
    <row r="784">
      <c r="A784" s="88"/>
      <c r="B784" s="89"/>
      <c r="M784" s="78">
        <f>IFERROR(__xludf.DUMMYFUNCTION("""COMPUTED_VALUE"""),44791.0)</f>
        <v>44791</v>
      </c>
      <c r="N784" s="74">
        <f>IFERROR(__xludf.DUMMYFUNCTION("""COMPUTED_VALUE"""),293.97)</f>
        <v>293.97</v>
      </c>
      <c r="O784" s="74"/>
    </row>
    <row r="785">
      <c r="A785" s="88"/>
      <c r="B785" s="89"/>
      <c r="M785" s="78">
        <f>IFERROR(__xludf.DUMMYFUNCTION("""COMPUTED_VALUE"""),44790.0)</f>
        <v>44790</v>
      </c>
      <c r="N785" s="74">
        <f>IFERROR(__xludf.DUMMYFUNCTION("""COMPUTED_VALUE"""),284.13)</f>
        <v>284.13</v>
      </c>
      <c r="O785" s="74"/>
    </row>
    <row r="786">
      <c r="A786" s="88"/>
      <c r="B786" s="89"/>
      <c r="M786" s="78">
        <f>IFERROR(__xludf.DUMMYFUNCTION("""COMPUTED_VALUE"""),44789.0)</f>
        <v>44789</v>
      </c>
      <c r="N786" s="74">
        <f>IFERROR(__xludf.DUMMYFUNCTION("""COMPUTED_VALUE"""),278.06)</f>
        <v>278.06</v>
      </c>
      <c r="O786" s="74"/>
    </row>
    <row r="787">
      <c r="A787" s="88"/>
      <c r="B787" s="89"/>
      <c r="M787" s="78">
        <f>IFERROR(__xludf.DUMMYFUNCTION("""COMPUTED_VALUE"""),44788.0)</f>
        <v>44788</v>
      </c>
      <c r="N787" s="74">
        <f>IFERROR(__xludf.DUMMYFUNCTION("""COMPUTED_VALUE"""),285.53)</f>
        <v>285.53</v>
      </c>
      <c r="O787" s="74"/>
    </row>
    <row r="788">
      <c r="A788" s="88"/>
      <c r="B788" s="89"/>
      <c r="M788" s="78">
        <f>IFERROR(__xludf.DUMMYFUNCTION("""COMPUTED_VALUE"""),44787.0)</f>
        <v>44787</v>
      </c>
      <c r="N788" s="74">
        <f>IFERROR(__xludf.DUMMYFUNCTION("""COMPUTED_VALUE"""),285.53)</f>
        <v>285.53</v>
      </c>
      <c r="O788" s="74"/>
    </row>
    <row r="789">
      <c r="A789" s="88"/>
      <c r="B789" s="89"/>
      <c r="M789" s="78">
        <f>IFERROR(__xludf.DUMMYFUNCTION("""COMPUTED_VALUE"""),44786.0)</f>
        <v>44786</v>
      </c>
      <c r="N789" s="74">
        <f>IFERROR(__xludf.DUMMYFUNCTION("""COMPUTED_VALUE"""),285.53)</f>
        <v>285.53</v>
      </c>
      <c r="O789" s="74"/>
    </row>
    <row r="790">
      <c r="A790" s="88"/>
      <c r="B790" s="89"/>
      <c r="M790" s="78">
        <f>IFERROR(__xludf.DUMMYFUNCTION("""COMPUTED_VALUE"""),44785.0)</f>
        <v>44785</v>
      </c>
      <c r="N790" s="74">
        <f>IFERROR(__xludf.DUMMYFUNCTION("""COMPUTED_VALUE"""),285.53)</f>
        <v>285.53</v>
      </c>
      <c r="O790" s="74"/>
    </row>
    <row r="791">
      <c r="A791" s="88"/>
      <c r="B791" s="89"/>
      <c r="M791" s="78">
        <f>IFERROR(__xludf.DUMMYFUNCTION("""COMPUTED_VALUE"""),44784.0)</f>
        <v>44784</v>
      </c>
      <c r="N791" s="74">
        <f>IFERROR(__xludf.DUMMYFUNCTION("""COMPUTED_VALUE"""),286.28)</f>
        <v>286.28</v>
      </c>
      <c r="O791" s="74"/>
    </row>
    <row r="792">
      <c r="A792" s="88"/>
      <c r="B792" s="89"/>
      <c r="M792" s="78">
        <f>IFERROR(__xludf.DUMMYFUNCTION("""COMPUTED_VALUE"""),44783.0)</f>
        <v>44783</v>
      </c>
      <c r="N792" s="74">
        <f>IFERROR(__xludf.DUMMYFUNCTION("""COMPUTED_VALUE"""),289.78)</f>
        <v>289.78</v>
      </c>
      <c r="O792" s="74"/>
    </row>
    <row r="793">
      <c r="A793" s="88"/>
      <c r="B793" s="89"/>
      <c r="M793" s="78">
        <f>IFERROR(__xludf.DUMMYFUNCTION("""COMPUTED_VALUE"""),44782.0)</f>
        <v>44782</v>
      </c>
      <c r="N793" s="74">
        <f>IFERROR(__xludf.DUMMYFUNCTION("""COMPUTED_VALUE"""),287.66)</f>
        <v>287.66</v>
      </c>
      <c r="O793" s="74"/>
    </row>
    <row r="794">
      <c r="A794" s="88"/>
      <c r="B794" s="89"/>
      <c r="M794" s="78">
        <f>IFERROR(__xludf.DUMMYFUNCTION("""COMPUTED_VALUE"""),44781.0)</f>
        <v>44781</v>
      </c>
      <c r="N794" s="74">
        <f>IFERROR(__xludf.DUMMYFUNCTION("""COMPUTED_VALUE"""),283.76)</f>
        <v>283.76</v>
      </c>
      <c r="O794" s="74"/>
    </row>
    <row r="795">
      <c r="A795" s="88"/>
      <c r="B795" s="89"/>
      <c r="M795" s="78">
        <f>IFERROR(__xludf.DUMMYFUNCTION("""COMPUTED_VALUE"""),44780.0)</f>
        <v>44780</v>
      </c>
      <c r="N795" s="74">
        <f>IFERROR(__xludf.DUMMYFUNCTION("""COMPUTED_VALUE"""),284.58)</f>
        <v>284.58</v>
      </c>
      <c r="O795" s="74"/>
    </row>
    <row r="796">
      <c r="A796" s="88"/>
      <c r="B796" s="89"/>
      <c r="M796" s="78">
        <f>IFERROR(__xludf.DUMMYFUNCTION("""COMPUTED_VALUE"""),44779.0)</f>
        <v>44779</v>
      </c>
      <c r="N796" s="74">
        <f>IFERROR(__xludf.DUMMYFUNCTION("""COMPUTED_VALUE"""),284.58)</f>
        <v>284.58</v>
      </c>
      <c r="O796" s="74"/>
    </row>
    <row r="797">
      <c r="A797" s="88"/>
      <c r="B797" s="89"/>
      <c r="M797" s="78">
        <f>IFERROR(__xludf.DUMMYFUNCTION("""COMPUTED_VALUE"""),44778.0)</f>
        <v>44778</v>
      </c>
      <c r="N797" s="74">
        <f>IFERROR(__xludf.DUMMYFUNCTION("""COMPUTED_VALUE"""),284.58)</f>
        <v>284.58</v>
      </c>
      <c r="O797" s="74"/>
    </row>
    <row r="798">
      <c r="A798" s="88"/>
      <c r="B798" s="89"/>
      <c r="M798" s="78">
        <f>IFERROR(__xludf.DUMMYFUNCTION("""COMPUTED_VALUE"""),44777.0)</f>
        <v>44777</v>
      </c>
      <c r="N798" s="74">
        <f>IFERROR(__xludf.DUMMYFUNCTION("""COMPUTED_VALUE"""),289.6)</f>
        <v>289.6</v>
      </c>
      <c r="O798" s="74"/>
    </row>
    <row r="799">
      <c r="A799" s="88"/>
      <c r="B799" s="89"/>
      <c r="M799" s="78">
        <f>IFERROR(__xludf.DUMMYFUNCTION("""COMPUTED_VALUE"""),44776.0)</f>
        <v>44776</v>
      </c>
      <c r="N799" s="74">
        <f>IFERROR(__xludf.DUMMYFUNCTION("""COMPUTED_VALUE"""),287.55)</f>
        <v>287.55</v>
      </c>
      <c r="O799" s="74"/>
    </row>
    <row r="800">
      <c r="A800" s="88"/>
      <c r="B800" s="89"/>
      <c r="M800" s="78">
        <f>IFERROR(__xludf.DUMMYFUNCTION("""COMPUTED_VALUE"""),44775.0)</f>
        <v>44775</v>
      </c>
      <c r="N800" s="74">
        <f>IFERROR(__xludf.DUMMYFUNCTION("""COMPUTED_VALUE"""),285.12)</f>
        <v>285.12</v>
      </c>
      <c r="O800" s="74"/>
    </row>
    <row r="801">
      <c r="A801" s="88"/>
      <c r="B801" s="89"/>
      <c r="M801" s="78">
        <f>IFERROR(__xludf.DUMMYFUNCTION("""COMPUTED_VALUE"""),44774.0)</f>
        <v>44774</v>
      </c>
      <c r="N801" s="74">
        <f>IFERROR(__xludf.DUMMYFUNCTION("""COMPUTED_VALUE"""),279.64)</f>
        <v>279.64</v>
      </c>
      <c r="O801" s="74"/>
    </row>
    <row r="802">
      <c r="A802" s="88"/>
      <c r="B802" s="89"/>
      <c r="M802" s="78">
        <f>IFERROR(__xludf.DUMMYFUNCTION("""COMPUTED_VALUE"""),44773.0)</f>
        <v>44773</v>
      </c>
      <c r="N802" s="74">
        <f>IFERROR(__xludf.DUMMYFUNCTION("""COMPUTED_VALUE"""),288.28)</f>
        <v>288.28</v>
      </c>
      <c r="O802" s="74"/>
    </row>
    <row r="803">
      <c r="A803" s="88"/>
      <c r="B803" s="89"/>
      <c r="M803" s="78">
        <f>IFERROR(__xludf.DUMMYFUNCTION("""COMPUTED_VALUE"""),44772.0)</f>
        <v>44772</v>
      </c>
      <c r="N803" s="74">
        <f>IFERROR(__xludf.DUMMYFUNCTION("""COMPUTED_VALUE"""),288.28)</f>
        <v>288.28</v>
      </c>
      <c r="O803" s="74"/>
    </row>
    <row r="804">
      <c r="A804" s="88"/>
      <c r="B804" s="89"/>
      <c r="M804" s="78">
        <f>IFERROR(__xludf.DUMMYFUNCTION("""COMPUTED_VALUE"""),44771.0)</f>
        <v>44771</v>
      </c>
      <c r="N804" s="74">
        <f>IFERROR(__xludf.DUMMYFUNCTION("""COMPUTED_VALUE"""),288.28)</f>
        <v>288.28</v>
      </c>
      <c r="O804" s="74"/>
    </row>
    <row r="805">
      <c r="A805" s="88"/>
      <c r="B805" s="89"/>
      <c r="M805" s="78">
        <f>IFERROR(__xludf.DUMMYFUNCTION("""COMPUTED_VALUE"""),44770.0)</f>
        <v>44770</v>
      </c>
      <c r="N805" s="74">
        <f>IFERROR(__xludf.DUMMYFUNCTION("""COMPUTED_VALUE"""),321.9)</f>
        <v>321.9</v>
      </c>
      <c r="O805" s="74"/>
    </row>
    <row r="806">
      <c r="A806" s="88"/>
      <c r="B806" s="89"/>
      <c r="M806" s="78">
        <f>IFERROR(__xludf.DUMMYFUNCTION("""COMPUTED_VALUE"""),44769.0)</f>
        <v>44769</v>
      </c>
      <c r="N806" s="74">
        <f>IFERROR(__xludf.DUMMYFUNCTION("""COMPUTED_VALUE"""),339.4)</f>
        <v>339.4</v>
      </c>
      <c r="O806" s="74"/>
    </row>
    <row r="807">
      <c r="A807" s="88"/>
      <c r="B807" s="89"/>
      <c r="M807" s="78">
        <f>IFERROR(__xludf.DUMMYFUNCTION("""COMPUTED_VALUE"""),44768.0)</f>
        <v>44768</v>
      </c>
      <c r="N807" s="74">
        <f>IFERROR(__xludf.DUMMYFUNCTION("""COMPUTED_VALUE"""),328.14)</f>
        <v>328.14</v>
      </c>
      <c r="O807" s="74"/>
    </row>
    <row r="808">
      <c r="A808" s="88"/>
      <c r="B808" s="89"/>
      <c r="M808" s="78">
        <f>IFERROR(__xludf.DUMMYFUNCTION("""COMPUTED_VALUE"""),44767.0)</f>
        <v>44767</v>
      </c>
      <c r="N808" s="74">
        <f>IFERROR(__xludf.DUMMYFUNCTION("""COMPUTED_VALUE"""),325.99)</f>
        <v>325.99</v>
      </c>
      <c r="O808" s="74"/>
    </row>
    <row r="809">
      <c r="A809" s="88"/>
      <c r="B809" s="89"/>
      <c r="M809" s="78">
        <f>IFERROR(__xludf.DUMMYFUNCTION("""COMPUTED_VALUE"""),44766.0)</f>
        <v>44766</v>
      </c>
      <c r="N809" s="74">
        <f>IFERROR(__xludf.DUMMYFUNCTION("""COMPUTED_VALUE"""),326.47)</f>
        <v>326.47</v>
      </c>
      <c r="O809" s="74"/>
    </row>
    <row r="810">
      <c r="A810" s="88"/>
      <c r="B810" s="89"/>
      <c r="M810" s="78">
        <f>IFERROR(__xludf.DUMMYFUNCTION("""COMPUTED_VALUE"""),44765.0)</f>
        <v>44765</v>
      </c>
      <c r="N810" s="74">
        <f>IFERROR(__xludf.DUMMYFUNCTION("""COMPUTED_VALUE"""),326.47)</f>
        <v>326.47</v>
      </c>
      <c r="O810" s="74"/>
    </row>
    <row r="811">
      <c r="A811" s="88"/>
      <c r="B811" s="89"/>
      <c r="M811" s="78">
        <f>IFERROR(__xludf.DUMMYFUNCTION("""COMPUTED_VALUE"""),44764.0)</f>
        <v>44764</v>
      </c>
      <c r="N811" s="74">
        <f>IFERROR(__xludf.DUMMYFUNCTION("""COMPUTED_VALUE"""),326.47)</f>
        <v>326.47</v>
      </c>
      <c r="O811" s="74"/>
    </row>
    <row r="812">
      <c r="A812" s="88"/>
      <c r="B812" s="89"/>
      <c r="M812" s="78">
        <f>IFERROR(__xludf.DUMMYFUNCTION("""COMPUTED_VALUE"""),44763.0)</f>
        <v>44763</v>
      </c>
      <c r="N812" s="74">
        <f>IFERROR(__xludf.DUMMYFUNCTION("""COMPUTED_VALUE"""),329.82)</f>
        <v>329.82</v>
      </c>
      <c r="O812" s="74"/>
    </row>
    <row r="813">
      <c r="A813" s="88"/>
      <c r="B813" s="89"/>
      <c r="M813" s="78">
        <f>IFERROR(__xludf.DUMMYFUNCTION("""COMPUTED_VALUE"""),44762.0)</f>
        <v>44762</v>
      </c>
      <c r="N813" s="74">
        <f>IFERROR(__xludf.DUMMYFUNCTION("""COMPUTED_VALUE"""),308.75)</f>
        <v>308.75</v>
      </c>
      <c r="O813" s="74"/>
    </row>
    <row r="814">
      <c r="A814" s="88"/>
      <c r="B814" s="89"/>
      <c r="M814" s="78">
        <f>IFERROR(__xludf.DUMMYFUNCTION("""COMPUTED_VALUE"""),44761.0)</f>
        <v>44761</v>
      </c>
      <c r="N814" s="74">
        <f>IFERROR(__xludf.DUMMYFUNCTION("""COMPUTED_VALUE"""),303.8)</f>
        <v>303.8</v>
      </c>
      <c r="O814" s="74"/>
    </row>
    <row r="815">
      <c r="A815" s="88"/>
      <c r="B815" s="89"/>
      <c r="M815" s="78">
        <f>IFERROR(__xludf.DUMMYFUNCTION("""COMPUTED_VALUE"""),44760.0)</f>
        <v>44760</v>
      </c>
      <c r="N815" s="74">
        <f>IFERROR(__xludf.DUMMYFUNCTION("""COMPUTED_VALUE"""),303.92)</f>
        <v>303.92</v>
      </c>
      <c r="O815" s="74"/>
    </row>
    <row r="816">
      <c r="A816" s="88"/>
      <c r="B816" s="89"/>
      <c r="M816" s="78">
        <f>IFERROR(__xludf.DUMMYFUNCTION("""COMPUTED_VALUE"""),44757.0)</f>
        <v>44757</v>
      </c>
      <c r="N816" s="74">
        <f>IFERROR(__xludf.DUMMYFUNCTION("""COMPUTED_VALUE"""),301.49)</f>
        <v>301.49</v>
      </c>
      <c r="O816" s="74"/>
    </row>
    <row r="817">
      <c r="A817" s="88"/>
      <c r="B817" s="89"/>
      <c r="M817" s="78">
        <f>IFERROR(__xludf.DUMMYFUNCTION("""COMPUTED_VALUE"""),44756.0)</f>
        <v>44756</v>
      </c>
      <c r="N817" s="74">
        <f>IFERROR(__xludf.DUMMYFUNCTION("""COMPUTED_VALUE"""),294.93)</f>
        <v>294.93</v>
      </c>
      <c r="O817" s="74"/>
    </row>
    <row r="818">
      <c r="A818" s="88"/>
      <c r="B818" s="89"/>
      <c r="M818" s="78">
        <f>IFERROR(__xludf.DUMMYFUNCTION("""COMPUTED_VALUE"""),44755.0)</f>
        <v>44755</v>
      </c>
      <c r="N818" s="74">
        <f>IFERROR(__xludf.DUMMYFUNCTION("""COMPUTED_VALUE"""),290.15)</f>
        <v>290.15</v>
      </c>
      <c r="O818" s="74"/>
    </row>
    <row r="819">
      <c r="A819" s="88"/>
      <c r="B819" s="89"/>
      <c r="M819" s="78">
        <f>IFERROR(__xludf.DUMMYFUNCTION("""COMPUTED_VALUE"""),44754.0)</f>
        <v>44754</v>
      </c>
      <c r="N819" s="74">
        <f>IFERROR(__xludf.DUMMYFUNCTION("""COMPUTED_VALUE"""),291.88)</f>
        <v>291.88</v>
      </c>
      <c r="O819" s="74"/>
    </row>
    <row r="820">
      <c r="A820" s="88"/>
      <c r="B820" s="89"/>
      <c r="M820" s="78">
        <f>IFERROR(__xludf.DUMMYFUNCTION("""COMPUTED_VALUE"""),44753.0)</f>
        <v>44753</v>
      </c>
      <c r="N820" s="74">
        <f>IFERROR(__xludf.DUMMYFUNCTION("""COMPUTED_VALUE"""),297.49)</f>
        <v>297.49</v>
      </c>
      <c r="O820" s="74"/>
    </row>
    <row r="821">
      <c r="A821" s="88"/>
      <c r="B821" s="89"/>
      <c r="M821" s="78">
        <f>IFERROR(__xludf.DUMMYFUNCTION("""COMPUTED_VALUE"""),44750.0)</f>
        <v>44750</v>
      </c>
      <c r="N821" s="74">
        <f>IFERROR(__xludf.DUMMYFUNCTION("""COMPUTED_VALUE"""),300.89)</f>
        <v>300.89</v>
      </c>
      <c r="O821" s="74"/>
    </row>
    <row r="822">
      <c r="A822" s="88"/>
      <c r="B822" s="89"/>
      <c r="M822" s="78">
        <f>IFERROR(__xludf.DUMMYFUNCTION("""COMPUTED_VALUE"""),44749.0)</f>
        <v>44749</v>
      </c>
      <c r="N822" s="74">
        <f>IFERROR(__xludf.DUMMYFUNCTION("""COMPUTED_VALUE"""),296.29)</f>
        <v>296.29</v>
      </c>
      <c r="O822" s="74"/>
    </row>
    <row r="823">
      <c r="A823" s="88"/>
      <c r="B823" s="89"/>
      <c r="M823" s="78">
        <f>IFERROR(__xludf.DUMMYFUNCTION("""COMPUTED_VALUE"""),44748.0)</f>
        <v>44748</v>
      </c>
      <c r="N823" s="74">
        <f>IFERROR(__xludf.DUMMYFUNCTION("""COMPUTED_VALUE"""),278.17)</f>
        <v>278.17</v>
      </c>
      <c r="O823" s="74"/>
    </row>
    <row r="824">
      <c r="A824" s="88"/>
      <c r="B824" s="89"/>
      <c r="M824" s="78">
        <f>IFERROR(__xludf.DUMMYFUNCTION("""COMPUTED_VALUE"""),44747.0)</f>
        <v>44747</v>
      </c>
      <c r="N824" s="74">
        <f>IFERROR(__xludf.DUMMYFUNCTION("""COMPUTED_VALUE"""),274.16)</f>
        <v>274.16</v>
      </c>
      <c r="O824" s="74"/>
    </row>
    <row r="825">
      <c r="A825" s="88"/>
      <c r="B825" s="89"/>
      <c r="M825" s="78">
        <f>IFERROR(__xludf.DUMMYFUNCTION("""COMPUTED_VALUE"""),44746.0)</f>
        <v>44746</v>
      </c>
      <c r="N825" s="74">
        <f>IFERROR(__xludf.DUMMYFUNCTION("""COMPUTED_VALUE"""),281.18)</f>
        <v>281.18</v>
      </c>
      <c r="O825" s="74"/>
    </row>
    <row r="826">
      <c r="A826" s="88"/>
      <c r="B826" s="89"/>
      <c r="M826" s="78">
        <f>IFERROR(__xludf.DUMMYFUNCTION("""COMPUTED_VALUE"""),44743.0)</f>
        <v>44743</v>
      </c>
      <c r="N826" s="74">
        <f>IFERROR(__xludf.DUMMYFUNCTION("""COMPUTED_VALUE"""),252.22)</f>
        <v>252.22</v>
      </c>
      <c r="O826" s="74"/>
    </row>
    <row r="827">
      <c r="A827" s="88"/>
      <c r="B827" s="89"/>
      <c r="M827" s="78">
        <f>IFERROR(__xludf.DUMMYFUNCTION("""COMPUTED_VALUE"""),44742.0)</f>
        <v>44742</v>
      </c>
      <c r="N827" s="74">
        <f>IFERROR(__xludf.DUMMYFUNCTION("""COMPUTED_VALUE"""),252.71)</f>
        <v>252.71</v>
      </c>
      <c r="O827" s="74"/>
    </row>
    <row r="828">
      <c r="A828" s="88"/>
      <c r="B828" s="89"/>
      <c r="M828" s="78">
        <f>IFERROR(__xludf.DUMMYFUNCTION("""COMPUTED_VALUE"""),44741.0)</f>
        <v>44741</v>
      </c>
      <c r="N828" s="74">
        <f>IFERROR(__xludf.DUMMYFUNCTION("""COMPUTED_VALUE"""),251.03)</f>
        <v>251.03</v>
      </c>
      <c r="O828" s="74"/>
    </row>
    <row r="829">
      <c r="A829" s="88"/>
      <c r="B829" s="89"/>
      <c r="M829" s="78">
        <f>IFERROR(__xludf.DUMMYFUNCTION("""COMPUTED_VALUE"""),44740.0)</f>
        <v>44740</v>
      </c>
      <c r="N829" s="74">
        <f>IFERROR(__xludf.DUMMYFUNCTION("""COMPUTED_VALUE"""),250.0)</f>
        <v>250</v>
      </c>
      <c r="O829" s="74"/>
    </row>
    <row r="830">
      <c r="A830" s="88"/>
      <c r="B830" s="89"/>
      <c r="M830" s="78">
        <f>IFERROR(__xludf.DUMMYFUNCTION("""COMPUTED_VALUE"""),44739.0)</f>
        <v>44739</v>
      </c>
      <c r="N830" s="74">
        <f>IFERROR(__xludf.DUMMYFUNCTION("""COMPUTED_VALUE"""),244.39)</f>
        <v>244.39</v>
      </c>
      <c r="O830" s="74"/>
    </row>
    <row r="831">
      <c r="A831" s="88"/>
      <c r="B831" s="89"/>
      <c r="M831" s="78">
        <f>IFERROR(__xludf.DUMMYFUNCTION("""COMPUTED_VALUE"""),44736.0)</f>
        <v>44736</v>
      </c>
      <c r="N831" s="74">
        <f>IFERROR(__xludf.DUMMYFUNCTION("""COMPUTED_VALUE"""),237.17)</f>
        <v>237.17</v>
      </c>
      <c r="O831" s="74"/>
    </row>
    <row r="832">
      <c r="A832" s="88"/>
      <c r="B832" s="89"/>
      <c r="M832" s="78">
        <f>IFERROR(__xludf.DUMMYFUNCTION("""COMPUTED_VALUE"""),44735.0)</f>
        <v>44735</v>
      </c>
      <c r="N832" s="74">
        <f>IFERROR(__xludf.DUMMYFUNCTION("""COMPUTED_VALUE"""),237.32)</f>
        <v>237.32</v>
      </c>
      <c r="O832" s="74"/>
    </row>
    <row r="833">
      <c r="A833" s="88"/>
      <c r="B833" s="89"/>
      <c r="M833" s="78">
        <f>IFERROR(__xludf.DUMMYFUNCTION("""COMPUTED_VALUE"""),44734.0)</f>
        <v>44734</v>
      </c>
      <c r="N833" s="74">
        <f>IFERROR(__xludf.DUMMYFUNCTION("""COMPUTED_VALUE"""),235.33)</f>
        <v>235.33</v>
      </c>
      <c r="O833" s="74"/>
    </row>
    <row r="834">
      <c r="A834" s="88"/>
      <c r="B834" s="89"/>
      <c r="M834" s="78">
        <f>IFERROR(__xludf.DUMMYFUNCTION("""COMPUTED_VALUE"""),44733.0)</f>
        <v>44733</v>
      </c>
      <c r="N834" s="74">
        <f>IFERROR(__xludf.DUMMYFUNCTION("""COMPUTED_VALUE"""),240.57)</f>
        <v>240.57</v>
      </c>
      <c r="O834" s="74"/>
    </row>
    <row r="835">
      <c r="A835" s="88"/>
      <c r="B835" s="89"/>
      <c r="M835" s="78">
        <f>IFERROR(__xludf.DUMMYFUNCTION("""COMPUTED_VALUE"""),44732.0)</f>
        <v>44732</v>
      </c>
      <c r="N835" s="74">
        <f>IFERROR(__xludf.DUMMYFUNCTION("""COMPUTED_VALUE"""),242.24)</f>
        <v>242.24</v>
      </c>
      <c r="O835" s="74"/>
    </row>
    <row r="836">
      <c r="A836" s="88"/>
      <c r="B836" s="89"/>
      <c r="M836" s="78">
        <f>IFERROR(__xludf.DUMMYFUNCTION("""COMPUTED_VALUE"""),44729.0)</f>
        <v>44729</v>
      </c>
      <c r="N836" s="74">
        <f>IFERROR(__xludf.DUMMYFUNCTION("""COMPUTED_VALUE"""),242.24)</f>
        <v>242.24</v>
      </c>
      <c r="O836" s="74"/>
    </row>
    <row r="837">
      <c r="A837" s="88"/>
      <c r="B837" s="89"/>
      <c r="M837" s="78">
        <f>IFERROR(__xludf.DUMMYFUNCTION("""COMPUTED_VALUE"""),44728.0)</f>
        <v>44728</v>
      </c>
      <c r="N837" s="74">
        <f>IFERROR(__xludf.DUMMYFUNCTION("""COMPUTED_VALUE"""),242.24)</f>
        <v>242.24</v>
      </c>
      <c r="O837" s="74"/>
    </row>
    <row r="838">
      <c r="A838" s="88"/>
      <c r="B838" s="89"/>
      <c r="M838" s="78">
        <f>IFERROR(__xludf.DUMMYFUNCTION("""COMPUTED_VALUE"""),44727.0)</f>
        <v>44727</v>
      </c>
      <c r="N838" s="74">
        <f>IFERROR(__xludf.DUMMYFUNCTION("""COMPUTED_VALUE"""),238.32)</f>
        <v>238.32</v>
      </c>
      <c r="O838" s="74"/>
    </row>
    <row r="839">
      <c r="A839" s="88"/>
      <c r="B839" s="89"/>
      <c r="M839" s="78">
        <f>IFERROR(__xludf.DUMMYFUNCTION("""COMPUTED_VALUE"""),44726.0)</f>
        <v>44726</v>
      </c>
      <c r="N839" s="74">
        <f>IFERROR(__xludf.DUMMYFUNCTION("""COMPUTED_VALUE"""),239.11)</f>
        <v>239.11</v>
      </c>
      <c r="O839" s="74"/>
    </row>
    <row r="840">
      <c r="A840" s="88"/>
      <c r="B840" s="89"/>
      <c r="M840" s="78">
        <f>IFERROR(__xludf.DUMMYFUNCTION("""COMPUTED_VALUE"""),44725.0)</f>
        <v>44725</v>
      </c>
      <c r="N840" s="74">
        <f>IFERROR(__xludf.DUMMYFUNCTION("""COMPUTED_VALUE"""),237.74)</f>
        <v>237.74</v>
      </c>
      <c r="O840" s="74"/>
    </row>
    <row r="841">
      <c r="A841" s="88"/>
      <c r="B841" s="89"/>
      <c r="M841" s="78">
        <f>IFERROR(__xludf.DUMMYFUNCTION("""COMPUTED_VALUE"""),44722.0)</f>
        <v>44722</v>
      </c>
      <c r="N841" s="74">
        <f>IFERROR(__xludf.DUMMYFUNCTION("""COMPUTED_VALUE"""),227.61)</f>
        <v>227.61</v>
      </c>
      <c r="O841" s="74"/>
    </row>
    <row r="842">
      <c r="A842" s="88"/>
      <c r="B842" s="89"/>
      <c r="M842" s="78">
        <f>IFERROR(__xludf.DUMMYFUNCTION("""COMPUTED_VALUE"""),44721.0)</f>
        <v>44721</v>
      </c>
      <c r="N842" s="74">
        <f>IFERROR(__xludf.DUMMYFUNCTION("""COMPUTED_VALUE"""),219.86)</f>
        <v>219.86</v>
      </c>
      <c r="O842" s="74"/>
    </row>
    <row r="843">
      <c r="A843" s="88"/>
      <c r="B843" s="89"/>
      <c r="M843" s="78">
        <f>IFERROR(__xludf.DUMMYFUNCTION("""COMPUTED_VALUE"""),44720.0)</f>
        <v>44720</v>
      </c>
      <c r="N843" s="74">
        <f>IFERROR(__xludf.DUMMYFUNCTION("""COMPUTED_VALUE"""),210.31)</f>
        <v>210.31</v>
      </c>
      <c r="O843" s="74"/>
    </row>
    <row r="844">
      <c r="A844" s="88"/>
      <c r="B844" s="89"/>
      <c r="M844" s="78">
        <f>IFERROR(__xludf.DUMMYFUNCTION("""COMPUTED_VALUE"""),44719.0)</f>
        <v>44719</v>
      </c>
      <c r="N844" s="74">
        <f>IFERROR(__xludf.DUMMYFUNCTION("""COMPUTED_VALUE"""),210.17)</f>
        <v>210.17</v>
      </c>
      <c r="O844" s="74"/>
    </row>
    <row r="845">
      <c r="A845" s="88"/>
      <c r="B845" s="89"/>
      <c r="M845" s="78">
        <f>IFERROR(__xludf.DUMMYFUNCTION("""COMPUTED_VALUE"""),44718.0)</f>
        <v>44718</v>
      </c>
      <c r="N845" s="74">
        <f>IFERROR(__xludf.DUMMYFUNCTION("""COMPUTED_VALUE"""),210.1)</f>
        <v>210.1</v>
      </c>
      <c r="O845" s="74"/>
    </row>
    <row r="846">
      <c r="A846" s="88"/>
      <c r="B846" s="89"/>
      <c r="M846" s="78">
        <f>IFERROR(__xludf.DUMMYFUNCTION("""COMPUTED_VALUE"""),44715.0)</f>
        <v>44715</v>
      </c>
      <c r="N846" s="74">
        <f>IFERROR(__xludf.DUMMYFUNCTION("""COMPUTED_VALUE"""),209.64)</f>
        <v>209.64</v>
      </c>
      <c r="O846" s="74"/>
    </row>
    <row r="847">
      <c r="A847" s="88"/>
      <c r="B847" s="89"/>
      <c r="M847" s="78">
        <f>IFERROR(__xludf.DUMMYFUNCTION("""COMPUTED_VALUE"""),44714.0)</f>
        <v>44714</v>
      </c>
      <c r="N847" s="74">
        <f>IFERROR(__xludf.DUMMYFUNCTION("""COMPUTED_VALUE"""),209.53)</f>
        <v>209.53</v>
      </c>
      <c r="O847" s="74"/>
    </row>
    <row r="848">
      <c r="A848" s="88"/>
      <c r="B848" s="89"/>
      <c r="M848" s="78">
        <f>IFERROR(__xludf.DUMMYFUNCTION("""COMPUTED_VALUE"""),44713.0)</f>
        <v>44713</v>
      </c>
      <c r="N848" s="74">
        <f>IFERROR(__xludf.DUMMYFUNCTION("""COMPUTED_VALUE"""),210.81)</f>
        <v>210.81</v>
      </c>
      <c r="O848" s="74"/>
    </row>
    <row r="849">
      <c r="A849" s="88"/>
      <c r="B849" s="89"/>
      <c r="M849" s="78">
        <f>IFERROR(__xludf.DUMMYFUNCTION("""COMPUTED_VALUE"""),44712.0)</f>
        <v>44712</v>
      </c>
      <c r="N849" s="74">
        <f>IFERROR(__xludf.DUMMYFUNCTION("""COMPUTED_VALUE"""),210.51)</f>
        <v>210.51</v>
      </c>
      <c r="O849" s="74"/>
    </row>
    <row r="850">
      <c r="A850" s="88"/>
      <c r="B850" s="89"/>
      <c r="M850" s="78">
        <f>IFERROR(__xludf.DUMMYFUNCTION("""COMPUTED_VALUE"""),44711.0)</f>
        <v>44711</v>
      </c>
      <c r="N850" s="74">
        <f>IFERROR(__xludf.DUMMYFUNCTION("""COMPUTED_VALUE"""),211.77)</f>
        <v>211.77</v>
      </c>
      <c r="O850" s="74"/>
    </row>
    <row r="851">
      <c r="A851" s="88"/>
      <c r="B851" s="89"/>
      <c r="M851" s="78">
        <f>IFERROR(__xludf.DUMMYFUNCTION("""COMPUTED_VALUE"""),44708.0)</f>
        <v>44708</v>
      </c>
      <c r="N851" s="74">
        <f>IFERROR(__xludf.DUMMYFUNCTION("""COMPUTED_VALUE"""),210.7)</f>
        <v>210.7</v>
      </c>
      <c r="O851" s="74"/>
    </row>
    <row r="852">
      <c r="A852" s="88"/>
      <c r="B852" s="89"/>
      <c r="M852" s="78">
        <f>IFERROR(__xludf.DUMMYFUNCTION("""COMPUTED_VALUE"""),44707.0)</f>
        <v>44707</v>
      </c>
      <c r="N852" s="74">
        <f>IFERROR(__xludf.DUMMYFUNCTION("""COMPUTED_VALUE"""),213.61)</f>
        <v>213.61</v>
      </c>
      <c r="O852" s="74"/>
    </row>
    <row r="853">
      <c r="A853" s="88"/>
      <c r="B853" s="89"/>
      <c r="M853" s="78">
        <f>IFERROR(__xludf.DUMMYFUNCTION("""COMPUTED_VALUE"""),44706.0)</f>
        <v>44706</v>
      </c>
      <c r="N853" s="74">
        <f>IFERROR(__xludf.DUMMYFUNCTION("""COMPUTED_VALUE"""),212.54)</f>
        <v>212.54</v>
      </c>
      <c r="O853" s="74"/>
    </row>
    <row r="854">
      <c r="A854" s="88"/>
      <c r="B854" s="89"/>
      <c r="M854" s="78">
        <f>IFERROR(__xludf.DUMMYFUNCTION("""COMPUTED_VALUE"""),44705.0)</f>
        <v>44705</v>
      </c>
      <c r="N854" s="74">
        <f>IFERROR(__xludf.DUMMYFUNCTION("""COMPUTED_VALUE"""),212.54)</f>
        <v>212.54</v>
      </c>
      <c r="O854" s="74"/>
    </row>
    <row r="855">
      <c r="A855" s="88"/>
      <c r="B855" s="89"/>
      <c r="M855" s="78">
        <f>IFERROR(__xludf.DUMMYFUNCTION("""COMPUTED_VALUE"""),44704.0)</f>
        <v>44704</v>
      </c>
      <c r="N855" s="74">
        <f>IFERROR(__xludf.DUMMYFUNCTION("""COMPUTED_VALUE"""),211.32)</f>
        <v>211.32</v>
      </c>
      <c r="O855" s="74"/>
    </row>
    <row r="856">
      <c r="A856" s="88"/>
      <c r="B856" s="89"/>
      <c r="M856" s="78">
        <f>IFERROR(__xludf.DUMMYFUNCTION("""COMPUTED_VALUE"""),44701.0)</f>
        <v>44701</v>
      </c>
      <c r="N856" s="74">
        <f>IFERROR(__xludf.DUMMYFUNCTION("""COMPUTED_VALUE"""),211.58)</f>
        <v>211.58</v>
      </c>
      <c r="O856" s="74"/>
    </row>
    <row r="857">
      <c r="A857" s="88"/>
      <c r="B857" s="89"/>
      <c r="M857" s="78">
        <f>IFERROR(__xludf.DUMMYFUNCTION("""COMPUTED_VALUE"""),44700.0)</f>
        <v>44700</v>
      </c>
      <c r="N857" s="74">
        <f>IFERROR(__xludf.DUMMYFUNCTION("""COMPUTED_VALUE"""),210.48)</f>
        <v>210.48</v>
      </c>
      <c r="O857" s="74"/>
    </row>
    <row r="858">
      <c r="A858" s="88"/>
      <c r="B858" s="89"/>
      <c r="M858" s="78">
        <f>IFERROR(__xludf.DUMMYFUNCTION("""COMPUTED_VALUE"""),44699.0)</f>
        <v>44699</v>
      </c>
      <c r="N858" s="74">
        <f>IFERROR(__xludf.DUMMYFUNCTION("""COMPUTED_VALUE"""),211.45)</f>
        <v>211.45</v>
      </c>
      <c r="O858" s="74"/>
    </row>
    <row r="859">
      <c r="A859" s="88"/>
      <c r="B859" s="89"/>
      <c r="M859" s="78">
        <f>IFERROR(__xludf.DUMMYFUNCTION("""COMPUTED_VALUE"""),44698.0)</f>
        <v>44698</v>
      </c>
      <c r="N859" s="74">
        <f>IFERROR(__xludf.DUMMYFUNCTION("""COMPUTED_VALUE"""),211.45)</f>
        <v>211.45</v>
      </c>
      <c r="O859" s="74"/>
    </row>
    <row r="860">
      <c r="A860" s="88"/>
      <c r="B860" s="89"/>
      <c r="M860" s="78">
        <f>IFERROR(__xludf.DUMMYFUNCTION("""COMPUTED_VALUE"""),44697.0)</f>
        <v>44697</v>
      </c>
      <c r="N860" s="74">
        <f>IFERROR(__xludf.DUMMYFUNCTION("""COMPUTED_VALUE"""),213.13)</f>
        <v>213.13</v>
      </c>
      <c r="O860" s="74"/>
    </row>
    <row r="861">
      <c r="A861" s="88"/>
      <c r="B861" s="89"/>
      <c r="M861" s="78">
        <f>IFERROR(__xludf.DUMMYFUNCTION("""COMPUTED_VALUE"""),44694.0)</f>
        <v>44694</v>
      </c>
      <c r="N861" s="74">
        <f>IFERROR(__xludf.DUMMYFUNCTION("""COMPUTED_VALUE"""),213.18)</f>
        <v>213.18</v>
      </c>
      <c r="O861" s="74"/>
    </row>
    <row r="862">
      <c r="A862" s="88"/>
      <c r="B862" s="89"/>
      <c r="M862" s="78">
        <f>IFERROR(__xludf.DUMMYFUNCTION("""COMPUTED_VALUE"""),44693.0)</f>
        <v>44693</v>
      </c>
      <c r="N862" s="74">
        <f>IFERROR(__xludf.DUMMYFUNCTION("""COMPUTED_VALUE"""),209.13)</f>
        <v>209.13</v>
      </c>
      <c r="O862" s="74"/>
    </row>
    <row r="863">
      <c r="A863" s="88"/>
      <c r="B863" s="89"/>
      <c r="M863" s="78">
        <f>IFERROR(__xludf.DUMMYFUNCTION("""COMPUTED_VALUE"""),44692.0)</f>
        <v>44692</v>
      </c>
      <c r="N863" s="74">
        <f>IFERROR(__xludf.DUMMYFUNCTION("""COMPUTED_VALUE"""),207.88)</f>
        <v>207.88</v>
      </c>
      <c r="O863" s="74"/>
    </row>
    <row r="864">
      <c r="A864" s="88"/>
      <c r="B864" s="89"/>
      <c r="M864" s="78">
        <f>IFERROR(__xludf.DUMMYFUNCTION("""COMPUTED_VALUE"""),44691.0)</f>
        <v>44691</v>
      </c>
      <c r="N864" s="74">
        <f>IFERROR(__xludf.DUMMYFUNCTION("""COMPUTED_VALUE"""),209.08)</f>
        <v>209.08</v>
      </c>
      <c r="O864" s="74"/>
    </row>
    <row r="865">
      <c r="A865" s="88"/>
      <c r="B865" s="89"/>
      <c r="M865" s="78">
        <f>IFERROR(__xludf.DUMMYFUNCTION("""COMPUTED_VALUE"""),44690.0)</f>
        <v>44690</v>
      </c>
      <c r="N865" s="74">
        <f>IFERROR(__xludf.DUMMYFUNCTION("""COMPUTED_VALUE"""),208.01)</f>
        <v>208.01</v>
      </c>
      <c r="O865" s="74"/>
    </row>
    <row r="866">
      <c r="A866" s="88"/>
      <c r="B866" s="89"/>
      <c r="M866" s="78">
        <f>IFERROR(__xludf.DUMMYFUNCTION("""COMPUTED_VALUE"""),44687.0)</f>
        <v>44687</v>
      </c>
      <c r="N866" s="74">
        <f>IFERROR(__xludf.DUMMYFUNCTION("""COMPUTED_VALUE"""),208.16)</f>
        <v>208.16</v>
      </c>
      <c r="O866" s="74"/>
    </row>
    <row r="867">
      <c r="A867" s="88"/>
      <c r="B867" s="89"/>
      <c r="M867" s="78">
        <f>IFERROR(__xludf.DUMMYFUNCTION("""COMPUTED_VALUE"""),44686.0)</f>
        <v>44686</v>
      </c>
      <c r="N867" s="74">
        <f>IFERROR(__xludf.DUMMYFUNCTION("""COMPUTED_VALUE"""),206.61)</f>
        <v>206.61</v>
      </c>
      <c r="O867" s="74"/>
    </row>
    <row r="868">
      <c r="A868" s="88"/>
      <c r="B868" s="89"/>
      <c r="M868" s="78">
        <f>IFERROR(__xludf.DUMMYFUNCTION("""COMPUTED_VALUE"""),44685.0)</f>
        <v>44685</v>
      </c>
      <c r="N868" s="74">
        <f>IFERROR(__xludf.DUMMYFUNCTION("""COMPUTED_VALUE"""),204.89)</f>
        <v>204.89</v>
      </c>
      <c r="O868" s="74"/>
    </row>
    <row r="869">
      <c r="A869" s="88"/>
      <c r="B869" s="89"/>
      <c r="M869" s="78">
        <f>IFERROR(__xludf.DUMMYFUNCTION("""COMPUTED_VALUE"""),44684.0)</f>
        <v>44684</v>
      </c>
      <c r="N869" s="74">
        <f>IFERROR(__xludf.DUMMYFUNCTION("""COMPUTED_VALUE"""),208.6)</f>
        <v>208.6</v>
      </c>
      <c r="O869" s="74"/>
    </row>
    <row r="870">
      <c r="A870" s="88"/>
      <c r="B870" s="89"/>
      <c r="M870" s="78">
        <f>IFERROR(__xludf.DUMMYFUNCTION("""COMPUTED_VALUE"""),44683.0)</f>
        <v>44683</v>
      </c>
      <c r="N870" s="74">
        <f>IFERROR(__xludf.DUMMYFUNCTION("""COMPUTED_VALUE"""),210.72)</f>
        <v>210.72</v>
      </c>
      <c r="O870" s="74"/>
    </row>
    <row r="871">
      <c r="A871" s="88"/>
      <c r="B871" s="89"/>
      <c r="M871" s="78">
        <f>IFERROR(__xludf.DUMMYFUNCTION("""COMPUTED_VALUE"""),44680.0)</f>
        <v>44680</v>
      </c>
      <c r="N871" s="74">
        <f>IFERROR(__xludf.DUMMYFUNCTION("""COMPUTED_VALUE"""),206.96)</f>
        <v>206.96</v>
      </c>
      <c r="O871" s="74"/>
    </row>
    <row r="872">
      <c r="A872" s="88"/>
      <c r="B872" s="89"/>
      <c r="M872" s="78">
        <f>IFERROR(__xludf.DUMMYFUNCTION("""COMPUTED_VALUE"""),44679.0)</f>
        <v>44679</v>
      </c>
      <c r="N872" s="74">
        <f>IFERROR(__xludf.DUMMYFUNCTION("""COMPUTED_VALUE"""),205.45)</f>
        <v>205.45</v>
      </c>
      <c r="O872" s="74"/>
    </row>
    <row r="873">
      <c r="A873" s="88"/>
      <c r="B873" s="89"/>
      <c r="M873" s="78">
        <f>IFERROR(__xludf.DUMMYFUNCTION("""COMPUTED_VALUE"""),44678.0)</f>
        <v>44678</v>
      </c>
      <c r="N873" s="74">
        <f>IFERROR(__xludf.DUMMYFUNCTION("""COMPUTED_VALUE"""),210.72)</f>
        <v>210.72</v>
      </c>
      <c r="O873" s="74"/>
    </row>
    <row r="874">
      <c r="A874" s="88"/>
      <c r="B874" s="89"/>
      <c r="M874" s="78">
        <f>IFERROR(__xludf.DUMMYFUNCTION("""COMPUTED_VALUE"""),44677.0)</f>
        <v>44677</v>
      </c>
      <c r="N874" s="74">
        <f>IFERROR(__xludf.DUMMYFUNCTION("""COMPUTED_VALUE"""),214.11)</f>
        <v>214.11</v>
      </c>
      <c r="O874" s="74"/>
    </row>
    <row r="875">
      <c r="A875" s="88"/>
      <c r="B875" s="89"/>
      <c r="M875" s="78">
        <f>IFERROR(__xludf.DUMMYFUNCTION("""COMPUTED_VALUE"""),44676.0)</f>
        <v>44676</v>
      </c>
      <c r="N875" s="74">
        <f>IFERROR(__xludf.DUMMYFUNCTION("""COMPUTED_VALUE"""),209.56)</f>
        <v>209.56</v>
      </c>
      <c r="O875" s="74"/>
    </row>
    <row r="876">
      <c r="A876" s="88"/>
      <c r="B876" s="89"/>
      <c r="M876" s="78">
        <f>IFERROR(__xludf.DUMMYFUNCTION("""COMPUTED_VALUE"""),44673.0)</f>
        <v>44673</v>
      </c>
      <c r="N876" s="74">
        <f>IFERROR(__xludf.DUMMYFUNCTION("""COMPUTED_VALUE"""),208.79)</f>
        <v>208.79</v>
      </c>
      <c r="O876" s="74"/>
    </row>
    <row r="877">
      <c r="A877" s="88"/>
      <c r="B877" s="89"/>
      <c r="M877" s="78">
        <f>IFERROR(__xludf.DUMMYFUNCTION("""COMPUTED_VALUE"""),44672.0)</f>
        <v>44672</v>
      </c>
      <c r="N877" s="74">
        <f>IFERROR(__xludf.DUMMYFUNCTION("""COMPUTED_VALUE"""),203.73)</f>
        <v>203.73</v>
      </c>
      <c r="O877" s="74"/>
    </row>
    <row r="878">
      <c r="A878" s="88"/>
      <c r="B878" s="89"/>
      <c r="M878" s="78">
        <f>IFERROR(__xludf.DUMMYFUNCTION("""COMPUTED_VALUE"""),44671.0)</f>
        <v>44671</v>
      </c>
      <c r="N878" s="74">
        <f>IFERROR(__xludf.DUMMYFUNCTION("""COMPUTED_VALUE"""),194.66)</f>
        <v>194.66</v>
      </c>
      <c r="O878" s="74"/>
    </row>
    <row r="879">
      <c r="A879" s="88"/>
      <c r="B879" s="89"/>
      <c r="M879" s="78">
        <f>IFERROR(__xludf.DUMMYFUNCTION("""COMPUTED_VALUE"""),44670.0)</f>
        <v>44670</v>
      </c>
      <c r="N879" s="74">
        <f>IFERROR(__xludf.DUMMYFUNCTION("""COMPUTED_VALUE"""),191.12)</f>
        <v>191.12</v>
      </c>
      <c r="O879" s="74"/>
    </row>
    <row r="880">
      <c r="A880" s="88"/>
      <c r="B880" s="89"/>
      <c r="M880" s="78">
        <f>IFERROR(__xludf.DUMMYFUNCTION("""COMPUTED_VALUE"""),44669.0)</f>
        <v>44669</v>
      </c>
      <c r="N880" s="74">
        <f>IFERROR(__xludf.DUMMYFUNCTION("""COMPUTED_VALUE"""),188.74)</f>
        <v>188.74</v>
      </c>
      <c r="O880" s="74"/>
    </row>
    <row r="881">
      <c r="A881" s="88"/>
      <c r="B881" s="89"/>
      <c r="M881" s="78">
        <f>IFERROR(__xludf.DUMMYFUNCTION("""COMPUTED_VALUE"""),44666.0)</f>
        <v>44666</v>
      </c>
      <c r="N881" s="74">
        <f>IFERROR(__xludf.DUMMYFUNCTION("""COMPUTED_VALUE"""),190.53)</f>
        <v>190.53</v>
      </c>
      <c r="O881" s="74"/>
    </row>
    <row r="882">
      <c r="A882" s="88"/>
      <c r="B882" s="89"/>
      <c r="M882" s="78">
        <f>IFERROR(__xludf.DUMMYFUNCTION("""COMPUTED_VALUE"""),44665.0)</f>
        <v>44665</v>
      </c>
      <c r="N882" s="74">
        <f>IFERROR(__xludf.DUMMYFUNCTION("""COMPUTED_VALUE"""),190.53)</f>
        <v>190.53</v>
      </c>
      <c r="O882" s="74"/>
    </row>
    <row r="883">
      <c r="A883" s="88"/>
      <c r="B883" s="89"/>
      <c r="M883" s="78">
        <f>IFERROR(__xludf.DUMMYFUNCTION("""COMPUTED_VALUE"""),44664.0)</f>
        <v>44664</v>
      </c>
      <c r="N883" s="74">
        <f>IFERROR(__xludf.DUMMYFUNCTION("""COMPUTED_VALUE"""),190.53)</f>
        <v>190.53</v>
      </c>
      <c r="O883" s="74"/>
    </row>
    <row r="884">
      <c r="A884" s="88"/>
      <c r="B884" s="89"/>
      <c r="M884" s="78">
        <f>IFERROR(__xludf.DUMMYFUNCTION("""COMPUTED_VALUE"""),44663.0)</f>
        <v>44663</v>
      </c>
      <c r="N884" s="74">
        <f>IFERROR(__xludf.DUMMYFUNCTION("""COMPUTED_VALUE"""),190.8)</f>
        <v>190.8</v>
      </c>
      <c r="O884" s="74"/>
    </row>
    <row r="885">
      <c r="A885" s="88"/>
      <c r="B885" s="89"/>
      <c r="M885" s="78">
        <f>IFERROR(__xludf.DUMMYFUNCTION("""COMPUTED_VALUE"""),44662.0)</f>
        <v>44662</v>
      </c>
      <c r="N885" s="74">
        <f>IFERROR(__xludf.DUMMYFUNCTION("""COMPUTED_VALUE"""),190.97)</f>
        <v>190.97</v>
      </c>
      <c r="O885" s="74"/>
    </row>
    <row r="886">
      <c r="A886" s="88"/>
      <c r="B886" s="89"/>
      <c r="M886" s="78">
        <f>IFERROR(__xludf.DUMMYFUNCTION("""COMPUTED_VALUE"""),44659.0)</f>
        <v>44659</v>
      </c>
      <c r="N886" s="74">
        <f>IFERROR(__xludf.DUMMYFUNCTION("""COMPUTED_VALUE"""),190.06)</f>
        <v>190.06</v>
      </c>
      <c r="O886" s="74"/>
    </row>
    <row r="887">
      <c r="A887" s="88"/>
      <c r="B887" s="89"/>
      <c r="M887" s="78">
        <f>IFERROR(__xludf.DUMMYFUNCTION("""COMPUTED_VALUE"""),44658.0)</f>
        <v>44658</v>
      </c>
      <c r="N887" s="74">
        <f>IFERROR(__xludf.DUMMYFUNCTION("""COMPUTED_VALUE"""),191.01)</f>
        <v>191.01</v>
      </c>
      <c r="O887" s="74"/>
    </row>
    <row r="888">
      <c r="A888" s="88"/>
      <c r="B888" s="89"/>
      <c r="M888" s="78">
        <f>IFERROR(__xludf.DUMMYFUNCTION("""COMPUTED_VALUE"""),44657.0)</f>
        <v>44657</v>
      </c>
      <c r="N888" s="74">
        <f>IFERROR(__xludf.DUMMYFUNCTION("""COMPUTED_VALUE"""),189.58)</f>
        <v>189.58</v>
      </c>
      <c r="O888" s="74"/>
    </row>
    <row r="889">
      <c r="A889" s="88"/>
      <c r="B889" s="89"/>
      <c r="M889" s="78">
        <f>IFERROR(__xludf.DUMMYFUNCTION("""COMPUTED_VALUE"""),44656.0)</f>
        <v>44656</v>
      </c>
      <c r="N889" s="74">
        <f>IFERROR(__xludf.DUMMYFUNCTION("""COMPUTED_VALUE"""),190.0)</f>
        <v>190</v>
      </c>
      <c r="O889" s="74"/>
    </row>
    <row r="890">
      <c r="A890" s="88"/>
      <c r="B890" s="89"/>
      <c r="M890" s="78">
        <f>IFERROR(__xludf.DUMMYFUNCTION("""COMPUTED_VALUE"""),44655.0)</f>
        <v>44655</v>
      </c>
      <c r="N890" s="74">
        <f>IFERROR(__xludf.DUMMYFUNCTION("""COMPUTED_VALUE"""),190.49)</f>
        <v>190.49</v>
      </c>
      <c r="O890" s="74"/>
    </row>
    <row r="891">
      <c r="A891" s="88"/>
      <c r="B891" s="89"/>
      <c r="M891" s="78">
        <f>IFERROR(__xludf.DUMMYFUNCTION("""COMPUTED_VALUE"""),44652.0)</f>
        <v>44652</v>
      </c>
      <c r="N891" s="74">
        <f>IFERROR(__xludf.DUMMYFUNCTION("""COMPUTED_VALUE"""),189.52)</f>
        <v>189.52</v>
      </c>
      <c r="O891" s="74"/>
    </row>
    <row r="892">
      <c r="A892" s="88"/>
      <c r="B892" s="89"/>
      <c r="M892" s="78">
        <f>IFERROR(__xludf.DUMMYFUNCTION("""COMPUTED_VALUE"""),44651.0)</f>
        <v>44651</v>
      </c>
      <c r="N892" s="74">
        <f>IFERROR(__xludf.DUMMYFUNCTION("""COMPUTED_VALUE"""),190.28)</f>
        <v>190.28</v>
      </c>
      <c r="O892" s="74"/>
    </row>
    <row r="893">
      <c r="A893" s="88"/>
      <c r="B893" s="89"/>
      <c r="M893" s="78">
        <f>IFERROR(__xludf.DUMMYFUNCTION("""COMPUTED_VALUE"""),44650.0)</f>
        <v>44650</v>
      </c>
      <c r="N893" s="74">
        <f>IFERROR(__xludf.DUMMYFUNCTION("""COMPUTED_VALUE"""),193.04)</f>
        <v>193.04</v>
      </c>
      <c r="O893" s="74"/>
    </row>
    <row r="894">
      <c r="A894" s="88"/>
      <c r="B894" s="89"/>
      <c r="M894" s="78">
        <f>IFERROR(__xludf.DUMMYFUNCTION("""COMPUTED_VALUE"""),44649.0)</f>
        <v>44649</v>
      </c>
      <c r="N894" s="74">
        <f>IFERROR(__xludf.DUMMYFUNCTION("""COMPUTED_VALUE"""),191.99)</f>
        <v>191.99</v>
      </c>
      <c r="O894" s="74"/>
    </row>
    <row r="895">
      <c r="A895" s="88"/>
      <c r="B895" s="89"/>
      <c r="M895" s="78">
        <f>IFERROR(__xludf.DUMMYFUNCTION("""COMPUTED_VALUE"""),44648.0)</f>
        <v>44648</v>
      </c>
      <c r="N895" s="74">
        <f>IFERROR(__xludf.DUMMYFUNCTION("""COMPUTED_VALUE"""),197.16)</f>
        <v>197.16</v>
      </c>
      <c r="O895" s="74"/>
    </row>
    <row r="896">
      <c r="A896" s="88"/>
      <c r="B896" s="89"/>
      <c r="M896" s="78">
        <f>IFERROR(__xludf.DUMMYFUNCTION("""COMPUTED_VALUE"""),44645.0)</f>
        <v>44645</v>
      </c>
      <c r="N896" s="74">
        <f>IFERROR(__xludf.DUMMYFUNCTION("""COMPUTED_VALUE"""),200.5)</f>
        <v>200.5</v>
      </c>
      <c r="O896" s="74"/>
    </row>
    <row r="897">
      <c r="A897" s="88"/>
      <c r="B897" s="89"/>
      <c r="M897" s="78">
        <f>IFERROR(__xludf.DUMMYFUNCTION("""COMPUTED_VALUE"""),44643.0)</f>
        <v>44643</v>
      </c>
      <c r="N897" s="74">
        <f>IFERROR(__xludf.DUMMYFUNCTION("""COMPUTED_VALUE"""),201.1)</f>
        <v>201.1</v>
      </c>
      <c r="O897" s="74"/>
    </row>
    <row r="898">
      <c r="A898" s="88"/>
      <c r="B898" s="89"/>
      <c r="M898" s="78">
        <f>IFERROR(__xludf.DUMMYFUNCTION("""COMPUTED_VALUE"""),44642.0)</f>
        <v>44642</v>
      </c>
      <c r="N898" s="74">
        <f>IFERROR(__xludf.DUMMYFUNCTION("""COMPUTED_VALUE"""),200.62)</f>
        <v>200.62</v>
      </c>
      <c r="O898" s="74"/>
    </row>
    <row r="899">
      <c r="A899" s="88"/>
      <c r="B899" s="89"/>
      <c r="M899" s="78">
        <f>IFERROR(__xludf.DUMMYFUNCTION("""COMPUTED_VALUE"""),44641.0)</f>
        <v>44641</v>
      </c>
      <c r="N899" s="74">
        <f>IFERROR(__xludf.DUMMYFUNCTION("""COMPUTED_VALUE"""),197.9)</f>
        <v>197.9</v>
      </c>
      <c r="O899" s="74"/>
    </row>
    <row r="900">
      <c r="A900" s="88"/>
      <c r="B900" s="89"/>
      <c r="M900" s="78">
        <f>IFERROR(__xludf.DUMMYFUNCTION("""COMPUTED_VALUE"""),44638.0)</f>
        <v>44638</v>
      </c>
      <c r="N900" s="74">
        <f>IFERROR(__xludf.DUMMYFUNCTION("""COMPUTED_VALUE"""),195.47)</f>
        <v>195.47</v>
      </c>
      <c r="O900" s="74"/>
    </row>
    <row r="901">
      <c r="A901" s="88"/>
      <c r="B901" s="89"/>
      <c r="M901" s="78">
        <f>IFERROR(__xludf.DUMMYFUNCTION("""COMPUTED_VALUE"""),44637.0)</f>
        <v>44637</v>
      </c>
      <c r="N901" s="74">
        <f>IFERROR(__xludf.DUMMYFUNCTION("""COMPUTED_VALUE"""),195.74)</f>
        <v>195.74</v>
      </c>
      <c r="O901" s="74"/>
    </row>
    <row r="902">
      <c r="A902" s="88"/>
      <c r="B902" s="89"/>
      <c r="M902" s="78">
        <f>IFERROR(__xludf.DUMMYFUNCTION("""COMPUTED_VALUE"""),44636.0)</f>
        <v>44636</v>
      </c>
      <c r="N902" s="74">
        <f>IFERROR(__xludf.DUMMYFUNCTION("""COMPUTED_VALUE"""),194.59)</f>
        <v>194.59</v>
      </c>
      <c r="O902" s="74"/>
    </row>
    <row r="903">
      <c r="A903" s="88"/>
      <c r="B903" s="89"/>
      <c r="M903" s="78">
        <f>IFERROR(__xludf.DUMMYFUNCTION("""COMPUTED_VALUE"""),44635.0)</f>
        <v>44635</v>
      </c>
      <c r="N903" s="74">
        <f>IFERROR(__xludf.DUMMYFUNCTION("""COMPUTED_VALUE"""),189.1)</f>
        <v>189.1</v>
      </c>
      <c r="O903" s="74"/>
    </row>
    <row r="904">
      <c r="A904" s="88"/>
      <c r="B904" s="89"/>
      <c r="M904" s="78">
        <f>IFERROR(__xludf.DUMMYFUNCTION("""COMPUTED_VALUE"""),44634.0)</f>
        <v>44634</v>
      </c>
      <c r="N904" s="74">
        <f>IFERROR(__xludf.DUMMYFUNCTION("""COMPUTED_VALUE"""),188.38)</f>
        <v>188.38</v>
      </c>
      <c r="O904" s="74"/>
    </row>
    <row r="905">
      <c r="A905" s="88"/>
      <c r="B905" s="89"/>
      <c r="M905" s="78">
        <f>IFERROR(__xludf.DUMMYFUNCTION("""COMPUTED_VALUE"""),44631.0)</f>
        <v>44631</v>
      </c>
      <c r="N905" s="74">
        <f>IFERROR(__xludf.DUMMYFUNCTION("""COMPUTED_VALUE"""),190.0)</f>
        <v>190</v>
      </c>
      <c r="O905" s="74"/>
    </row>
    <row r="906">
      <c r="A906" s="88"/>
      <c r="B906" s="89"/>
      <c r="M906" s="78">
        <f>IFERROR(__xludf.DUMMYFUNCTION("""COMPUTED_VALUE"""),44630.0)</f>
        <v>44630</v>
      </c>
      <c r="N906" s="74">
        <f>IFERROR(__xludf.DUMMYFUNCTION("""COMPUTED_VALUE"""),192.25)</f>
        <v>192.25</v>
      </c>
      <c r="O906" s="74"/>
    </row>
    <row r="907">
      <c r="A907" s="88"/>
      <c r="B907" s="89"/>
      <c r="M907" s="78">
        <f>IFERROR(__xludf.DUMMYFUNCTION("""COMPUTED_VALUE"""),44629.0)</f>
        <v>44629</v>
      </c>
      <c r="N907" s="74">
        <f>IFERROR(__xludf.DUMMYFUNCTION("""COMPUTED_VALUE"""),193.74)</f>
        <v>193.74</v>
      </c>
      <c r="O907" s="74"/>
    </row>
    <row r="908">
      <c r="A908" s="88"/>
      <c r="B908" s="89"/>
      <c r="M908" s="78">
        <f>IFERROR(__xludf.DUMMYFUNCTION("""COMPUTED_VALUE"""),44628.0)</f>
        <v>44628</v>
      </c>
      <c r="N908" s="74">
        <f>IFERROR(__xludf.DUMMYFUNCTION("""COMPUTED_VALUE"""),198.67)</f>
        <v>198.67</v>
      </c>
      <c r="O908" s="74"/>
    </row>
    <row r="909">
      <c r="A909" s="88"/>
      <c r="B909" s="89"/>
      <c r="M909" s="78">
        <f>IFERROR(__xludf.DUMMYFUNCTION("""COMPUTED_VALUE"""),44627.0)</f>
        <v>44627</v>
      </c>
      <c r="N909" s="74">
        <f>IFERROR(__xludf.DUMMYFUNCTION("""COMPUTED_VALUE"""),200.1)</f>
        <v>200.1</v>
      </c>
      <c r="O909" s="74"/>
    </row>
    <row r="910">
      <c r="A910" s="88"/>
      <c r="B910" s="89"/>
      <c r="M910" s="78">
        <f>IFERROR(__xludf.DUMMYFUNCTION("""COMPUTED_VALUE"""),44626.0)</f>
        <v>44626</v>
      </c>
      <c r="N910" s="74">
        <f>IFERROR(__xludf.DUMMYFUNCTION("""COMPUTED_VALUE"""),201.14)</f>
        <v>201.14</v>
      </c>
      <c r="O910" s="74"/>
    </row>
    <row r="911">
      <c r="A911" s="88"/>
      <c r="B911" s="89"/>
      <c r="M911" s="78">
        <f>IFERROR(__xludf.DUMMYFUNCTION("""COMPUTED_VALUE"""),44625.0)</f>
        <v>44625</v>
      </c>
      <c r="N911" s="74">
        <f>IFERROR(__xludf.DUMMYFUNCTION("""COMPUTED_VALUE"""),201.14)</f>
        <v>201.14</v>
      </c>
      <c r="O911" s="74"/>
    </row>
    <row r="912">
      <c r="A912" s="88"/>
      <c r="B912" s="89"/>
      <c r="M912" s="78">
        <f>IFERROR(__xludf.DUMMYFUNCTION("""COMPUTED_VALUE"""),44624.0)</f>
        <v>44624</v>
      </c>
      <c r="N912" s="74">
        <f>IFERROR(__xludf.DUMMYFUNCTION("""COMPUTED_VALUE"""),201.14)</f>
        <v>201.14</v>
      </c>
      <c r="O912" s="74"/>
    </row>
    <row r="913">
      <c r="A913" s="88"/>
      <c r="B913" s="89"/>
      <c r="M913" s="78">
        <f>IFERROR(__xludf.DUMMYFUNCTION("""COMPUTED_VALUE"""),44623.0)</f>
        <v>44623</v>
      </c>
      <c r="N913" s="74">
        <f>IFERROR(__xludf.DUMMYFUNCTION("""COMPUTED_VALUE"""),201.42)</f>
        <v>201.42</v>
      </c>
      <c r="O913" s="74"/>
    </row>
    <row r="914">
      <c r="A914" s="88"/>
      <c r="B914" s="89"/>
      <c r="M914" s="78">
        <f>IFERROR(__xludf.DUMMYFUNCTION("""COMPUTED_VALUE"""),44622.0)</f>
        <v>44622</v>
      </c>
      <c r="N914" s="74">
        <f>IFERROR(__xludf.DUMMYFUNCTION("""COMPUTED_VALUE"""),202.23)</f>
        <v>202.23</v>
      </c>
      <c r="O914" s="74"/>
    </row>
    <row r="915">
      <c r="A915" s="88"/>
      <c r="B915" s="89"/>
      <c r="M915" s="78">
        <f>IFERROR(__xludf.DUMMYFUNCTION("""COMPUTED_VALUE"""),44621.0)</f>
        <v>44621</v>
      </c>
      <c r="N915" s="74">
        <f>IFERROR(__xludf.DUMMYFUNCTION("""COMPUTED_VALUE"""),200.47)</f>
        <v>200.47</v>
      </c>
      <c r="O915" s="74"/>
    </row>
    <row r="916">
      <c r="A916" s="88"/>
      <c r="B916" s="89"/>
      <c r="M916" s="78">
        <f>IFERROR(__xludf.DUMMYFUNCTION("""COMPUTED_VALUE"""),44620.0)</f>
        <v>44620</v>
      </c>
      <c r="N916" s="74">
        <f>IFERROR(__xludf.DUMMYFUNCTION("""COMPUTED_VALUE"""),200.47)</f>
        <v>200.47</v>
      </c>
      <c r="O916" s="74"/>
    </row>
    <row r="917">
      <c r="A917" s="88"/>
      <c r="B917" s="89"/>
      <c r="M917" s="78">
        <f>IFERROR(__xludf.DUMMYFUNCTION("""COMPUTED_VALUE"""),44619.0)</f>
        <v>44619</v>
      </c>
      <c r="N917" s="74">
        <f>IFERROR(__xludf.DUMMYFUNCTION("""COMPUTED_VALUE"""),200.47)</f>
        <v>200.47</v>
      </c>
      <c r="O917" s="74"/>
    </row>
    <row r="918">
      <c r="A918" s="88"/>
      <c r="B918" s="89"/>
      <c r="M918" s="78">
        <f>IFERROR(__xludf.DUMMYFUNCTION("""COMPUTED_VALUE"""),44618.0)</f>
        <v>44618</v>
      </c>
      <c r="N918" s="74">
        <f>IFERROR(__xludf.DUMMYFUNCTION("""COMPUTED_VALUE"""),200.47)</f>
        <v>200.47</v>
      </c>
      <c r="O918" s="74"/>
    </row>
    <row r="919">
      <c r="A919" s="88"/>
      <c r="B919" s="89"/>
      <c r="M919" s="78">
        <f>IFERROR(__xludf.DUMMYFUNCTION("""COMPUTED_VALUE"""),44617.0)</f>
        <v>44617</v>
      </c>
      <c r="N919" s="74">
        <f>IFERROR(__xludf.DUMMYFUNCTION("""COMPUTED_VALUE"""),200.47)</f>
        <v>200.47</v>
      </c>
      <c r="O919" s="74"/>
    </row>
    <row r="920">
      <c r="A920" s="88"/>
      <c r="B920" s="89"/>
      <c r="M920" s="78">
        <f>IFERROR(__xludf.DUMMYFUNCTION("""COMPUTED_VALUE"""),44616.0)</f>
        <v>44616</v>
      </c>
      <c r="N920" s="74">
        <f>IFERROR(__xludf.DUMMYFUNCTION("""COMPUTED_VALUE"""),203.38)</f>
        <v>203.38</v>
      </c>
      <c r="O920" s="74"/>
    </row>
    <row r="921">
      <c r="A921" s="88"/>
      <c r="B921" s="89"/>
      <c r="M921" s="78">
        <f>IFERROR(__xludf.DUMMYFUNCTION("""COMPUTED_VALUE"""),44615.0)</f>
        <v>44615</v>
      </c>
      <c r="N921" s="74">
        <f>IFERROR(__xludf.DUMMYFUNCTION("""COMPUTED_VALUE"""),202.99)</f>
        <v>202.99</v>
      </c>
      <c r="O921" s="74"/>
    </row>
    <row r="922">
      <c r="A922" s="88"/>
      <c r="B922" s="89"/>
      <c r="M922" s="78">
        <f>IFERROR(__xludf.DUMMYFUNCTION("""COMPUTED_VALUE"""),44614.0)</f>
        <v>44614</v>
      </c>
      <c r="N922" s="74">
        <f>IFERROR(__xludf.DUMMYFUNCTION("""COMPUTED_VALUE"""),201.63)</f>
        <v>201.63</v>
      </c>
      <c r="O922" s="74"/>
    </row>
    <row r="923">
      <c r="A923" s="88"/>
      <c r="B923" s="89"/>
      <c r="M923" s="78">
        <f>IFERROR(__xludf.DUMMYFUNCTION("""COMPUTED_VALUE"""),44613.0)</f>
        <v>44613</v>
      </c>
      <c r="N923" s="74">
        <f>IFERROR(__xludf.DUMMYFUNCTION("""COMPUTED_VALUE"""),207.35)</f>
        <v>207.35</v>
      </c>
      <c r="O923" s="74"/>
    </row>
    <row r="924">
      <c r="A924" s="88"/>
      <c r="B924" s="89"/>
      <c r="M924" s="78">
        <f>IFERROR(__xludf.DUMMYFUNCTION("""COMPUTED_VALUE"""),44612.0)</f>
        <v>44612</v>
      </c>
      <c r="N924" s="74">
        <f>IFERROR(__xludf.DUMMYFUNCTION("""COMPUTED_VALUE"""),206.74)</f>
        <v>206.74</v>
      </c>
      <c r="O924" s="74"/>
    </row>
    <row r="925">
      <c r="A925" s="88"/>
      <c r="B925" s="89"/>
      <c r="M925" s="78">
        <f>IFERROR(__xludf.DUMMYFUNCTION("""COMPUTED_VALUE"""),44611.0)</f>
        <v>44611</v>
      </c>
      <c r="N925" s="74">
        <f>IFERROR(__xludf.DUMMYFUNCTION("""COMPUTED_VALUE"""),206.74)</f>
        <v>206.74</v>
      </c>
      <c r="O925" s="74"/>
    </row>
    <row r="926">
      <c r="A926" s="88"/>
      <c r="B926" s="89"/>
      <c r="M926" s="78">
        <f>IFERROR(__xludf.DUMMYFUNCTION("""COMPUTED_VALUE"""),44610.0)</f>
        <v>44610</v>
      </c>
      <c r="N926" s="74">
        <f>IFERROR(__xludf.DUMMYFUNCTION("""COMPUTED_VALUE"""),206.74)</f>
        <v>206.74</v>
      </c>
      <c r="O926" s="74"/>
    </row>
    <row r="927">
      <c r="A927" s="88"/>
      <c r="B927" s="89"/>
      <c r="M927" s="78">
        <f>IFERROR(__xludf.DUMMYFUNCTION("""COMPUTED_VALUE"""),44609.0)</f>
        <v>44609</v>
      </c>
      <c r="N927" s="74">
        <f>IFERROR(__xludf.DUMMYFUNCTION("""COMPUTED_VALUE"""),209.92)</f>
        <v>209.92</v>
      </c>
      <c r="O927" s="74"/>
    </row>
    <row r="928">
      <c r="A928" s="88"/>
      <c r="B928" s="89"/>
      <c r="M928" s="78">
        <f>IFERROR(__xludf.DUMMYFUNCTION("""COMPUTED_VALUE"""),44608.0)</f>
        <v>44608</v>
      </c>
      <c r="N928" s="74">
        <f>IFERROR(__xludf.DUMMYFUNCTION("""COMPUTED_VALUE"""),211.39)</f>
        <v>211.39</v>
      </c>
      <c r="O928" s="74"/>
    </row>
    <row r="929">
      <c r="A929" s="88"/>
      <c r="B929" s="89"/>
      <c r="M929" s="78">
        <f>IFERROR(__xludf.DUMMYFUNCTION("""COMPUTED_VALUE"""),44607.0)</f>
        <v>44607</v>
      </c>
      <c r="N929" s="74">
        <f>IFERROR(__xludf.DUMMYFUNCTION("""COMPUTED_VALUE"""),212.61)</f>
        <v>212.61</v>
      </c>
      <c r="O929" s="74"/>
    </row>
    <row r="930">
      <c r="A930" s="88"/>
      <c r="B930" s="89"/>
      <c r="M930" s="78">
        <f>IFERROR(__xludf.DUMMYFUNCTION("""COMPUTED_VALUE"""),44606.0)</f>
        <v>44606</v>
      </c>
      <c r="N930" s="74">
        <f>IFERROR(__xludf.DUMMYFUNCTION("""COMPUTED_VALUE"""),214.43)</f>
        <v>214.43</v>
      </c>
      <c r="O930" s="74"/>
    </row>
    <row r="931">
      <c r="A931" s="88"/>
      <c r="B931" s="89"/>
      <c r="M931" s="78">
        <f>IFERROR(__xludf.DUMMYFUNCTION("""COMPUTED_VALUE"""),44605.0)</f>
        <v>44605</v>
      </c>
      <c r="N931" s="74">
        <f>IFERROR(__xludf.DUMMYFUNCTION("""COMPUTED_VALUE"""),216.21)</f>
        <v>216.21</v>
      </c>
      <c r="O931" s="74"/>
    </row>
    <row r="932">
      <c r="A932" s="88"/>
      <c r="B932" s="89"/>
      <c r="M932" s="78">
        <f>IFERROR(__xludf.DUMMYFUNCTION("""COMPUTED_VALUE"""),44604.0)</f>
        <v>44604</v>
      </c>
      <c r="N932" s="74">
        <f>IFERROR(__xludf.DUMMYFUNCTION("""COMPUTED_VALUE"""),216.21)</f>
        <v>216.21</v>
      </c>
      <c r="O932" s="74"/>
    </row>
    <row r="933">
      <c r="A933" s="88"/>
      <c r="B933" s="89"/>
      <c r="M933" s="78">
        <f>IFERROR(__xludf.DUMMYFUNCTION("""COMPUTED_VALUE"""),44603.0)</f>
        <v>44603</v>
      </c>
      <c r="N933" s="74">
        <f>IFERROR(__xludf.DUMMYFUNCTION("""COMPUTED_VALUE"""),216.21)</f>
        <v>216.21</v>
      </c>
      <c r="O933" s="74"/>
    </row>
    <row r="934">
      <c r="A934" s="88"/>
      <c r="B934" s="89"/>
      <c r="M934" s="78">
        <f>IFERROR(__xludf.DUMMYFUNCTION("""COMPUTED_VALUE"""),44602.0)</f>
        <v>44602</v>
      </c>
      <c r="N934" s="74">
        <f>IFERROR(__xludf.DUMMYFUNCTION("""COMPUTED_VALUE"""),214.35)</f>
        <v>214.35</v>
      </c>
      <c r="O934" s="74"/>
    </row>
    <row r="935">
      <c r="A935" s="88"/>
      <c r="B935" s="89"/>
      <c r="M935" s="78">
        <f>IFERROR(__xludf.DUMMYFUNCTION("""COMPUTED_VALUE"""),44601.0)</f>
        <v>44601</v>
      </c>
      <c r="N935" s="74">
        <f>IFERROR(__xludf.DUMMYFUNCTION("""COMPUTED_VALUE"""),212.87)</f>
        <v>212.87</v>
      </c>
      <c r="O935" s="74"/>
    </row>
    <row r="936">
      <c r="A936" s="88"/>
      <c r="B936" s="89"/>
      <c r="M936" s="78">
        <f>IFERROR(__xludf.DUMMYFUNCTION("""COMPUTED_VALUE"""),44600.0)</f>
        <v>44600</v>
      </c>
      <c r="N936" s="74">
        <f>IFERROR(__xludf.DUMMYFUNCTION("""COMPUTED_VALUE"""),215.87)</f>
        <v>215.87</v>
      </c>
      <c r="O936" s="74"/>
    </row>
    <row r="937">
      <c r="A937" s="88"/>
      <c r="B937" s="89"/>
      <c r="M937" s="78">
        <f>IFERROR(__xludf.DUMMYFUNCTION("""COMPUTED_VALUE"""),44599.0)</f>
        <v>44599</v>
      </c>
      <c r="N937" s="74">
        <f>IFERROR(__xludf.DUMMYFUNCTION("""COMPUTED_VALUE"""),218.73)</f>
        <v>218.73</v>
      </c>
      <c r="O937" s="74"/>
    </row>
    <row r="938">
      <c r="A938" s="88"/>
      <c r="B938" s="89"/>
      <c r="M938" s="78">
        <f>IFERROR(__xludf.DUMMYFUNCTION("""COMPUTED_VALUE"""),44598.0)</f>
        <v>44598</v>
      </c>
      <c r="N938" s="74">
        <f>IFERROR(__xludf.DUMMYFUNCTION("""COMPUTED_VALUE"""),220.24)</f>
        <v>220.24</v>
      </c>
      <c r="O938" s="74"/>
    </row>
    <row r="939">
      <c r="A939" s="88"/>
      <c r="B939" s="89"/>
      <c r="M939" s="78">
        <f>IFERROR(__xludf.DUMMYFUNCTION("""COMPUTED_VALUE"""),44597.0)</f>
        <v>44597</v>
      </c>
      <c r="N939" s="74">
        <f>IFERROR(__xludf.DUMMYFUNCTION("""COMPUTED_VALUE"""),220.24)</f>
        <v>220.24</v>
      </c>
      <c r="O939" s="74"/>
    </row>
    <row r="940">
      <c r="A940" s="88"/>
      <c r="B940" s="89"/>
      <c r="M940" s="78">
        <f>IFERROR(__xludf.DUMMYFUNCTION("""COMPUTED_VALUE"""),44596.0)</f>
        <v>44596</v>
      </c>
      <c r="N940" s="74">
        <f>IFERROR(__xludf.DUMMYFUNCTION("""COMPUTED_VALUE"""),220.24)</f>
        <v>220.24</v>
      </c>
      <c r="O940" s="74"/>
    </row>
    <row r="941">
      <c r="A941" s="88"/>
      <c r="B941" s="89"/>
      <c r="M941" s="78">
        <f>IFERROR(__xludf.DUMMYFUNCTION("""COMPUTED_VALUE"""),44595.0)</f>
        <v>44595</v>
      </c>
      <c r="N941" s="74">
        <f>IFERROR(__xludf.DUMMYFUNCTION("""COMPUTED_VALUE"""),220.21)</f>
        <v>220.21</v>
      </c>
      <c r="O941" s="74"/>
    </row>
    <row r="942">
      <c r="A942" s="88"/>
      <c r="B942" s="89"/>
      <c r="M942" s="78">
        <f>IFERROR(__xludf.DUMMYFUNCTION("""COMPUTED_VALUE"""),44594.0)</f>
        <v>44594</v>
      </c>
      <c r="N942" s="74">
        <f>IFERROR(__xludf.DUMMYFUNCTION("""COMPUTED_VALUE"""),218.94)</f>
        <v>218.94</v>
      </c>
      <c r="O942" s="74"/>
    </row>
    <row r="943">
      <c r="A943" s="88"/>
      <c r="B943" s="89"/>
      <c r="M943" s="78">
        <f>IFERROR(__xludf.DUMMYFUNCTION("""COMPUTED_VALUE"""),44593.0)</f>
        <v>44593</v>
      </c>
      <c r="N943" s="74">
        <f>IFERROR(__xludf.DUMMYFUNCTION("""COMPUTED_VALUE"""),222.21)</f>
        <v>222.21</v>
      </c>
      <c r="O943" s="74"/>
    </row>
    <row r="944">
      <c r="A944" s="88"/>
      <c r="B944" s="89"/>
      <c r="M944" s="78">
        <f>IFERROR(__xludf.DUMMYFUNCTION("""COMPUTED_VALUE"""),44592.0)</f>
        <v>44592</v>
      </c>
      <c r="N944" s="74">
        <f>IFERROR(__xludf.DUMMYFUNCTION("""COMPUTED_VALUE"""),244.61)</f>
        <v>244.61</v>
      </c>
      <c r="O944" s="74"/>
    </row>
    <row r="945">
      <c r="A945" s="88"/>
      <c r="B945" s="89"/>
      <c r="M945" s="78">
        <f>IFERROR(__xludf.DUMMYFUNCTION("""COMPUTED_VALUE"""),44591.0)</f>
        <v>44591</v>
      </c>
      <c r="N945" s="74">
        <f>IFERROR(__xludf.DUMMYFUNCTION("""COMPUTED_VALUE"""),240.0)</f>
        <v>240</v>
      </c>
      <c r="O945" s="74"/>
    </row>
    <row r="946">
      <c r="A946" s="88"/>
      <c r="B946" s="89"/>
      <c r="M946" s="78">
        <f>IFERROR(__xludf.DUMMYFUNCTION("""COMPUTED_VALUE"""),44590.0)</f>
        <v>44590</v>
      </c>
      <c r="N946" s="74">
        <f>IFERROR(__xludf.DUMMYFUNCTION("""COMPUTED_VALUE"""),240.0)</f>
        <v>240</v>
      </c>
      <c r="O946" s="74"/>
    </row>
    <row r="947">
      <c r="A947" s="88"/>
      <c r="B947" s="89"/>
      <c r="M947" s="78">
        <f>IFERROR(__xludf.DUMMYFUNCTION("""COMPUTED_VALUE"""),44589.0)</f>
        <v>44589</v>
      </c>
      <c r="N947" s="74">
        <f>IFERROR(__xludf.DUMMYFUNCTION("""COMPUTED_VALUE"""),240.0)</f>
        <v>240</v>
      </c>
      <c r="O947" s="74"/>
    </row>
    <row r="948">
      <c r="A948" s="88"/>
      <c r="B948" s="89"/>
      <c r="M948" s="78">
        <f>IFERROR(__xludf.DUMMYFUNCTION("""COMPUTED_VALUE"""),44588.0)</f>
        <v>44588</v>
      </c>
      <c r="N948" s="74">
        <f>IFERROR(__xludf.DUMMYFUNCTION("""COMPUTED_VALUE"""),231.17)</f>
        <v>231.17</v>
      </c>
      <c r="O948" s="74"/>
    </row>
    <row r="949">
      <c r="A949" s="88"/>
      <c r="B949" s="89"/>
      <c r="M949" s="78">
        <f>IFERROR(__xludf.DUMMYFUNCTION("""COMPUTED_VALUE"""),44587.0)</f>
        <v>44587</v>
      </c>
      <c r="N949" s="74">
        <f>IFERROR(__xludf.DUMMYFUNCTION("""COMPUTED_VALUE"""),229.12)</f>
        <v>229.12</v>
      </c>
      <c r="O949" s="74"/>
    </row>
    <row r="950">
      <c r="A950" s="88"/>
      <c r="B950" s="89"/>
      <c r="M950" s="78">
        <f>IFERROR(__xludf.DUMMYFUNCTION("""COMPUTED_VALUE"""),44586.0)</f>
        <v>44586</v>
      </c>
      <c r="N950" s="74">
        <f>IFERROR(__xludf.DUMMYFUNCTION("""COMPUTED_VALUE"""),221.74)</f>
        <v>221.74</v>
      </c>
      <c r="O950" s="74"/>
    </row>
    <row r="951">
      <c r="A951" s="88"/>
      <c r="B951" s="89"/>
      <c r="M951" s="78">
        <f>IFERROR(__xludf.DUMMYFUNCTION("""COMPUTED_VALUE"""),44585.0)</f>
        <v>44585</v>
      </c>
      <c r="N951" s="74">
        <f>IFERROR(__xludf.DUMMYFUNCTION("""COMPUTED_VALUE"""),217.68)</f>
        <v>217.68</v>
      </c>
      <c r="O951" s="74"/>
    </row>
    <row r="952">
      <c r="A952" s="88"/>
      <c r="B952" s="89"/>
      <c r="M952" s="78">
        <f>IFERROR(__xludf.DUMMYFUNCTION("""COMPUTED_VALUE"""),44584.0)</f>
        <v>44584</v>
      </c>
      <c r="N952" s="74">
        <f>IFERROR(__xludf.DUMMYFUNCTION("""COMPUTED_VALUE"""),218.82)</f>
        <v>218.82</v>
      </c>
      <c r="O952" s="74"/>
    </row>
    <row r="953">
      <c r="A953" s="88"/>
      <c r="B953" s="89"/>
      <c r="M953" s="78">
        <f>IFERROR(__xludf.DUMMYFUNCTION("""COMPUTED_VALUE"""),44583.0)</f>
        <v>44583</v>
      </c>
      <c r="N953" s="74">
        <f>IFERROR(__xludf.DUMMYFUNCTION("""COMPUTED_VALUE"""),218.82)</f>
        <v>218.82</v>
      </c>
      <c r="O953" s="74"/>
    </row>
    <row r="954">
      <c r="A954" s="88"/>
      <c r="B954" s="89"/>
      <c r="M954" s="78">
        <f>IFERROR(__xludf.DUMMYFUNCTION("""COMPUTED_VALUE"""),44582.0)</f>
        <v>44582</v>
      </c>
      <c r="N954" s="74">
        <f>IFERROR(__xludf.DUMMYFUNCTION("""COMPUTED_VALUE"""),218.82)</f>
        <v>218.82</v>
      </c>
      <c r="O954" s="74"/>
    </row>
    <row r="955">
      <c r="A955" s="88"/>
      <c r="B955" s="89"/>
      <c r="M955" s="78">
        <f>IFERROR(__xludf.DUMMYFUNCTION("""COMPUTED_VALUE"""),44581.0)</f>
        <v>44581</v>
      </c>
      <c r="N955" s="74">
        <f>IFERROR(__xludf.DUMMYFUNCTION("""COMPUTED_VALUE"""),217.86)</f>
        <v>217.86</v>
      </c>
      <c r="O955" s="74"/>
    </row>
    <row r="956">
      <c r="A956" s="88"/>
      <c r="B956" s="89"/>
      <c r="M956" s="78">
        <f>IFERROR(__xludf.DUMMYFUNCTION("""COMPUTED_VALUE"""),44580.0)</f>
        <v>44580</v>
      </c>
      <c r="N956" s="74">
        <f>IFERROR(__xludf.DUMMYFUNCTION("""COMPUTED_VALUE"""),216.39)</f>
        <v>216.39</v>
      </c>
      <c r="O956" s="74"/>
    </row>
    <row r="957">
      <c r="A957" s="88"/>
      <c r="B957" s="89"/>
      <c r="M957" s="78">
        <f>IFERROR(__xludf.DUMMYFUNCTION("""COMPUTED_VALUE"""),44579.0)</f>
        <v>44579</v>
      </c>
      <c r="N957" s="74">
        <f>IFERROR(__xludf.DUMMYFUNCTION("""COMPUTED_VALUE"""),205.94)</f>
        <v>205.94</v>
      </c>
      <c r="O957" s="74"/>
    </row>
    <row r="958">
      <c r="A958" s="88"/>
      <c r="B958" s="89"/>
      <c r="M958" s="78">
        <f>IFERROR(__xludf.DUMMYFUNCTION("""COMPUTED_VALUE"""),44578.0)</f>
        <v>44578</v>
      </c>
      <c r="N958" s="74">
        <f>IFERROR(__xludf.DUMMYFUNCTION("""COMPUTED_VALUE"""),207.08)</f>
        <v>207.08</v>
      </c>
      <c r="O958" s="74"/>
    </row>
    <row r="959">
      <c r="A959" s="88"/>
      <c r="B959" s="89"/>
      <c r="M959" s="78">
        <f>IFERROR(__xludf.DUMMYFUNCTION("""COMPUTED_VALUE"""),44577.0)</f>
        <v>44577</v>
      </c>
      <c r="N959" s="74">
        <f>IFERROR(__xludf.DUMMYFUNCTION("""COMPUTED_VALUE"""),206.04)</f>
        <v>206.04</v>
      </c>
      <c r="O959" s="74"/>
    </row>
    <row r="960">
      <c r="A960" s="88"/>
      <c r="B960" s="89"/>
      <c r="M960" s="78">
        <f>IFERROR(__xludf.DUMMYFUNCTION("""COMPUTED_VALUE"""),44576.0)</f>
        <v>44576</v>
      </c>
      <c r="N960" s="74">
        <f>IFERROR(__xludf.DUMMYFUNCTION("""COMPUTED_VALUE"""),206.04)</f>
        <v>206.04</v>
      </c>
      <c r="O960" s="74"/>
    </row>
    <row r="961">
      <c r="A961" s="88"/>
      <c r="B961" s="89"/>
      <c r="M961" s="78">
        <f>IFERROR(__xludf.DUMMYFUNCTION("""COMPUTED_VALUE"""),44575.0)</f>
        <v>44575</v>
      </c>
      <c r="N961" s="74">
        <f>IFERROR(__xludf.DUMMYFUNCTION("""COMPUTED_VALUE"""),206.04)</f>
        <v>206.04</v>
      </c>
      <c r="O961" s="74"/>
    </row>
    <row r="962">
      <c r="A962" s="88"/>
      <c r="B962" s="89"/>
      <c r="M962" s="78">
        <f>IFERROR(__xludf.DUMMYFUNCTION("""COMPUTED_VALUE"""),44574.0)</f>
        <v>44574</v>
      </c>
      <c r="N962" s="74">
        <f>IFERROR(__xludf.DUMMYFUNCTION("""COMPUTED_VALUE"""),207.71)</f>
        <v>207.71</v>
      </c>
      <c r="O962" s="74"/>
    </row>
    <row r="963">
      <c r="A963" s="88"/>
      <c r="B963" s="89"/>
      <c r="M963" s="78">
        <f>IFERROR(__xludf.DUMMYFUNCTION("""COMPUTED_VALUE"""),44573.0)</f>
        <v>44573</v>
      </c>
      <c r="N963" s="74">
        <f>IFERROR(__xludf.DUMMYFUNCTION("""COMPUTED_VALUE"""),211.22)</f>
        <v>211.22</v>
      </c>
      <c r="O963" s="74"/>
    </row>
    <row r="964">
      <c r="A964" s="88"/>
      <c r="B964" s="89"/>
      <c r="M964" s="78">
        <f>IFERROR(__xludf.DUMMYFUNCTION("""COMPUTED_VALUE"""),44572.0)</f>
        <v>44572</v>
      </c>
      <c r="N964" s="74">
        <f>IFERROR(__xludf.DUMMYFUNCTION("""COMPUTED_VALUE"""),211.53)</f>
        <v>211.53</v>
      </c>
      <c r="O964" s="74"/>
    </row>
    <row r="965">
      <c r="A965" s="88"/>
      <c r="B965" s="89"/>
      <c r="M965" s="78">
        <f>IFERROR(__xludf.DUMMYFUNCTION("""COMPUTED_VALUE"""),44571.0)</f>
        <v>44571</v>
      </c>
      <c r="N965" s="74">
        <f>IFERROR(__xludf.DUMMYFUNCTION("""COMPUTED_VALUE"""),213.97)</f>
        <v>213.97</v>
      </c>
      <c r="O965" s="74"/>
    </row>
    <row r="966">
      <c r="A966" s="88"/>
      <c r="B966" s="89"/>
      <c r="M966" s="78">
        <f>IFERROR(__xludf.DUMMYFUNCTION("""COMPUTED_VALUE"""),44570.0)</f>
        <v>44570</v>
      </c>
      <c r="N966" s="74">
        <f>IFERROR(__xludf.DUMMYFUNCTION("""COMPUTED_VALUE"""),214.26)</f>
        <v>214.26</v>
      </c>
      <c r="O966" s="74"/>
    </row>
    <row r="967">
      <c r="A967" s="88"/>
      <c r="B967" s="89"/>
      <c r="M967" s="78">
        <f>IFERROR(__xludf.DUMMYFUNCTION("""COMPUTED_VALUE"""),44569.0)</f>
        <v>44569</v>
      </c>
      <c r="N967" s="74">
        <f>IFERROR(__xludf.DUMMYFUNCTION("""COMPUTED_VALUE"""),214.26)</f>
        <v>214.26</v>
      </c>
      <c r="O967" s="74"/>
    </row>
    <row r="968">
      <c r="A968" s="88"/>
      <c r="B968" s="89"/>
      <c r="M968" s="78">
        <f>IFERROR(__xludf.DUMMYFUNCTION("""COMPUTED_VALUE"""),44568.0)</f>
        <v>44568</v>
      </c>
      <c r="N968" s="74">
        <f>IFERROR(__xludf.DUMMYFUNCTION("""COMPUTED_VALUE"""),214.26)</f>
        <v>214.26</v>
      </c>
      <c r="O968" s="74"/>
    </row>
    <row r="969">
      <c r="A969" s="88"/>
      <c r="B969" s="89"/>
      <c r="M969" s="78">
        <f>IFERROR(__xludf.DUMMYFUNCTION("""COMPUTED_VALUE"""),44567.0)</f>
        <v>44567</v>
      </c>
      <c r="N969" s="74">
        <f>IFERROR(__xludf.DUMMYFUNCTION("""COMPUTED_VALUE"""),216.2)</f>
        <v>216.2</v>
      </c>
      <c r="O969" s="74"/>
    </row>
    <row r="970">
      <c r="A970" s="88"/>
      <c r="B970" s="89"/>
      <c r="M970" s="78">
        <f>IFERROR(__xludf.DUMMYFUNCTION("""COMPUTED_VALUE"""),44566.0)</f>
        <v>44566</v>
      </c>
      <c r="N970" s="74">
        <f>IFERROR(__xludf.DUMMYFUNCTION("""COMPUTED_VALUE"""),208.6)</f>
        <v>208.6</v>
      </c>
      <c r="O970" s="74"/>
    </row>
    <row r="971">
      <c r="A971" s="88"/>
      <c r="B971" s="89"/>
      <c r="M971" s="78">
        <f>IFERROR(__xludf.DUMMYFUNCTION("""COMPUTED_VALUE"""),44565.0)</f>
        <v>44565</v>
      </c>
      <c r="N971" s="74">
        <f>IFERROR(__xludf.DUMMYFUNCTION("""COMPUTED_VALUE"""),205.24)</f>
        <v>205.24</v>
      </c>
      <c r="O971" s="74"/>
    </row>
    <row r="972">
      <c r="A972" s="88"/>
      <c r="B972" s="89"/>
      <c r="M972" s="78">
        <f>IFERROR(__xludf.DUMMYFUNCTION("""COMPUTED_VALUE"""),44564.0)</f>
        <v>44564</v>
      </c>
      <c r="N972" s="74">
        <f>IFERROR(__xludf.DUMMYFUNCTION("""COMPUTED_VALUE"""),208.08)</f>
        <v>208.08</v>
      </c>
      <c r="O972" s="74"/>
    </row>
    <row r="973">
      <c r="A973" s="88"/>
      <c r="B973" s="89"/>
      <c r="M973" s="78">
        <f>IFERROR(__xludf.DUMMYFUNCTION("""COMPUTED_VALUE"""),44563.0)</f>
        <v>44563</v>
      </c>
      <c r="N973" s="74">
        <f>IFERROR(__xludf.DUMMYFUNCTION("""COMPUTED_VALUE"""),202.13)</f>
        <v>202.13</v>
      </c>
      <c r="O973" s="74"/>
    </row>
    <row r="974">
      <c r="A974" s="88"/>
      <c r="B974" s="89"/>
      <c r="M974" s="78">
        <f>IFERROR(__xludf.DUMMYFUNCTION("""COMPUTED_VALUE"""),44562.0)</f>
        <v>44562</v>
      </c>
      <c r="N974" s="74">
        <f>IFERROR(__xludf.DUMMYFUNCTION("""COMPUTED_VALUE"""),202.13)</f>
        <v>202.13</v>
      </c>
      <c r="O974" s="74"/>
    </row>
    <row r="975">
      <c r="A975" s="88"/>
      <c r="B975" s="89"/>
      <c r="M975" s="78">
        <f>IFERROR(__xludf.DUMMYFUNCTION("""COMPUTED_VALUE"""),44561.0)</f>
        <v>44561</v>
      </c>
      <c r="N975" s="74">
        <f>IFERROR(__xludf.DUMMYFUNCTION("""COMPUTED_VALUE"""),202.13)</f>
        <v>202.13</v>
      </c>
      <c r="O975" s="74"/>
    </row>
    <row r="976">
      <c r="A976" s="88"/>
      <c r="B976" s="89"/>
      <c r="M976" s="78">
        <f>IFERROR(__xludf.DUMMYFUNCTION("""COMPUTED_VALUE"""),44560.0)</f>
        <v>44560</v>
      </c>
      <c r="N976" s="74">
        <f>IFERROR(__xludf.DUMMYFUNCTION("""COMPUTED_VALUE"""),202.13)</f>
        <v>202.13</v>
      </c>
      <c r="O976" s="74"/>
    </row>
    <row r="977">
      <c r="A977" s="88"/>
      <c r="B977" s="89"/>
      <c r="M977" s="78">
        <f>IFERROR(__xludf.DUMMYFUNCTION("""COMPUTED_VALUE"""),44559.0)</f>
        <v>44559</v>
      </c>
      <c r="N977" s="74">
        <f>IFERROR(__xludf.DUMMYFUNCTION("""COMPUTED_VALUE"""),203.44)</f>
        <v>203.44</v>
      </c>
      <c r="O977" s="74"/>
    </row>
    <row r="978">
      <c r="A978" s="88"/>
      <c r="B978" s="89"/>
      <c r="M978" s="78">
        <f>IFERROR(__xludf.DUMMYFUNCTION("""COMPUTED_VALUE"""),44558.0)</f>
        <v>44558</v>
      </c>
      <c r="N978" s="74">
        <f>IFERROR(__xludf.DUMMYFUNCTION("""COMPUTED_VALUE"""),202.41)</f>
        <v>202.41</v>
      </c>
      <c r="O978" s="74"/>
    </row>
    <row r="979">
      <c r="A979" s="88"/>
      <c r="B979" s="89"/>
      <c r="M979" s="78">
        <f>IFERROR(__xludf.DUMMYFUNCTION("""COMPUTED_VALUE"""),44557.0)</f>
        <v>44557</v>
      </c>
      <c r="N979" s="74">
        <f>IFERROR(__xludf.DUMMYFUNCTION("""COMPUTED_VALUE"""),204.47)</f>
        <v>204.47</v>
      </c>
      <c r="O979" s="74"/>
    </row>
    <row r="980">
      <c r="A980" s="88"/>
      <c r="B980" s="89"/>
      <c r="M980" s="78">
        <f>IFERROR(__xludf.DUMMYFUNCTION("""COMPUTED_VALUE"""),44556.0)</f>
        <v>44556</v>
      </c>
      <c r="N980" s="74">
        <f>IFERROR(__xludf.DUMMYFUNCTION("""COMPUTED_VALUE"""),204.35)</f>
        <v>204.35</v>
      </c>
      <c r="O980" s="74"/>
    </row>
    <row r="981">
      <c r="A981" s="88"/>
      <c r="B981" s="89"/>
      <c r="M981" s="78">
        <f>IFERROR(__xludf.DUMMYFUNCTION("""COMPUTED_VALUE"""),44555.0)</f>
        <v>44555</v>
      </c>
      <c r="N981" s="74">
        <f>IFERROR(__xludf.DUMMYFUNCTION("""COMPUTED_VALUE"""),204.35)</f>
        <v>204.35</v>
      </c>
      <c r="O981" s="74"/>
    </row>
    <row r="982">
      <c r="A982" s="88"/>
      <c r="B982" s="89"/>
      <c r="M982" s="78">
        <f>IFERROR(__xludf.DUMMYFUNCTION("""COMPUTED_VALUE"""),44554.0)</f>
        <v>44554</v>
      </c>
      <c r="N982" s="74">
        <f>IFERROR(__xludf.DUMMYFUNCTION("""COMPUTED_VALUE"""),204.35)</f>
        <v>204.35</v>
      </c>
      <c r="O982" s="74"/>
    </row>
    <row r="983">
      <c r="A983" s="88"/>
      <c r="B983" s="89"/>
      <c r="M983" s="78">
        <f>IFERROR(__xludf.DUMMYFUNCTION("""COMPUTED_VALUE"""),44553.0)</f>
        <v>44553</v>
      </c>
      <c r="N983" s="74">
        <f>IFERROR(__xludf.DUMMYFUNCTION("""COMPUTED_VALUE"""),203.04)</f>
        <v>203.04</v>
      </c>
      <c r="O983" s="74"/>
    </row>
    <row r="984">
      <c r="A984" s="88"/>
      <c r="B984" s="89"/>
      <c r="M984" s="78">
        <f>IFERROR(__xludf.DUMMYFUNCTION("""COMPUTED_VALUE"""),44552.0)</f>
        <v>44552</v>
      </c>
      <c r="N984" s="74">
        <f>IFERROR(__xludf.DUMMYFUNCTION("""COMPUTED_VALUE"""),209.61)</f>
        <v>209.61</v>
      </c>
      <c r="O984" s="74"/>
    </row>
    <row r="985">
      <c r="A985" s="88"/>
      <c r="B985" s="89"/>
      <c r="M985" s="78">
        <f>IFERROR(__xludf.DUMMYFUNCTION("""COMPUTED_VALUE"""),44551.0)</f>
        <v>44551</v>
      </c>
      <c r="N985" s="74">
        <f>IFERROR(__xludf.DUMMYFUNCTION("""COMPUTED_VALUE"""),206.06)</f>
        <v>206.06</v>
      </c>
      <c r="O985" s="74"/>
    </row>
    <row r="986">
      <c r="A986" s="88"/>
      <c r="B986" s="89"/>
      <c r="M986" s="78">
        <f>IFERROR(__xludf.DUMMYFUNCTION("""COMPUTED_VALUE"""),44550.0)</f>
        <v>44550</v>
      </c>
      <c r="N986" s="74">
        <f>IFERROR(__xludf.DUMMYFUNCTION("""COMPUTED_VALUE"""),204.26)</f>
        <v>204.26</v>
      </c>
      <c r="O986" s="74"/>
    </row>
    <row r="987">
      <c r="A987" s="88"/>
      <c r="B987" s="89"/>
      <c r="M987" s="78">
        <f>IFERROR(__xludf.DUMMYFUNCTION("""COMPUTED_VALUE"""),44549.0)</f>
        <v>44549</v>
      </c>
      <c r="N987" s="74">
        <f>IFERROR(__xludf.DUMMYFUNCTION("""COMPUTED_VALUE"""),204.84)</f>
        <v>204.84</v>
      </c>
      <c r="O987" s="74"/>
    </row>
    <row r="988">
      <c r="A988" s="88"/>
      <c r="B988" s="89"/>
      <c r="M988" s="78">
        <f>IFERROR(__xludf.DUMMYFUNCTION("""COMPUTED_VALUE"""),44548.0)</f>
        <v>44548</v>
      </c>
      <c r="N988" s="74">
        <f>IFERROR(__xludf.DUMMYFUNCTION("""COMPUTED_VALUE"""),204.84)</f>
        <v>204.84</v>
      </c>
      <c r="O988" s="74"/>
    </row>
    <row r="989">
      <c r="A989" s="88"/>
      <c r="B989" s="89"/>
      <c r="M989" s="78">
        <f>IFERROR(__xludf.DUMMYFUNCTION("""COMPUTED_VALUE"""),44547.0)</f>
        <v>44547</v>
      </c>
      <c r="N989" s="74">
        <f>IFERROR(__xludf.DUMMYFUNCTION("""COMPUTED_VALUE"""),204.84)</f>
        <v>204.84</v>
      </c>
      <c r="O989" s="74"/>
    </row>
    <row r="990">
      <c r="A990" s="88"/>
      <c r="B990" s="89"/>
      <c r="M990" s="78">
        <f>IFERROR(__xludf.DUMMYFUNCTION("""COMPUTED_VALUE"""),44546.0)</f>
        <v>44546</v>
      </c>
      <c r="N990" s="74">
        <f>IFERROR(__xludf.DUMMYFUNCTION("""COMPUTED_VALUE"""),198.34)</f>
        <v>198.34</v>
      </c>
      <c r="O990" s="74"/>
    </row>
    <row r="991">
      <c r="A991" s="88"/>
      <c r="B991" s="89"/>
      <c r="M991" s="78">
        <f>IFERROR(__xludf.DUMMYFUNCTION("""COMPUTED_VALUE"""),44545.0)</f>
        <v>44545</v>
      </c>
      <c r="N991" s="74">
        <f>IFERROR(__xludf.DUMMYFUNCTION("""COMPUTED_VALUE"""),199.91)</f>
        <v>199.91</v>
      </c>
      <c r="O991" s="74"/>
    </row>
    <row r="992">
      <c r="A992" s="88"/>
      <c r="B992" s="89"/>
      <c r="M992" s="78">
        <f>IFERROR(__xludf.DUMMYFUNCTION("""COMPUTED_VALUE"""),44544.0)</f>
        <v>44544</v>
      </c>
      <c r="N992" s="74">
        <f>IFERROR(__xludf.DUMMYFUNCTION("""COMPUTED_VALUE"""),203.33)</f>
        <v>203.33</v>
      </c>
      <c r="O992" s="74"/>
    </row>
    <row r="993">
      <c r="A993" s="88"/>
      <c r="B993" s="89"/>
      <c r="M993" s="78">
        <f>IFERROR(__xludf.DUMMYFUNCTION("""COMPUTED_VALUE"""),44543.0)</f>
        <v>44543</v>
      </c>
      <c r="N993" s="74">
        <f>IFERROR(__xludf.DUMMYFUNCTION("""COMPUTED_VALUE"""),205.17)</f>
        <v>205.17</v>
      </c>
      <c r="O993" s="74"/>
    </row>
    <row r="994">
      <c r="A994" s="88"/>
      <c r="B994" s="89"/>
      <c r="M994" s="78">
        <f>IFERROR(__xludf.DUMMYFUNCTION("""COMPUTED_VALUE"""),44542.0)</f>
        <v>44542</v>
      </c>
      <c r="N994" s="74">
        <f>IFERROR(__xludf.DUMMYFUNCTION("""COMPUTED_VALUE"""),206.74)</f>
        <v>206.74</v>
      </c>
      <c r="O994" s="74"/>
    </row>
    <row r="995">
      <c r="A995" s="88"/>
      <c r="B995" s="89"/>
      <c r="M995" s="78">
        <f>IFERROR(__xludf.DUMMYFUNCTION("""COMPUTED_VALUE"""),44541.0)</f>
        <v>44541</v>
      </c>
      <c r="N995" s="74">
        <f>IFERROR(__xludf.DUMMYFUNCTION("""COMPUTED_VALUE"""),206.74)</f>
        <v>206.74</v>
      </c>
      <c r="O995" s="74"/>
    </row>
    <row r="996">
      <c r="A996" s="88"/>
      <c r="B996" s="89"/>
      <c r="M996" s="78">
        <f>IFERROR(__xludf.DUMMYFUNCTION("""COMPUTED_VALUE"""),44540.0)</f>
        <v>44540</v>
      </c>
      <c r="N996" s="74">
        <f>IFERROR(__xludf.DUMMYFUNCTION("""COMPUTED_VALUE"""),206.74)</f>
        <v>206.74</v>
      </c>
      <c r="O996" s="74"/>
    </row>
    <row r="997">
      <c r="A997" s="88"/>
      <c r="B997" s="89"/>
      <c r="M997" s="78">
        <f>IFERROR(__xludf.DUMMYFUNCTION("""COMPUTED_VALUE"""),44539.0)</f>
        <v>44539</v>
      </c>
      <c r="N997" s="74">
        <f>IFERROR(__xludf.DUMMYFUNCTION("""COMPUTED_VALUE"""),211.49)</f>
        <v>211.49</v>
      </c>
      <c r="O997" s="74"/>
    </row>
    <row r="998">
      <c r="A998" s="88"/>
      <c r="B998" s="89"/>
      <c r="M998" s="78">
        <f>IFERROR(__xludf.DUMMYFUNCTION("""COMPUTED_VALUE"""),44538.0)</f>
        <v>44538</v>
      </c>
      <c r="N998" s="74">
        <f>IFERROR(__xludf.DUMMYFUNCTION("""COMPUTED_VALUE"""),222.71)</f>
        <v>222.71</v>
      </c>
      <c r="O998" s="74"/>
    </row>
    <row r="999">
      <c r="A999" s="88"/>
      <c r="B999" s="89"/>
      <c r="M999" s="78">
        <f>IFERROR(__xludf.DUMMYFUNCTION("""COMPUTED_VALUE"""),44537.0)</f>
        <v>44537</v>
      </c>
      <c r="N999" s="74">
        <f>IFERROR(__xludf.DUMMYFUNCTION("""COMPUTED_VALUE"""),222.71)</f>
        <v>222.71</v>
      </c>
      <c r="O999" s="74"/>
    </row>
    <row r="1000">
      <c r="A1000" s="88"/>
      <c r="B1000" s="89"/>
      <c r="M1000" s="78">
        <f>IFERROR(__xludf.DUMMYFUNCTION("""COMPUTED_VALUE"""),44536.0)</f>
        <v>44536</v>
      </c>
      <c r="N1000" s="74">
        <f>IFERROR(__xludf.DUMMYFUNCTION("""COMPUTED_VALUE"""),219.25)</f>
        <v>219.25</v>
      </c>
      <c r="O1000" s="74"/>
    </row>
    <row r="1001">
      <c r="A1001" s="88"/>
      <c r="B1001" s="89"/>
      <c r="M1001" s="78">
        <f>IFERROR(__xludf.DUMMYFUNCTION("""COMPUTED_VALUE"""),44535.0)</f>
        <v>44535</v>
      </c>
      <c r="N1001" s="74">
        <f>IFERROR(__xludf.DUMMYFUNCTION("""COMPUTED_VALUE"""),219.17)</f>
        <v>219.17</v>
      </c>
      <c r="O1001" s="74"/>
    </row>
    <row r="1002">
      <c r="A1002" s="88"/>
      <c r="B1002" s="89"/>
      <c r="M1002" s="78">
        <f>IFERROR(__xludf.DUMMYFUNCTION("""COMPUTED_VALUE"""),44534.0)</f>
        <v>44534</v>
      </c>
      <c r="N1002" s="74">
        <f>IFERROR(__xludf.DUMMYFUNCTION("""COMPUTED_VALUE"""),219.17)</f>
        <v>219.17</v>
      </c>
      <c r="O1002" s="74"/>
    </row>
    <row r="1003">
      <c r="A1003" s="88"/>
      <c r="B1003" s="89"/>
      <c r="M1003" s="78">
        <f>IFERROR(__xludf.DUMMYFUNCTION("""COMPUTED_VALUE"""),44533.0)</f>
        <v>44533</v>
      </c>
      <c r="N1003" s="74">
        <f>IFERROR(__xludf.DUMMYFUNCTION("""COMPUTED_VALUE"""),219.17)</f>
        <v>219.17</v>
      </c>
      <c r="O1003" s="74"/>
    </row>
    <row r="1004">
      <c r="A1004" s="88"/>
      <c r="B1004" s="89"/>
      <c r="M1004" s="78">
        <f>IFERROR(__xludf.DUMMYFUNCTION("""COMPUTED_VALUE"""),44532.0)</f>
        <v>44532</v>
      </c>
      <c r="N1004" s="74">
        <f>IFERROR(__xludf.DUMMYFUNCTION("""COMPUTED_VALUE"""),214.98)</f>
        <v>214.98</v>
      </c>
      <c r="O1004" s="74"/>
    </row>
    <row r="1005">
      <c r="A1005" s="88"/>
      <c r="B1005" s="89"/>
      <c r="M1005" s="78">
        <f>IFERROR(__xludf.DUMMYFUNCTION("""COMPUTED_VALUE"""),44531.0)</f>
        <v>44531</v>
      </c>
      <c r="N1005" s="74">
        <f>IFERROR(__xludf.DUMMYFUNCTION("""COMPUTED_VALUE"""),223.99)</f>
        <v>223.99</v>
      </c>
      <c r="O1005" s="74"/>
    </row>
    <row r="1006">
      <c r="A1006" s="88"/>
      <c r="B1006" s="89"/>
      <c r="M1006" s="78">
        <f>IFERROR(__xludf.DUMMYFUNCTION("""COMPUTED_VALUE"""),44530.0)</f>
        <v>44530</v>
      </c>
      <c r="N1006" s="74">
        <f>IFERROR(__xludf.DUMMYFUNCTION("""COMPUTED_VALUE"""),214.15)</f>
        <v>214.15</v>
      </c>
      <c r="O1006" s="74"/>
    </row>
    <row r="1007">
      <c r="A1007" s="88"/>
      <c r="B1007" s="89"/>
      <c r="M1007" s="78">
        <f>IFERROR(__xludf.DUMMYFUNCTION("""COMPUTED_VALUE"""),44529.0)</f>
        <v>44529</v>
      </c>
      <c r="N1007" s="74">
        <f>IFERROR(__xludf.DUMMYFUNCTION("""COMPUTED_VALUE"""),215.64)</f>
        <v>215.64</v>
      </c>
      <c r="O1007" s="74"/>
    </row>
    <row r="1008">
      <c r="A1008" s="88"/>
      <c r="B1008" s="89"/>
      <c r="M1008" s="78">
        <f>IFERROR(__xludf.DUMMYFUNCTION("""COMPUTED_VALUE"""),44528.0)</f>
        <v>44528</v>
      </c>
      <c r="N1008" s="74">
        <f>IFERROR(__xludf.DUMMYFUNCTION("""COMPUTED_VALUE"""),211.75)</f>
        <v>211.75</v>
      </c>
      <c r="O1008" s="74"/>
    </row>
    <row r="1009">
      <c r="A1009" s="88"/>
      <c r="B1009" s="89"/>
      <c r="M1009" s="78">
        <f>IFERROR(__xludf.DUMMYFUNCTION("""COMPUTED_VALUE"""),44527.0)</f>
        <v>44527</v>
      </c>
      <c r="N1009" s="74">
        <f>IFERROR(__xludf.DUMMYFUNCTION("""COMPUTED_VALUE"""),211.75)</f>
        <v>211.75</v>
      </c>
      <c r="O1009" s="74"/>
    </row>
    <row r="1010">
      <c r="A1010" s="88"/>
      <c r="B1010" s="89"/>
      <c r="M1010" s="78">
        <f>IFERROR(__xludf.DUMMYFUNCTION("""COMPUTED_VALUE"""),44526.0)</f>
        <v>44526</v>
      </c>
      <c r="N1010" s="74">
        <f>IFERROR(__xludf.DUMMYFUNCTION("""COMPUTED_VALUE"""),211.75)</f>
        <v>211.75</v>
      </c>
      <c r="O1010" s="74"/>
    </row>
    <row r="1011">
      <c r="A1011" s="88"/>
      <c r="B1011" s="89"/>
      <c r="M1011" s="78">
        <f>IFERROR(__xludf.DUMMYFUNCTION("""COMPUTED_VALUE"""),44525.0)</f>
        <v>44525</v>
      </c>
      <c r="N1011" s="74">
        <f>IFERROR(__xludf.DUMMYFUNCTION("""COMPUTED_VALUE"""),215.82)</f>
        <v>215.82</v>
      </c>
      <c r="O1011" s="74"/>
    </row>
    <row r="1012">
      <c r="A1012" s="88"/>
      <c r="B1012" s="89"/>
      <c r="M1012" s="78">
        <f>IFERROR(__xludf.DUMMYFUNCTION("""COMPUTED_VALUE"""),44524.0)</f>
        <v>44524</v>
      </c>
      <c r="N1012" s="74">
        <f>IFERROR(__xludf.DUMMYFUNCTION("""COMPUTED_VALUE"""),216.74)</f>
        <v>216.74</v>
      </c>
      <c r="O1012" s="74"/>
    </row>
    <row r="1013">
      <c r="A1013" s="88"/>
      <c r="B1013" s="89"/>
      <c r="M1013" s="78">
        <f>IFERROR(__xludf.DUMMYFUNCTION("""COMPUTED_VALUE"""),44523.0)</f>
        <v>44523</v>
      </c>
      <c r="N1013" s="74">
        <f>IFERROR(__xludf.DUMMYFUNCTION("""COMPUTED_VALUE"""),218.25)</f>
        <v>218.25</v>
      </c>
      <c r="O1013" s="74"/>
    </row>
    <row r="1014">
      <c r="A1014" s="88"/>
      <c r="B1014" s="89"/>
      <c r="M1014" s="78">
        <f>IFERROR(__xludf.DUMMYFUNCTION("""COMPUTED_VALUE"""),44522.0)</f>
        <v>44522</v>
      </c>
      <c r="N1014" s="74">
        <f>IFERROR(__xludf.DUMMYFUNCTION("""COMPUTED_VALUE"""),213.57)</f>
        <v>213.57</v>
      </c>
      <c r="O1014" s="74"/>
    </row>
    <row r="1015">
      <c r="A1015" s="88"/>
      <c r="B1015" s="89"/>
      <c r="M1015" s="78">
        <f>IFERROR(__xludf.DUMMYFUNCTION("""COMPUTED_VALUE"""),44521.0)</f>
        <v>44521</v>
      </c>
      <c r="N1015" s="74">
        <f>IFERROR(__xludf.DUMMYFUNCTION("""COMPUTED_VALUE"""),213.57)</f>
        <v>213.57</v>
      </c>
      <c r="O1015" s="74"/>
    </row>
    <row r="1016">
      <c r="A1016" s="88"/>
      <c r="B1016" s="89"/>
      <c r="M1016" s="78">
        <f>IFERROR(__xludf.DUMMYFUNCTION("""COMPUTED_VALUE"""),44520.0)</f>
        <v>44520</v>
      </c>
      <c r="N1016" s="74">
        <f>IFERROR(__xludf.DUMMYFUNCTION("""COMPUTED_VALUE"""),213.57)</f>
        <v>213.57</v>
      </c>
      <c r="O1016" s="74"/>
    </row>
    <row r="1017">
      <c r="A1017" s="88"/>
      <c r="B1017" s="89"/>
      <c r="M1017" s="78">
        <f>IFERROR(__xludf.DUMMYFUNCTION("""COMPUTED_VALUE"""),44519.0)</f>
        <v>44519</v>
      </c>
      <c r="N1017" s="74">
        <f>IFERROR(__xludf.DUMMYFUNCTION("""COMPUTED_VALUE"""),213.57)</f>
        <v>213.57</v>
      </c>
      <c r="O1017" s="74"/>
    </row>
    <row r="1018">
      <c r="A1018" s="88"/>
      <c r="B1018" s="89"/>
      <c r="M1018" s="78">
        <f>IFERROR(__xludf.DUMMYFUNCTION("""COMPUTED_VALUE"""),44518.0)</f>
        <v>44518</v>
      </c>
      <c r="N1018" s="74">
        <f>IFERROR(__xludf.DUMMYFUNCTION("""COMPUTED_VALUE"""),212.77)</f>
        <v>212.77</v>
      </c>
      <c r="O1018" s="74"/>
    </row>
    <row r="1019">
      <c r="A1019" s="88"/>
      <c r="B1019" s="89"/>
      <c r="M1019" s="78">
        <f>IFERROR(__xludf.DUMMYFUNCTION("""COMPUTED_VALUE"""),44517.0)</f>
        <v>44517</v>
      </c>
      <c r="N1019" s="74">
        <f>IFERROR(__xludf.DUMMYFUNCTION("""COMPUTED_VALUE"""),208.78)</f>
        <v>208.78</v>
      </c>
      <c r="O1019" s="74"/>
    </row>
    <row r="1020">
      <c r="A1020" s="88"/>
      <c r="B1020" s="89"/>
      <c r="M1020" s="78">
        <f>IFERROR(__xludf.DUMMYFUNCTION("""COMPUTED_VALUE"""),44516.0)</f>
        <v>44516</v>
      </c>
      <c r="N1020" s="74">
        <f>IFERROR(__xludf.DUMMYFUNCTION("""COMPUTED_VALUE"""),204.92)</f>
        <v>204.92</v>
      </c>
      <c r="O1020" s="74"/>
    </row>
    <row r="1021">
      <c r="A1021" s="88"/>
      <c r="B1021" s="89"/>
      <c r="M1021" s="78">
        <f>IFERROR(__xludf.DUMMYFUNCTION("""COMPUTED_VALUE"""),44515.0)</f>
        <v>44515</v>
      </c>
      <c r="N1021" s="74">
        <f>IFERROR(__xludf.DUMMYFUNCTION("""COMPUTED_VALUE"""),189.04)</f>
        <v>189.04</v>
      </c>
      <c r="O1021" s="74"/>
    </row>
    <row r="1022">
      <c r="A1022" s="88"/>
      <c r="B1022" s="89"/>
      <c r="M1022" s="78">
        <f>IFERROR(__xludf.DUMMYFUNCTION("""COMPUTED_VALUE"""),44514.0)</f>
        <v>44514</v>
      </c>
      <c r="N1022" s="74">
        <f>IFERROR(__xludf.DUMMYFUNCTION("""COMPUTED_VALUE"""),184.08)</f>
        <v>184.08</v>
      </c>
      <c r="O1022" s="74"/>
    </row>
    <row r="1023">
      <c r="A1023" s="88"/>
      <c r="B1023" s="89"/>
      <c r="M1023" s="78">
        <f>IFERROR(__xludf.DUMMYFUNCTION("""COMPUTED_VALUE"""),44513.0)</f>
        <v>44513</v>
      </c>
      <c r="N1023" s="74">
        <f>IFERROR(__xludf.DUMMYFUNCTION("""COMPUTED_VALUE"""),184.08)</f>
        <v>184.08</v>
      </c>
      <c r="O1023" s="74"/>
    </row>
    <row r="1024">
      <c r="A1024" s="88"/>
      <c r="B1024" s="89"/>
      <c r="M1024" s="78">
        <f>IFERROR(__xludf.DUMMYFUNCTION("""COMPUTED_VALUE"""),44512.0)</f>
        <v>44512</v>
      </c>
      <c r="N1024" s="74">
        <f>IFERROR(__xludf.DUMMYFUNCTION("""COMPUTED_VALUE"""),184.08)</f>
        <v>184.08</v>
      </c>
      <c r="O1024" s="74"/>
    </row>
    <row r="1025">
      <c r="A1025" s="88"/>
      <c r="B1025" s="89"/>
      <c r="M1025" s="78">
        <f>IFERROR(__xludf.DUMMYFUNCTION("""COMPUTED_VALUE"""),44511.0)</f>
        <v>44511</v>
      </c>
      <c r="N1025" s="74">
        <f>IFERROR(__xludf.DUMMYFUNCTION("""COMPUTED_VALUE"""),183.33)</f>
        <v>183.33</v>
      </c>
      <c r="O1025" s="74"/>
    </row>
    <row r="1026">
      <c r="A1026" s="88"/>
      <c r="B1026" s="89"/>
      <c r="M1026" s="78">
        <f>IFERROR(__xludf.DUMMYFUNCTION("""COMPUTED_VALUE"""),44510.0)</f>
        <v>44510</v>
      </c>
      <c r="N1026" s="74">
        <f>IFERROR(__xludf.DUMMYFUNCTION("""COMPUTED_VALUE"""),182.85)</f>
        <v>182.85</v>
      </c>
      <c r="O1026" s="74"/>
    </row>
    <row r="1027">
      <c r="A1027" s="88"/>
      <c r="B1027" s="89"/>
      <c r="M1027" s="78">
        <f>IFERROR(__xludf.DUMMYFUNCTION("""COMPUTED_VALUE"""),44509.0)</f>
        <v>44509</v>
      </c>
      <c r="N1027" s="74">
        <f>IFERROR(__xludf.DUMMYFUNCTION("""COMPUTED_VALUE"""),182.56)</f>
        <v>182.56</v>
      </c>
      <c r="O1027" s="74"/>
    </row>
    <row r="1028">
      <c r="A1028" s="88"/>
      <c r="B1028" s="89"/>
      <c r="M1028" s="78">
        <f>IFERROR(__xludf.DUMMYFUNCTION("""COMPUTED_VALUE"""),44508.0)</f>
        <v>44508</v>
      </c>
      <c r="N1028" s="74">
        <f>IFERROR(__xludf.DUMMYFUNCTION("""COMPUTED_VALUE"""),181.96)</f>
        <v>181.96</v>
      </c>
      <c r="O1028" s="74"/>
    </row>
    <row r="1029">
      <c r="A1029" s="88"/>
      <c r="B1029" s="89"/>
      <c r="M1029" s="78">
        <f>IFERROR(__xludf.DUMMYFUNCTION("""COMPUTED_VALUE"""),44507.0)</f>
        <v>44507</v>
      </c>
      <c r="N1029" s="74">
        <f>IFERROR(__xludf.DUMMYFUNCTION("""COMPUTED_VALUE"""),181.36)</f>
        <v>181.36</v>
      </c>
      <c r="O1029" s="74"/>
    </row>
    <row r="1030">
      <c r="A1030" s="88"/>
      <c r="B1030" s="89"/>
      <c r="M1030" s="78">
        <f>IFERROR(__xludf.DUMMYFUNCTION("""COMPUTED_VALUE"""),44506.0)</f>
        <v>44506</v>
      </c>
      <c r="N1030" s="74">
        <f>IFERROR(__xludf.DUMMYFUNCTION("""COMPUTED_VALUE"""),181.36)</f>
        <v>181.36</v>
      </c>
      <c r="O1030" s="74"/>
    </row>
    <row r="1031">
      <c r="A1031" s="88"/>
      <c r="B1031" s="89"/>
      <c r="M1031" s="78">
        <f>IFERROR(__xludf.DUMMYFUNCTION("""COMPUTED_VALUE"""),44505.0)</f>
        <v>44505</v>
      </c>
      <c r="N1031" s="74">
        <f>IFERROR(__xludf.DUMMYFUNCTION("""COMPUTED_VALUE"""),181.36)</f>
        <v>181.36</v>
      </c>
      <c r="O1031" s="74"/>
    </row>
    <row r="1032">
      <c r="A1032" s="88"/>
      <c r="B1032" s="89"/>
      <c r="M1032" s="78">
        <f>IFERROR(__xludf.DUMMYFUNCTION("""COMPUTED_VALUE"""),44504.0)</f>
        <v>44504</v>
      </c>
      <c r="N1032" s="74">
        <f>IFERROR(__xludf.DUMMYFUNCTION("""COMPUTED_VALUE"""),180.66)</f>
        <v>180.66</v>
      </c>
      <c r="O1032" s="74"/>
    </row>
    <row r="1033">
      <c r="A1033" s="88"/>
      <c r="B1033" s="89"/>
      <c r="M1033" s="78">
        <f>IFERROR(__xludf.DUMMYFUNCTION("""COMPUTED_VALUE"""),44503.0)</f>
        <v>44503</v>
      </c>
      <c r="N1033" s="74">
        <f>IFERROR(__xludf.DUMMYFUNCTION("""COMPUTED_VALUE"""),180.17)</f>
        <v>180.17</v>
      </c>
      <c r="O1033" s="74"/>
    </row>
    <row r="1034">
      <c r="A1034" s="88"/>
      <c r="B1034" s="89"/>
      <c r="M1034" s="78">
        <f>IFERROR(__xludf.DUMMYFUNCTION("""COMPUTED_VALUE"""),44502.0)</f>
        <v>44502</v>
      </c>
      <c r="N1034" s="74">
        <f>IFERROR(__xludf.DUMMYFUNCTION("""COMPUTED_VALUE"""),179.42)</f>
        <v>179.42</v>
      </c>
      <c r="O1034" s="74"/>
    </row>
    <row r="1035">
      <c r="A1035" s="88"/>
      <c r="B1035" s="89"/>
      <c r="M1035" s="78">
        <f>IFERROR(__xludf.DUMMYFUNCTION("""COMPUTED_VALUE"""),44501.0)</f>
        <v>44501</v>
      </c>
      <c r="N1035" s="74">
        <f>IFERROR(__xludf.DUMMYFUNCTION("""COMPUTED_VALUE"""),179.32)</f>
        <v>179.32</v>
      </c>
      <c r="O1035" s="74"/>
    </row>
    <row r="1036">
      <c r="A1036" s="88"/>
      <c r="B1036" s="89"/>
      <c r="M1036" s="78"/>
      <c r="N1036" s="74"/>
      <c r="O1036" s="74"/>
    </row>
    <row r="1037">
      <c r="A1037" s="88"/>
      <c r="B1037" s="89"/>
      <c r="M1037" s="78"/>
      <c r="N1037" s="74"/>
      <c r="O1037" s="74"/>
    </row>
    <row r="1038">
      <c r="A1038" s="88"/>
      <c r="B1038" s="89"/>
      <c r="M1038" s="78"/>
      <c r="N1038" s="74"/>
      <c r="O1038" s="74"/>
    </row>
    <row r="1039">
      <c r="A1039" s="88"/>
      <c r="B1039" s="89"/>
      <c r="M1039" s="78"/>
      <c r="N1039" s="74"/>
      <c r="O1039" s="74"/>
    </row>
    <row r="1040">
      <c r="A1040" s="88"/>
      <c r="B1040" s="89"/>
      <c r="M1040" s="78"/>
      <c r="N1040" s="74"/>
      <c r="O1040" s="74"/>
    </row>
    <row r="1041">
      <c r="A1041" s="88"/>
      <c r="B1041" s="89"/>
      <c r="M1041" s="78"/>
      <c r="N1041" s="74"/>
      <c r="O1041" s="74"/>
    </row>
    <row r="1042">
      <c r="A1042" s="88"/>
      <c r="B1042" s="89"/>
      <c r="M1042" s="78"/>
      <c r="N1042" s="74"/>
      <c r="O1042" s="74"/>
    </row>
    <row r="1043">
      <c r="A1043" s="88"/>
      <c r="B1043" s="89"/>
      <c r="M1043" s="78"/>
      <c r="N1043" s="74"/>
      <c r="O1043" s="74"/>
    </row>
    <row r="1044">
      <c r="A1044" s="88"/>
      <c r="B1044" s="89"/>
      <c r="M1044" s="78"/>
      <c r="N1044" s="74"/>
      <c r="O1044" s="74"/>
    </row>
    <row r="1045">
      <c r="A1045" s="88"/>
      <c r="B1045" s="89"/>
      <c r="M1045" s="78"/>
      <c r="N1045" s="74"/>
      <c r="O1045" s="74"/>
    </row>
    <row r="1046">
      <c r="A1046" s="88"/>
      <c r="B1046" s="89"/>
      <c r="M1046" s="78"/>
      <c r="N1046" s="74"/>
      <c r="O1046" s="74"/>
    </row>
    <row r="1047">
      <c r="A1047" s="88"/>
      <c r="B1047" s="89"/>
      <c r="M1047" s="78"/>
      <c r="N1047" s="74"/>
      <c r="O1047" s="74"/>
    </row>
    <row r="1048">
      <c r="A1048" s="88"/>
      <c r="B1048" s="89"/>
      <c r="M1048" s="78"/>
      <c r="N1048" s="74"/>
      <c r="O1048" s="74"/>
    </row>
    <row r="1049">
      <c r="A1049" s="88"/>
      <c r="B1049" s="89"/>
      <c r="M1049" s="78"/>
      <c r="N1049" s="74"/>
      <c r="O1049" s="74"/>
    </row>
    <row r="1050">
      <c r="A1050" s="88"/>
      <c r="B1050" s="89"/>
      <c r="M1050" s="78"/>
      <c r="N1050" s="74"/>
      <c r="O1050" s="74"/>
    </row>
    <row r="1051">
      <c r="A1051" s="88"/>
      <c r="B1051" s="89"/>
      <c r="M1051" s="78"/>
      <c r="N1051" s="74"/>
      <c r="O1051" s="74"/>
    </row>
    <row r="1052">
      <c r="A1052" s="88"/>
      <c r="B1052" s="89"/>
      <c r="M1052" s="78"/>
      <c r="N1052" s="74"/>
      <c r="O1052" s="74"/>
    </row>
    <row r="1053">
      <c r="A1053" s="88"/>
      <c r="B1053" s="89"/>
      <c r="M1053" s="78"/>
      <c r="N1053" s="74"/>
      <c r="O1053" s="74"/>
    </row>
    <row r="1054">
      <c r="A1054" s="88"/>
      <c r="B1054" s="89"/>
      <c r="M1054" s="78"/>
      <c r="N1054" s="74"/>
      <c r="O1054" s="74"/>
    </row>
    <row r="1055">
      <c r="A1055" s="88"/>
      <c r="B1055" s="89"/>
      <c r="M1055" s="78"/>
      <c r="N1055" s="74"/>
      <c r="O1055" s="74"/>
    </row>
    <row r="1056">
      <c r="A1056" s="88"/>
      <c r="B1056" s="89"/>
      <c r="M1056" s="78"/>
      <c r="N1056" s="74"/>
      <c r="O1056" s="74"/>
    </row>
    <row r="1057">
      <c r="A1057" s="88"/>
      <c r="B1057" s="89"/>
      <c r="M1057" s="78"/>
      <c r="N1057" s="74"/>
      <c r="O1057" s="74"/>
    </row>
    <row r="1058">
      <c r="A1058" s="88"/>
      <c r="B1058" s="89"/>
      <c r="M1058" s="78"/>
      <c r="N1058" s="74"/>
      <c r="O1058" s="74"/>
    </row>
    <row r="1059">
      <c r="A1059" s="88"/>
      <c r="B1059" s="89"/>
      <c r="M1059" s="78"/>
      <c r="N1059" s="74"/>
      <c r="O1059" s="74"/>
    </row>
    <row r="1060">
      <c r="A1060" s="88"/>
      <c r="B1060" s="89"/>
      <c r="M1060" s="78"/>
      <c r="N1060" s="74"/>
      <c r="O1060" s="74"/>
    </row>
    <row r="1061">
      <c r="A1061" s="88"/>
      <c r="B1061" s="89"/>
      <c r="M1061" s="78"/>
      <c r="N1061" s="74"/>
      <c r="O1061" s="74"/>
    </row>
    <row r="1062">
      <c r="A1062" s="88"/>
      <c r="B1062" s="89"/>
      <c r="M1062" s="78"/>
      <c r="N1062" s="74"/>
      <c r="O1062" s="74"/>
    </row>
    <row r="1063">
      <c r="A1063" s="88"/>
      <c r="B1063" s="89"/>
      <c r="M1063" s="78"/>
      <c r="N1063" s="74"/>
      <c r="O1063" s="74"/>
    </row>
    <row r="1064">
      <c r="A1064" s="88"/>
      <c r="B1064" s="89"/>
      <c r="M1064" s="78"/>
      <c r="N1064" s="74"/>
      <c r="O1064" s="74"/>
    </row>
    <row r="1065">
      <c r="A1065" s="88"/>
      <c r="B1065" s="89"/>
      <c r="M1065" s="78"/>
      <c r="N1065" s="74"/>
      <c r="O1065" s="74"/>
    </row>
    <row r="1066">
      <c r="A1066" s="88"/>
      <c r="B1066" s="89"/>
      <c r="M1066" s="78"/>
      <c r="N1066" s="74"/>
      <c r="O1066" s="74"/>
    </row>
    <row r="1067">
      <c r="A1067" s="88"/>
      <c r="B1067" s="89"/>
      <c r="M1067" s="78"/>
      <c r="N1067" s="74"/>
      <c r="O1067" s="74"/>
    </row>
    <row r="1068">
      <c r="A1068" s="88"/>
      <c r="B1068" s="89"/>
      <c r="M1068" s="78"/>
      <c r="N1068" s="74"/>
      <c r="O1068" s="74"/>
    </row>
    <row r="1069">
      <c r="A1069" s="88"/>
      <c r="B1069" s="89"/>
      <c r="M1069" s="78"/>
      <c r="N1069" s="74"/>
      <c r="O1069" s="74"/>
    </row>
    <row r="1070">
      <c r="A1070" s="88"/>
      <c r="B1070" s="89"/>
      <c r="M1070" s="78"/>
      <c r="N1070" s="74"/>
      <c r="O1070" s="74"/>
    </row>
    <row r="1071">
      <c r="A1071" s="88"/>
      <c r="B1071" s="89"/>
      <c r="M1071" s="78"/>
      <c r="N1071" s="74"/>
      <c r="O1071" s="74"/>
    </row>
    <row r="1072">
      <c r="A1072" s="88"/>
      <c r="B1072" s="89"/>
      <c r="M1072" s="78"/>
      <c r="N1072" s="74"/>
      <c r="O1072" s="74"/>
    </row>
    <row r="1073">
      <c r="A1073" s="88"/>
      <c r="B1073" s="89"/>
      <c r="M1073" s="78"/>
      <c r="N1073" s="74"/>
      <c r="O1073" s="74"/>
    </row>
    <row r="1074">
      <c r="A1074" s="88"/>
      <c r="B1074" s="89"/>
      <c r="M1074" s="78"/>
      <c r="N1074" s="74"/>
      <c r="O1074" s="74"/>
    </row>
    <row r="1075">
      <c r="A1075" s="88"/>
      <c r="B1075" s="89"/>
      <c r="M1075" s="78"/>
      <c r="N1075" s="74"/>
      <c r="O1075" s="74"/>
    </row>
    <row r="1076">
      <c r="A1076" s="88"/>
      <c r="B1076" s="89"/>
      <c r="M1076" s="78"/>
      <c r="N1076" s="74"/>
      <c r="O1076" s="74"/>
    </row>
    <row r="1077">
      <c r="A1077" s="88"/>
      <c r="B1077" s="89"/>
      <c r="M1077" s="78"/>
      <c r="N1077" s="74"/>
      <c r="O1077" s="74"/>
    </row>
    <row r="1078">
      <c r="A1078" s="88"/>
      <c r="B1078" s="89"/>
      <c r="M1078" s="78"/>
      <c r="N1078" s="74"/>
      <c r="O1078" s="74"/>
    </row>
    <row r="1079">
      <c r="A1079" s="88"/>
      <c r="B1079" s="89"/>
      <c r="M1079" s="78"/>
      <c r="N1079" s="74"/>
      <c r="O1079" s="74"/>
    </row>
    <row r="1080">
      <c r="A1080" s="88"/>
      <c r="B1080" s="89"/>
      <c r="M1080" s="78"/>
      <c r="N1080" s="74"/>
      <c r="O1080" s="74"/>
    </row>
    <row r="1081">
      <c r="A1081" s="88"/>
      <c r="B1081" s="89"/>
      <c r="M1081" s="78"/>
      <c r="N1081" s="74"/>
      <c r="O1081" s="74"/>
    </row>
    <row r="1082">
      <c r="A1082" s="88"/>
      <c r="B1082" s="89"/>
      <c r="M1082" s="78"/>
      <c r="N1082" s="74"/>
      <c r="O1082" s="74"/>
    </row>
    <row r="1083">
      <c r="A1083" s="88"/>
      <c r="B1083" s="89"/>
      <c r="M1083" s="78"/>
      <c r="N1083" s="74"/>
      <c r="O1083" s="74"/>
    </row>
    <row r="1084">
      <c r="A1084" s="88"/>
      <c r="B1084" s="89"/>
      <c r="M1084" s="78"/>
      <c r="N1084" s="74"/>
      <c r="O1084" s="74"/>
    </row>
    <row r="1085">
      <c r="A1085" s="88"/>
      <c r="B1085" s="89"/>
      <c r="M1085" s="78"/>
      <c r="N1085" s="74"/>
      <c r="O1085" s="74"/>
    </row>
    <row r="1086">
      <c r="A1086" s="88"/>
      <c r="B1086" s="89"/>
      <c r="M1086" s="78"/>
      <c r="N1086" s="74"/>
      <c r="O1086" s="74"/>
    </row>
    <row r="1087">
      <c r="A1087" s="88"/>
      <c r="B1087" s="89"/>
      <c r="M1087" s="78"/>
      <c r="N1087" s="74"/>
      <c r="O1087" s="74"/>
    </row>
    <row r="1088">
      <c r="A1088" s="88"/>
      <c r="B1088" s="89"/>
      <c r="M1088" s="78"/>
      <c r="N1088" s="74"/>
      <c r="O1088" s="74"/>
    </row>
    <row r="1089">
      <c r="A1089" s="88"/>
      <c r="B1089" s="89"/>
      <c r="M1089" s="78"/>
      <c r="N1089" s="74"/>
      <c r="O1089" s="74"/>
    </row>
    <row r="1090">
      <c r="A1090" s="88"/>
      <c r="B1090" s="89"/>
      <c r="M1090" s="78"/>
      <c r="N1090" s="74"/>
      <c r="O1090" s="74"/>
    </row>
    <row r="1091">
      <c r="A1091" s="88"/>
      <c r="B1091" s="89"/>
      <c r="M1091" s="78"/>
      <c r="N1091" s="74"/>
      <c r="O1091" s="74"/>
    </row>
    <row r="1092">
      <c r="A1092" s="88"/>
      <c r="B1092" s="89"/>
      <c r="M1092" s="78"/>
      <c r="N1092" s="74"/>
      <c r="O1092" s="74"/>
    </row>
    <row r="1093">
      <c r="A1093" s="88"/>
      <c r="B1093" s="89"/>
      <c r="M1093" s="78"/>
      <c r="N1093" s="74"/>
      <c r="O1093" s="74"/>
    </row>
    <row r="1094">
      <c r="A1094" s="88"/>
      <c r="B1094" s="89"/>
      <c r="M1094" s="78"/>
      <c r="N1094" s="74"/>
      <c r="O1094" s="74"/>
    </row>
    <row r="1095">
      <c r="A1095" s="88"/>
      <c r="B1095" s="89"/>
      <c r="M1095" s="78"/>
      <c r="N1095" s="74"/>
      <c r="O1095" s="74"/>
    </row>
    <row r="1096">
      <c r="A1096" s="88"/>
      <c r="B1096" s="89"/>
      <c r="M1096" s="78"/>
      <c r="N1096" s="74"/>
      <c r="O1096" s="74"/>
    </row>
    <row r="1097">
      <c r="A1097" s="88"/>
      <c r="B1097" s="89"/>
      <c r="M1097" s="78"/>
      <c r="N1097" s="74"/>
      <c r="O1097" s="74"/>
    </row>
    <row r="1098">
      <c r="A1098" s="88"/>
      <c r="B1098" s="89"/>
      <c r="M1098" s="78"/>
      <c r="N1098" s="74"/>
      <c r="O1098" s="74"/>
    </row>
    <row r="1099">
      <c r="A1099" s="88"/>
      <c r="B1099" s="89"/>
      <c r="M1099" s="78"/>
      <c r="N1099" s="74"/>
      <c r="O1099" s="74"/>
    </row>
    <row r="1100">
      <c r="A1100" s="88"/>
      <c r="B1100" s="89"/>
      <c r="M1100" s="78"/>
      <c r="N1100" s="74"/>
      <c r="O1100" s="74"/>
    </row>
    <row r="1101">
      <c r="A1101" s="88"/>
      <c r="B1101" s="89"/>
      <c r="M1101" s="78"/>
      <c r="N1101" s="74"/>
      <c r="O1101" s="74"/>
    </row>
    <row r="1102">
      <c r="A1102" s="88"/>
      <c r="B1102" s="89"/>
      <c r="M1102" s="78"/>
      <c r="N1102" s="74"/>
      <c r="O1102" s="74"/>
    </row>
    <row r="1103">
      <c r="A1103" s="88"/>
      <c r="B1103" s="89"/>
      <c r="M1103" s="78"/>
      <c r="N1103" s="74"/>
      <c r="O1103" s="74"/>
    </row>
    <row r="1104">
      <c r="A1104" s="88"/>
      <c r="B1104" s="89"/>
      <c r="M1104" s="78"/>
      <c r="N1104" s="74"/>
      <c r="O1104" s="74"/>
    </row>
    <row r="1105">
      <c r="A1105" s="88"/>
      <c r="B1105" s="89"/>
      <c r="M1105" s="78"/>
      <c r="N1105" s="74"/>
      <c r="O1105" s="74"/>
    </row>
    <row r="1106">
      <c r="A1106" s="88"/>
      <c r="B1106" s="89"/>
      <c r="M1106" s="78"/>
      <c r="N1106" s="74"/>
      <c r="O1106" s="74"/>
    </row>
    <row r="1107">
      <c r="A1107" s="88"/>
      <c r="B1107" s="89"/>
      <c r="M1107" s="78"/>
      <c r="N1107" s="74"/>
      <c r="O1107" s="74"/>
    </row>
    <row r="1108">
      <c r="A1108" s="88"/>
      <c r="B1108" s="89"/>
      <c r="M1108" s="78"/>
      <c r="N1108" s="74"/>
      <c r="O1108" s="74"/>
    </row>
    <row r="1109">
      <c r="A1109" s="88"/>
      <c r="B1109" s="89"/>
      <c r="M1109" s="78"/>
      <c r="N1109" s="74"/>
      <c r="O1109" s="74"/>
    </row>
    <row r="1110">
      <c r="A1110" s="88"/>
      <c r="B1110" s="89"/>
      <c r="M1110" s="78"/>
      <c r="N1110" s="74"/>
      <c r="O1110" s="74"/>
    </row>
    <row r="1111">
      <c r="A1111" s="88"/>
      <c r="B1111" s="89"/>
      <c r="M1111" s="78"/>
      <c r="N1111" s="74"/>
      <c r="O1111" s="74"/>
    </row>
    <row r="1112">
      <c r="A1112" s="88"/>
      <c r="B1112" s="89"/>
      <c r="M1112" s="78"/>
      <c r="N1112" s="74"/>
      <c r="O1112" s="74"/>
    </row>
    <row r="1113">
      <c r="A1113" s="88"/>
      <c r="B1113" s="89"/>
      <c r="M1113" s="78"/>
      <c r="N1113" s="74"/>
      <c r="O1113" s="74"/>
    </row>
    <row r="1114">
      <c r="A1114" s="88"/>
      <c r="B1114" s="89"/>
      <c r="M1114" s="78"/>
      <c r="N1114" s="74"/>
      <c r="O1114" s="74"/>
    </row>
    <row r="1115">
      <c r="A1115" s="88"/>
      <c r="B1115" s="89"/>
      <c r="M1115" s="78"/>
      <c r="N1115" s="74"/>
      <c r="O1115" s="74"/>
    </row>
    <row r="1116">
      <c r="A1116" s="88"/>
      <c r="B1116" s="89"/>
      <c r="M1116" s="78"/>
      <c r="N1116" s="74"/>
      <c r="O1116" s="74"/>
    </row>
    <row r="1117">
      <c r="A1117" s="88"/>
      <c r="B1117" s="89"/>
      <c r="M1117" s="78"/>
      <c r="N1117" s="74"/>
      <c r="O1117" s="74"/>
    </row>
    <row r="1118">
      <c r="A1118" s="88"/>
      <c r="B1118" s="89"/>
      <c r="M1118" s="78"/>
      <c r="N1118" s="74"/>
      <c r="O1118" s="74"/>
    </row>
    <row r="1119">
      <c r="A1119" s="88"/>
      <c r="B1119" s="89"/>
      <c r="M1119" s="78"/>
      <c r="N1119" s="74"/>
      <c r="O1119" s="74"/>
    </row>
    <row r="1120">
      <c r="A1120" s="88"/>
      <c r="B1120" s="89"/>
      <c r="M1120" s="78"/>
      <c r="N1120" s="74"/>
      <c r="O1120" s="74"/>
    </row>
    <row r="1121">
      <c r="A1121" s="88"/>
      <c r="B1121" s="89"/>
      <c r="M1121" s="78"/>
      <c r="N1121" s="74"/>
      <c r="O1121" s="74"/>
    </row>
    <row r="1122">
      <c r="A1122" s="88"/>
      <c r="B1122" s="89"/>
      <c r="M1122" s="78"/>
      <c r="N1122" s="74"/>
      <c r="O1122" s="74"/>
    </row>
    <row r="1123">
      <c r="A1123" s="88"/>
      <c r="B1123" s="89"/>
      <c r="M1123" s="78"/>
      <c r="N1123" s="74"/>
      <c r="O1123" s="74"/>
    </row>
    <row r="1124">
      <c r="A1124" s="88"/>
      <c r="B1124" s="89"/>
      <c r="M1124" s="78"/>
      <c r="N1124" s="74"/>
      <c r="O1124" s="74"/>
    </row>
    <row r="1125">
      <c r="A1125" s="88"/>
      <c r="B1125" s="89"/>
      <c r="M1125" s="78"/>
      <c r="N1125" s="74"/>
      <c r="O1125" s="74"/>
    </row>
    <row r="1126">
      <c r="A1126" s="88"/>
      <c r="B1126" s="89"/>
      <c r="M1126" s="78"/>
      <c r="N1126" s="74"/>
      <c r="O1126" s="74"/>
    </row>
    <row r="1127">
      <c r="A1127" s="88"/>
      <c r="B1127" s="89"/>
      <c r="M1127" s="78"/>
      <c r="N1127" s="74"/>
      <c r="O1127" s="74"/>
    </row>
    <row r="1128">
      <c r="A1128" s="88"/>
      <c r="B1128" s="89"/>
      <c r="M1128" s="78"/>
      <c r="N1128" s="74"/>
      <c r="O1128" s="74"/>
    </row>
    <row r="1129">
      <c r="A1129" s="88"/>
      <c r="B1129" s="89"/>
      <c r="M1129" s="78"/>
      <c r="N1129" s="74"/>
      <c r="O1129" s="74"/>
    </row>
    <row r="1130">
      <c r="A1130" s="88"/>
      <c r="B1130" s="89"/>
      <c r="M1130" s="78"/>
      <c r="N1130" s="74"/>
      <c r="O1130" s="74"/>
    </row>
    <row r="1131">
      <c r="A1131" s="88"/>
      <c r="B1131" s="89"/>
      <c r="M1131" s="78"/>
      <c r="N1131" s="74"/>
      <c r="O1131" s="74"/>
    </row>
    <row r="1132">
      <c r="A1132" s="88"/>
      <c r="B1132" s="89"/>
      <c r="M1132" s="78"/>
      <c r="N1132" s="74"/>
      <c r="O1132" s="74"/>
    </row>
    <row r="1133">
      <c r="A1133" s="88"/>
      <c r="B1133" s="89"/>
      <c r="M1133" s="78"/>
      <c r="N1133" s="74"/>
      <c r="O1133" s="74"/>
    </row>
    <row r="1134">
      <c r="A1134" s="88"/>
      <c r="B1134" s="89"/>
      <c r="M1134" s="78"/>
      <c r="N1134" s="74"/>
      <c r="O1134" s="74"/>
    </row>
    <row r="1135">
      <c r="A1135" s="88"/>
      <c r="B1135" s="89"/>
      <c r="M1135" s="78"/>
      <c r="N1135" s="74"/>
      <c r="O1135" s="74"/>
    </row>
    <row r="1136">
      <c r="A1136" s="88"/>
      <c r="B1136" s="89"/>
      <c r="M1136" s="78"/>
      <c r="N1136" s="74"/>
      <c r="O1136" s="74"/>
    </row>
    <row r="1137">
      <c r="A1137" s="88"/>
      <c r="B1137" s="89"/>
      <c r="M1137" s="78"/>
      <c r="N1137" s="74"/>
      <c r="O1137" s="74"/>
    </row>
    <row r="1138">
      <c r="A1138" s="88"/>
      <c r="B1138" s="89"/>
      <c r="M1138" s="78"/>
      <c r="N1138" s="74"/>
      <c r="O1138" s="74"/>
    </row>
    <row r="1139">
      <c r="A1139" s="88"/>
      <c r="B1139" s="89"/>
      <c r="M1139" s="78"/>
      <c r="N1139" s="74"/>
      <c r="O1139" s="74"/>
    </row>
    <row r="1140">
      <c r="A1140" s="88"/>
      <c r="B1140" s="89"/>
      <c r="M1140" s="78"/>
      <c r="N1140" s="74"/>
      <c r="O1140" s="74"/>
    </row>
    <row r="1141">
      <c r="A1141" s="88"/>
      <c r="B1141" s="89"/>
      <c r="M1141" s="78"/>
      <c r="N1141" s="74"/>
      <c r="O1141" s="74"/>
    </row>
    <row r="1142">
      <c r="A1142" s="88"/>
      <c r="B1142" s="89"/>
      <c r="M1142" s="78"/>
      <c r="N1142" s="74"/>
      <c r="O1142" s="74"/>
    </row>
    <row r="1143">
      <c r="A1143" s="88"/>
      <c r="B1143" s="89"/>
      <c r="M1143" s="78"/>
      <c r="N1143" s="74"/>
      <c r="O1143" s="74"/>
    </row>
    <row r="1144">
      <c r="A1144" s="88"/>
      <c r="B1144" s="89"/>
      <c r="M1144" s="78"/>
      <c r="N1144" s="74"/>
      <c r="O1144" s="74"/>
    </row>
    <row r="1145">
      <c r="A1145" s="88"/>
      <c r="B1145" s="89"/>
      <c r="M1145" s="78"/>
      <c r="N1145" s="74"/>
      <c r="O1145" s="74"/>
    </row>
    <row r="1146">
      <c r="A1146" s="88"/>
      <c r="B1146" s="89"/>
      <c r="M1146" s="78"/>
      <c r="N1146" s="74"/>
      <c r="O1146" s="74"/>
    </row>
    <row r="1147">
      <c r="A1147" s="88"/>
      <c r="B1147" s="89"/>
      <c r="M1147" s="78"/>
      <c r="N1147" s="74"/>
      <c r="O1147" s="74"/>
    </row>
    <row r="1148">
      <c r="A1148" s="88"/>
      <c r="B1148" s="89"/>
      <c r="M1148" s="78"/>
      <c r="N1148" s="74"/>
      <c r="O1148" s="74"/>
    </row>
    <row r="1149">
      <c r="A1149" s="88"/>
      <c r="B1149" s="89"/>
      <c r="M1149" s="78"/>
      <c r="N1149" s="74"/>
      <c r="O1149" s="74"/>
    </row>
    <row r="1150">
      <c r="A1150" s="88"/>
      <c r="B1150" s="89"/>
      <c r="M1150" s="78"/>
      <c r="N1150" s="74"/>
      <c r="O1150" s="74"/>
    </row>
    <row r="1151">
      <c r="A1151" s="88"/>
      <c r="B1151" s="89"/>
      <c r="M1151" s="78"/>
      <c r="N1151" s="74"/>
      <c r="O1151" s="74"/>
    </row>
    <row r="1152">
      <c r="A1152" s="88"/>
      <c r="B1152" s="89"/>
      <c r="M1152" s="78"/>
      <c r="N1152" s="74"/>
      <c r="O1152" s="74"/>
    </row>
    <row r="1153">
      <c r="A1153" s="88"/>
      <c r="B1153" s="89"/>
      <c r="M1153" s="78"/>
      <c r="N1153" s="74"/>
      <c r="O1153" s="74"/>
    </row>
    <row r="1154">
      <c r="A1154" s="88"/>
      <c r="B1154" s="89"/>
      <c r="M1154" s="78"/>
      <c r="N1154" s="74"/>
      <c r="O1154" s="74"/>
    </row>
    <row r="1155">
      <c r="A1155" s="88"/>
      <c r="B1155" s="89"/>
      <c r="M1155" s="78"/>
      <c r="N1155" s="74"/>
      <c r="O1155" s="74"/>
    </row>
    <row r="1156">
      <c r="A1156" s="88"/>
      <c r="B1156" s="89"/>
      <c r="M1156" s="78"/>
      <c r="N1156" s="74"/>
      <c r="O1156" s="74"/>
    </row>
    <row r="1157">
      <c r="A1157" s="88"/>
      <c r="B1157" s="89"/>
      <c r="M1157" s="78"/>
      <c r="N1157" s="74"/>
      <c r="O1157" s="74"/>
    </row>
    <row r="1158">
      <c r="A1158" s="88"/>
      <c r="B1158" s="89"/>
      <c r="M1158" s="78"/>
      <c r="N1158" s="74"/>
      <c r="O1158" s="74"/>
    </row>
    <row r="1159">
      <c r="A1159" s="88"/>
      <c r="B1159" s="89"/>
      <c r="M1159" s="78"/>
      <c r="N1159" s="74"/>
      <c r="O1159" s="74"/>
    </row>
    <row r="1160">
      <c r="A1160" s="88"/>
      <c r="B1160" s="89"/>
      <c r="M1160" s="78"/>
      <c r="N1160" s="74"/>
      <c r="O1160" s="74"/>
    </row>
    <row r="1161">
      <c r="A1161" s="88"/>
      <c r="B1161" s="89"/>
      <c r="M1161" s="78"/>
      <c r="N1161" s="74"/>
      <c r="O1161" s="74"/>
    </row>
    <row r="1162">
      <c r="A1162" s="88"/>
      <c r="B1162" s="89"/>
      <c r="M1162" s="78"/>
      <c r="N1162" s="74"/>
      <c r="O1162" s="74"/>
    </row>
    <row r="1163">
      <c r="A1163" s="88"/>
      <c r="B1163" s="89"/>
      <c r="M1163" s="78"/>
      <c r="N1163" s="74"/>
      <c r="O1163" s="74"/>
    </row>
    <row r="1164">
      <c r="A1164" s="88"/>
      <c r="B1164" s="89"/>
      <c r="M1164" s="78"/>
      <c r="N1164" s="74"/>
      <c r="O1164" s="74"/>
    </row>
    <row r="1165">
      <c r="A1165" s="88"/>
      <c r="B1165" s="89"/>
      <c r="M1165" s="78"/>
      <c r="N1165" s="74"/>
      <c r="O1165" s="74"/>
    </row>
    <row r="1166">
      <c r="A1166" s="88"/>
      <c r="B1166" s="89"/>
      <c r="M1166" s="78"/>
      <c r="N1166" s="74"/>
      <c r="O1166" s="74"/>
    </row>
    <row r="1167">
      <c r="A1167" s="88"/>
      <c r="B1167" s="89"/>
      <c r="M1167" s="78"/>
      <c r="N1167" s="74"/>
      <c r="O1167" s="74"/>
    </row>
    <row r="1168">
      <c r="A1168" s="88"/>
      <c r="B1168" s="89"/>
      <c r="M1168" s="78"/>
      <c r="N1168" s="74"/>
      <c r="O1168" s="74"/>
    </row>
    <row r="1169">
      <c r="A1169" s="88"/>
      <c r="B1169" s="89"/>
      <c r="M1169" s="78"/>
      <c r="N1169" s="74"/>
      <c r="O1169" s="74"/>
    </row>
    <row r="1170">
      <c r="A1170" s="88"/>
      <c r="B1170" s="89"/>
      <c r="M1170" s="78"/>
      <c r="N1170" s="74"/>
      <c r="O1170" s="74"/>
    </row>
    <row r="1171">
      <c r="A1171" s="88"/>
      <c r="B1171" s="89"/>
      <c r="M1171" s="78"/>
      <c r="N1171" s="74"/>
      <c r="O1171" s="74"/>
    </row>
    <row r="1172">
      <c r="A1172" s="88"/>
      <c r="B1172" s="89"/>
      <c r="M1172" s="78"/>
      <c r="N1172" s="74"/>
      <c r="O1172" s="74"/>
    </row>
    <row r="1173">
      <c r="A1173" s="88"/>
      <c r="B1173" s="89"/>
      <c r="M1173" s="78"/>
      <c r="N1173" s="74"/>
      <c r="O1173" s="74"/>
    </row>
    <row r="1174">
      <c r="A1174" s="88"/>
      <c r="B1174" s="89"/>
      <c r="M1174" s="78"/>
      <c r="N1174" s="74"/>
      <c r="O1174" s="74"/>
    </row>
    <row r="1175">
      <c r="A1175" s="88"/>
      <c r="B1175" s="89"/>
      <c r="M1175" s="78"/>
      <c r="N1175" s="74"/>
      <c r="O1175" s="74"/>
    </row>
    <row r="1176">
      <c r="A1176" s="88"/>
      <c r="B1176" s="89"/>
      <c r="M1176" s="78"/>
      <c r="N1176" s="74"/>
      <c r="O1176" s="74"/>
    </row>
    <row r="1177">
      <c r="A1177" s="88"/>
      <c r="B1177" s="89"/>
      <c r="M1177" s="78"/>
      <c r="N1177" s="74"/>
      <c r="O1177" s="74"/>
    </row>
    <row r="1178">
      <c r="A1178" s="88"/>
      <c r="B1178" s="89"/>
      <c r="M1178" s="78"/>
      <c r="N1178" s="74"/>
      <c r="O1178" s="74"/>
    </row>
    <row r="1179">
      <c r="A1179" s="88"/>
      <c r="B1179" s="89"/>
      <c r="M1179" s="78"/>
      <c r="N1179" s="74"/>
      <c r="O1179" s="74"/>
    </row>
    <row r="1180">
      <c r="A1180" s="88"/>
      <c r="B1180" s="89"/>
      <c r="M1180" s="78"/>
      <c r="N1180" s="74"/>
      <c r="O1180" s="74"/>
    </row>
    <row r="1181">
      <c r="A1181" s="88"/>
      <c r="B1181" s="89"/>
      <c r="M1181" s="78"/>
      <c r="N1181" s="74"/>
      <c r="O1181" s="74"/>
    </row>
    <row r="1182">
      <c r="A1182" s="88"/>
      <c r="B1182" s="89"/>
      <c r="M1182" s="78"/>
      <c r="N1182" s="74"/>
      <c r="O1182" s="74"/>
    </row>
    <row r="1183">
      <c r="A1183" s="88"/>
      <c r="B1183" s="89"/>
      <c r="M1183" s="78"/>
      <c r="N1183" s="74"/>
      <c r="O1183" s="74"/>
    </row>
    <row r="1184">
      <c r="A1184" s="88"/>
      <c r="B1184" s="89"/>
      <c r="M1184" s="78"/>
      <c r="N1184" s="74"/>
      <c r="O1184" s="74"/>
    </row>
    <row r="1185">
      <c r="A1185" s="88"/>
      <c r="B1185" s="89"/>
      <c r="M1185" s="78"/>
      <c r="N1185" s="74"/>
      <c r="O1185" s="74"/>
    </row>
    <row r="1186">
      <c r="A1186" s="88"/>
      <c r="B1186" s="89"/>
      <c r="M1186" s="78"/>
      <c r="N1186" s="74"/>
      <c r="O1186" s="74"/>
    </row>
    <row r="1187">
      <c r="A1187" s="88"/>
      <c r="B1187" s="89"/>
      <c r="M1187" s="78"/>
      <c r="N1187" s="74"/>
      <c r="O1187" s="74"/>
    </row>
    <row r="1188">
      <c r="A1188" s="88"/>
      <c r="B1188" s="89"/>
      <c r="M1188" s="78"/>
      <c r="N1188" s="74"/>
      <c r="O1188" s="74"/>
    </row>
    <row r="1189">
      <c r="A1189" s="88"/>
      <c r="B1189" s="89"/>
      <c r="M1189" s="78"/>
      <c r="N1189" s="74"/>
      <c r="O1189" s="74"/>
    </row>
    <row r="1190">
      <c r="A1190" s="88"/>
      <c r="B1190" s="89"/>
      <c r="M1190" s="78"/>
      <c r="N1190" s="74"/>
      <c r="O1190" s="74"/>
    </row>
    <row r="1191">
      <c r="A1191" s="88"/>
      <c r="B1191" s="89"/>
      <c r="M1191" s="78"/>
      <c r="N1191" s="74"/>
      <c r="O1191" s="74"/>
    </row>
    <row r="1192">
      <c r="A1192" s="88"/>
      <c r="B1192" s="89"/>
      <c r="M1192" s="78"/>
      <c r="N1192" s="74"/>
      <c r="O1192" s="74"/>
    </row>
    <row r="1193">
      <c r="A1193" s="88"/>
      <c r="B1193" s="89"/>
      <c r="M1193" s="78"/>
      <c r="N1193" s="74"/>
      <c r="O1193" s="74"/>
    </row>
    <row r="1194">
      <c r="A1194" s="88"/>
      <c r="B1194" s="89"/>
      <c r="M1194" s="78"/>
      <c r="N1194" s="74"/>
      <c r="O1194" s="74"/>
    </row>
    <row r="1195">
      <c r="A1195" s="88"/>
      <c r="B1195" s="89"/>
      <c r="M1195" s="78"/>
      <c r="N1195" s="74"/>
      <c r="O1195" s="74"/>
    </row>
    <row r="1196">
      <c r="A1196" s="88"/>
      <c r="B1196" s="89"/>
      <c r="M1196" s="78"/>
      <c r="N1196" s="74"/>
      <c r="O1196" s="74"/>
    </row>
    <row r="1197">
      <c r="A1197" s="88"/>
      <c r="B1197" s="89"/>
      <c r="M1197" s="78"/>
      <c r="N1197" s="74"/>
      <c r="O1197" s="74"/>
    </row>
    <row r="1198">
      <c r="A1198" s="88"/>
      <c r="B1198" s="89"/>
      <c r="M1198" s="78"/>
      <c r="N1198" s="74"/>
      <c r="O1198" s="74"/>
    </row>
    <row r="1199">
      <c r="A1199" s="88"/>
      <c r="B1199" s="89"/>
      <c r="M1199" s="78"/>
      <c r="N1199" s="74"/>
      <c r="O1199" s="74"/>
    </row>
    <row r="1200">
      <c r="A1200" s="88"/>
      <c r="B1200" s="89"/>
      <c r="M1200" s="78"/>
      <c r="N1200" s="74"/>
      <c r="O1200" s="74"/>
    </row>
    <row r="1201">
      <c r="A1201" s="88"/>
      <c r="B1201" s="89"/>
      <c r="M1201" s="78"/>
      <c r="N1201" s="74"/>
      <c r="O1201" s="74"/>
    </row>
    <row r="1202">
      <c r="A1202" s="88"/>
      <c r="B1202" s="89"/>
      <c r="M1202" s="78"/>
      <c r="N1202" s="74"/>
      <c r="O1202" s="74"/>
    </row>
    <row r="1203">
      <c r="A1203" s="88"/>
      <c r="B1203" s="89"/>
      <c r="M1203" s="78"/>
      <c r="N1203" s="74"/>
      <c r="O1203" s="74"/>
    </row>
    <row r="1204">
      <c r="A1204" s="88"/>
      <c r="B1204" s="89"/>
      <c r="M1204" s="78"/>
      <c r="N1204" s="74"/>
      <c r="O1204" s="74"/>
    </row>
    <row r="1205">
      <c r="A1205" s="88"/>
      <c r="B1205" s="89"/>
      <c r="M1205" s="78"/>
      <c r="N1205" s="74"/>
      <c r="O1205" s="74"/>
    </row>
    <row r="1206">
      <c r="A1206" s="88"/>
      <c r="B1206" s="89"/>
      <c r="M1206" s="78"/>
      <c r="N1206" s="74"/>
      <c r="O1206" s="74"/>
    </row>
    <row r="1207">
      <c r="A1207" s="88"/>
      <c r="B1207" s="89"/>
      <c r="M1207" s="78"/>
      <c r="N1207" s="74"/>
      <c r="O1207" s="74"/>
    </row>
    <row r="1208">
      <c r="A1208" s="88"/>
      <c r="B1208" s="89"/>
      <c r="M1208" s="78"/>
      <c r="N1208" s="74"/>
      <c r="O1208" s="74"/>
    </row>
    <row r="1209">
      <c r="A1209" s="88"/>
      <c r="B1209" s="89"/>
      <c r="M1209" s="78"/>
      <c r="N1209" s="74"/>
      <c r="O1209" s="74"/>
    </row>
    <row r="1210">
      <c r="A1210" s="88"/>
      <c r="B1210" s="89"/>
      <c r="M1210" s="78"/>
      <c r="N1210" s="74"/>
      <c r="O1210" s="74"/>
    </row>
    <row r="1211">
      <c r="A1211" s="88"/>
      <c r="B1211" s="89"/>
      <c r="M1211" s="78"/>
      <c r="N1211" s="74"/>
      <c r="O1211" s="74"/>
    </row>
    <row r="1212">
      <c r="A1212" s="88"/>
      <c r="B1212" s="89"/>
      <c r="M1212" s="78"/>
      <c r="N1212" s="74"/>
      <c r="O1212" s="74"/>
    </row>
    <row r="1213">
      <c r="A1213" s="88"/>
      <c r="B1213" s="89"/>
      <c r="M1213" s="78"/>
      <c r="N1213" s="74"/>
      <c r="O1213" s="74"/>
    </row>
    <row r="1214">
      <c r="A1214" s="88"/>
      <c r="B1214" s="89"/>
      <c r="M1214" s="78"/>
      <c r="N1214" s="74"/>
      <c r="O1214" s="74"/>
    </row>
    <row r="1215">
      <c r="A1215" s="88"/>
      <c r="B1215" s="89"/>
      <c r="M1215" s="78"/>
      <c r="N1215" s="74"/>
      <c r="O1215" s="74"/>
    </row>
    <row r="1216">
      <c r="A1216" s="88"/>
      <c r="B1216" s="89"/>
      <c r="M1216" s="78"/>
      <c r="N1216" s="74"/>
      <c r="O1216" s="74"/>
    </row>
    <row r="1217">
      <c r="A1217" s="88"/>
      <c r="B1217" s="89"/>
      <c r="M1217" s="78"/>
      <c r="N1217" s="74"/>
      <c r="O1217" s="74"/>
    </row>
    <row r="1218">
      <c r="A1218" s="88"/>
      <c r="B1218" s="89"/>
      <c r="M1218" s="78"/>
      <c r="N1218" s="74"/>
      <c r="O1218" s="74"/>
    </row>
    <row r="1219">
      <c r="A1219" s="88"/>
      <c r="B1219" s="89"/>
      <c r="M1219" s="78"/>
      <c r="N1219" s="74"/>
      <c r="O1219" s="74"/>
    </row>
    <row r="1220">
      <c r="A1220" s="88"/>
      <c r="B1220" s="89"/>
      <c r="M1220" s="78"/>
      <c r="N1220" s="74"/>
      <c r="O1220" s="74"/>
    </row>
    <row r="1221">
      <c r="A1221" s="88"/>
      <c r="B1221" s="89"/>
      <c r="M1221" s="78"/>
      <c r="N1221" s="74"/>
      <c r="O1221" s="74"/>
    </row>
    <row r="1222">
      <c r="A1222" s="88"/>
      <c r="B1222" s="89"/>
      <c r="M1222" s="78"/>
      <c r="N1222" s="74"/>
      <c r="O1222" s="74"/>
    </row>
    <row r="1223">
      <c r="A1223" s="88"/>
      <c r="B1223" s="89"/>
      <c r="M1223" s="78"/>
      <c r="N1223" s="74"/>
      <c r="O1223" s="74"/>
    </row>
    <row r="1224">
      <c r="A1224" s="88"/>
      <c r="B1224" s="89"/>
      <c r="M1224" s="78"/>
      <c r="N1224" s="74"/>
      <c r="O1224" s="74"/>
    </row>
    <row r="1225">
      <c r="A1225" s="88"/>
      <c r="B1225" s="89"/>
      <c r="M1225" s="78"/>
      <c r="N1225" s="74"/>
      <c r="O1225" s="74"/>
    </row>
    <row r="1226">
      <c r="A1226" s="88"/>
      <c r="B1226" s="89"/>
      <c r="M1226" s="78"/>
      <c r="N1226" s="74"/>
      <c r="O1226" s="74"/>
    </row>
    <row r="1227">
      <c r="A1227" s="88"/>
      <c r="B1227" s="89"/>
      <c r="M1227" s="78"/>
      <c r="N1227" s="74"/>
      <c r="O1227" s="74"/>
    </row>
    <row r="1228">
      <c r="A1228" s="88"/>
      <c r="B1228" s="89"/>
      <c r="M1228" s="78"/>
      <c r="N1228" s="74"/>
      <c r="O1228" s="74"/>
    </row>
    <row r="1229">
      <c r="A1229" s="88"/>
      <c r="B1229" s="89"/>
      <c r="M1229" s="78"/>
      <c r="N1229" s="74"/>
      <c r="O1229" s="74"/>
    </row>
    <row r="1230">
      <c r="A1230" s="88"/>
      <c r="B1230" s="89"/>
      <c r="M1230" s="78"/>
      <c r="N1230" s="74"/>
      <c r="O1230" s="74"/>
    </row>
    <row r="1231">
      <c r="A1231" s="88"/>
      <c r="B1231" s="89"/>
      <c r="M1231" s="78"/>
      <c r="N1231" s="74"/>
      <c r="O1231" s="74"/>
    </row>
    <row r="1232">
      <c r="A1232" s="88"/>
      <c r="B1232" s="89"/>
      <c r="M1232" s="78"/>
      <c r="N1232" s="74"/>
      <c r="O1232" s="74"/>
    </row>
    <row r="1233">
      <c r="A1233" s="88"/>
      <c r="B1233" s="89"/>
      <c r="M1233" s="78"/>
      <c r="N1233" s="74"/>
      <c r="O1233" s="74"/>
    </row>
    <row r="1234">
      <c r="A1234" s="88"/>
      <c r="B1234" s="89"/>
      <c r="M1234" s="78"/>
      <c r="N1234" s="74"/>
      <c r="O1234" s="74"/>
    </row>
    <row r="1235">
      <c r="A1235" s="88"/>
      <c r="B1235" s="89"/>
      <c r="M1235" s="78"/>
      <c r="N1235" s="74"/>
      <c r="O1235" s="74"/>
    </row>
    <row r="1236">
      <c r="A1236" s="88"/>
      <c r="B1236" s="89"/>
      <c r="M1236" s="78"/>
      <c r="N1236" s="74"/>
      <c r="O1236" s="74"/>
    </row>
    <row r="1237">
      <c r="A1237" s="88"/>
      <c r="B1237" s="89"/>
      <c r="M1237" s="78"/>
      <c r="N1237" s="74"/>
      <c r="O1237" s="74"/>
    </row>
    <row r="1238">
      <c r="A1238" s="88"/>
      <c r="B1238" s="89"/>
      <c r="M1238" s="78"/>
      <c r="N1238" s="74"/>
      <c r="O1238" s="74"/>
    </row>
    <row r="1239">
      <c r="A1239" s="88"/>
      <c r="B1239" s="89"/>
      <c r="M1239" s="78"/>
      <c r="N1239" s="74"/>
      <c r="O1239" s="74"/>
    </row>
    <row r="1240">
      <c r="A1240" s="88"/>
      <c r="B1240" s="89"/>
      <c r="M1240" s="78"/>
      <c r="N1240" s="74"/>
      <c r="O1240" s="74"/>
    </row>
    <row r="1241">
      <c r="A1241" s="88"/>
      <c r="B1241" s="89"/>
      <c r="M1241" s="78"/>
      <c r="N1241" s="74"/>
      <c r="O1241" s="74"/>
    </row>
    <row r="1242">
      <c r="A1242" s="88"/>
      <c r="B1242" s="89"/>
      <c r="M1242" s="78"/>
      <c r="N1242" s="74"/>
      <c r="O1242" s="74"/>
    </row>
    <row r="1243">
      <c r="A1243" s="88"/>
      <c r="B1243" s="89"/>
      <c r="M1243" s="78"/>
      <c r="N1243" s="74"/>
      <c r="O1243" s="74"/>
    </row>
    <row r="1244">
      <c r="A1244" s="88"/>
      <c r="B1244" s="89"/>
      <c r="M1244" s="78"/>
      <c r="N1244" s="74"/>
      <c r="O1244" s="74"/>
    </row>
    <row r="1245">
      <c r="A1245" s="88"/>
      <c r="B1245" s="89"/>
      <c r="M1245" s="78"/>
      <c r="N1245" s="74"/>
      <c r="O1245" s="74"/>
    </row>
    <row r="1246">
      <c r="A1246" s="88"/>
      <c r="B1246" s="89"/>
      <c r="M1246" s="78"/>
      <c r="N1246" s="74"/>
      <c r="O1246" s="74"/>
    </row>
    <row r="1247">
      <c r="A1247" s="88"/>
      <c r="B1247" s="89"/>
      <c r="M1247" s="78"/>
      <c r="N1247" s="74"/>
      <c r="O1247" s="74"/>
    </row>
    <row r="1248">
      <c r="A1248" s="88"/>
      <c r="B1248" s="89"/>
      <c r="M1248" s="78"/>
      <c r="N1248" s="74"/>
      <c r="O1248" s="74"/>
    </row>
    <row r="1249">
      <c r="A1249" s="88"/>
      <c r="B1249" s="89"/>
      <c r="M1249" s="78"/>
      <c r="N1249" s="74"/>
      <c r="O1249" s="74"/>
    </row>
    <row r="1250">
      <c r="A1250" s="88"/>
      <c r="B1250" s="89"/>
      <c r="M1250" s="78"/>
      <c r="N1250" s="74"/>
      <c r="O1250" s="74"/>
    </row>
    <row r="1251">
      <c r="A1251" s="88"/>
      <c r="B1251" s="89"/>
      <c r="M1251" s="78"/>
      <c r="N1251" s="74"/>
      <c r="O1251" s="74"/>
    </row>
    <row r="1252">
      <c r="A1252" s="88"/>
      <c r="B1252" s="89"/>
      <c r="M1252" s="78"/>
      <c r="N1252" s="74"/>
      <c r="O1252" s="74"/>
    </row>
    <row r="1253">
      <c r="A1253" s="88"/>
      <c r="B1253" s="89"/>
      <c r="M1253" s="78"/>
      <c r="N1253" s="74"/>
      <c r="O1253" s="74"/>
    </row>
    <row r="1254">
      <c r="A1254" s="88"/>
      <c r="B1254" s="89"/>
      <c r="M1254" s="78"/>
      <c r="N1254" s="74"/>
      <c r="O1254" s="74"/>
    </row>
    <row r="1255">
      <c r="A1255" s="88"/>
      <c r="B1255" s="89"/>
      <c r="M1255" s="78"/>
      <c r="N1255" s="74"/>
      <c r="O1255" s="74"/>
    </row>
    <row r="1256">
      <c r="A1256" s="88"/>
      <c r="B1256" s="89"/>
      <c r="M1256" s="78"/>
      <c r="N1256" s="74"/>
      <c r="O1256" s="74"/>
    </row>
    <row r="1257">
      <c r="A1257" s="88"/>
      <c r="B1257" s="89"/>
      <c r="M1257" s="78"/>
      <c r="N1257" s="74"/>
      <c r="O1257" s="74"/>
    </row>
    <row r="1258">
      <c r="A1258" s="88"/>
      <c r="B1258" s="89"/>
      <c r="M1258" s="78"/>
      <c r="N1258" s="74"/>
      <c r="O1258" s="74"/>
    </row>
    <row r="1259">
      <c r="A1259" s="88"/>
      <c r="B1259" s="89"/>
      <c r="M1259" s="78"/>
      <c r="N1259" s="74"/>
      <c r="O1259" s="74"/>
    </row>
    <row r="1260">
      <c r="A1260" s="88"/>
      <c r="B1260" s="89"/>
      <c r="M1260" s="78"/>
      <c r="N1260" s="74"/>
      <c r="O1260" s="74"/>
    </row>
    <row r="1261">
      <c r="A1261" s="88"/>
      <c r="B1261" s="89"/>
      <c r="M1261" s="78"/>
      <c r="N1261" s="74"/>
      <c r="O1261" s="74"/>
    </row>
    <row r="1262">
      <c r="A1262" s="88"/>
      <c r="B1262" s="89"/>
      <c r="M1262" s="78"/>
      <c r="N1262" s="74"/>
      <c r="O1262" s="74"/>
    </row>
    <row r="1263">
      <c r="A1263" s="88"/>
      <c r="B1263" s="89"/>
      <c r="M1263" s="78"/>
      <c r="N1263" s="74"/>
      <c r="O1263" s="74"/>
    </row>
    <row r="1264">
      <c r="A1264" s="88"/>
      <c r="B1264" s="89"/>
      <c r="M1264" s="78"/>
      <c r="N1264" s="74"/>
      <c r="O1264" s="74"/>
    </row>
    <row r="1265">
      <c r="A1265" s="88"/>
      <c r="B1265" s="89"/>
      <c r="M1265" s="78"/>
      <c r="N1265" s="74"/>
      <c r="O1265" s="74"/>
    </row>
    <row r="1266">
      <c r="A1266" s="88"/>
      <c r="B1266" s="89"/>
      <c r="M1266" s="78"/>
      <c r="N1266" s="74"/>
      <c r="O1266" s="74"/>
    </row>
    <row r="1267">
      <c r="A1267" s="88"/>
      <c r="B1267" s="89"/>
      <c r="M1267" s="78"/>
      <c r="N1267" s="74"/>
      <c r="O1267" s="74"/>
    </row>
    <row r="1268">
      <c r="A1268" s="88"/>
      <c r="B1268" s="89"/>
      <c r="M1268" s="78"/>
      <c r="N1268" s="74"/>
      <c r="O1268" s="74"/>
    </row>
    <row r="1269">
      <c r="A1269" s="88"/>
      <c r="B1269" s="89"/>
      <c r="M1269" s="78"/>
      <c r="N1269" s="74"/>
      <c r="O1269" s="74"/>
    </row>
    <row r="1270">
      <c r="A1270" s="88"/>
      <c r="B1270" s="89"/>
      <c r="M1270" s="78"/>
      <c r="N1270" s="74"/>
      <c r="O1270" s="74"/>
    </row>
    <row r="1271">
      <c r="A1271" s="88"/>
      <c r="B1271" s="89"/>
      <c r="M1271" s="78"/>
      <c r="N1271" s="74"/>
      <c r="O1271" s="74"/>
    </row>
    <row r="1272">
      <c r="A1272" s="88"/>
      <c r="B1272" s="89"/>
      <c r="M1272" s="78"/>
      <c r="N1272" s="74"/>
      <c r="O1272" s="74"/>
    </row>
    <row r="1273">
      <c r="A1273" s="88"/>
      <c r="B1273" s="89"/>
      <c r="M1273" s="78"/>
      <c r="N1273" s="74"/>
      <c r="O1273" s="74"/>
    </row>
    <row r="1274">
      <c r="A1274" s="88"/>
      <c r="B1274" s="89"/>
      <c r="M1274" s="78"/>
      <c r="N1274" s="74"/>
      <c r="O1274" s="74"/>
    </row>
    <row r="1275">
      <c r="A1275" s="88"/>
      <c r="B1275" s="89"/>
      <c r="M1275" s="78"/>
      <c r="N1275" s="74"/>
      <c r="O1275" s="74"/>
    </row>
    <row r="1276">
      <c r="A1276" s="88"/>
      <c r="B1276" s="89"/>
      <c r="M1276" s="78"/>
      <c r="N1276" s="74"/>
      <c r="O1276" s="74"/>
    </row>
    <row r="1277">
      <c r="A1277" s="88"/>
      <c r="B1277" s="89"/>
      <c r="M1277" s="78"/>
      <c r="N1277" s="74"/>
      <c r="O1277" s="74"/>
    </row>
    <row r="1278">
      <c r="A1278" s="88"/>
      <c r="B1278" s="89"/>
      <c r="M1278" s="78"/>
      <c r="N1278" s="74"/>
      <c r="O1278" s="74"/>
    </row>
    <row r="1279">
      <c r="A1279" s="88"/>
      <c r="B1279" s="89"/>
      <c r="M1279" s="78"/>
      <c r="N1279" s="74"/>
      <c r="O1279" s="74"/>
    </row>
    <row r="1280">
      <c r="A1280" s="88"/>
      <c r="B1280" s="89"/>
      <c r="M1280" s="78"/>
      <c r="N1280" s="74"/>
      <c r="O1280" s="74"/>
    </row>
    <row r="1281">
      <c r="A1281" s="88"/>
      <c r="B1281" s="89"/>
      <c r="M1281" s="78"/>
      <c r="N1281" s="74"/>
      <c r="O1281" s="74"/>
    </row>
    <row r="1282">
      <c r="A1282" s="88"/>
      <c r="B1282" s="89"/>
      <c r="M1282" s="78"/>
      <c r="N1282" s="74"/>
      <c r="O1282" s="74"/>
    </row>
    <row r="1283">
      <c r="A1283" s="88"/>
      <c r="B1283" s="89"/>
      <c r="M1283" s="78"/>
      <c r="N1283" s="74"/>
      <c r="O1283" s="74"/>
    </row>
    <row r="1284">
      <c r="A1284" s="88"/>
      <c r="B1284" s="89"/>
      <c r="M1284" s="78"/>
      <c r="N1284" s="74"/>
      <c r="O1284" s="74"/>
    </row>
    <row r="1285">
      <c r="A1285" s="88"/>
      <c r="B1285" s="89"/>
      <c r="M1285" s="78"/>
      <c r="N1285" s="74"/>
      <c r="O1285" s="74"/>
    </row>
    <row r="1286">
      <c r="A1286" s="88"/>
      <c r="B1286" s="89"/>
      <c r="M1286" s="78"/>
      <c r="N1286" s="74"/>
      <c r="O1286" s="74"/>
    </row>
    <row r="1287">
      <c r="A1287" s="88"/>
      <c r="B1287" s="89"/>
      <c r="M1287" s="78"/>
      <c r="N1287" s="74"/>
      <c r="O1287" s="74"/>
    </row>
    <row r="1288">
      <c r="A1288" s="88"/>
      <c r="B1288" s="89"/>
      <c r="M1288" s="78"/>
      <c r="N1288" s="74"/>
      <c r="O1288" s="74"/>
    </row>
  </sheetData>
  <conditionalFormatting sqref="C1:C1288">
    <cfRule type="cellIs" dxfId="9" priority="1" operator="greaterThan">
      <formula>0</formula>
    </cfRule>
  </conditionalFormatting>
  <conditionalFormatting sqref="C1:C1288">
    <cfRule type="cellIs" dxfId="10" priority="2" operator="lessThan">
      <formula>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.75"/>
    <col customWidth="1" min="2" max="6" width="10.75"/>
    <col customWidth="1" min="7" max="7" width="6.38"/>
    <col customWidth="1" min="8" max="12" width="10.75"/>
    <col customWidth="1" min="13" max="14" width="14.38"/>
    <col customWidth="1" min="15" max="16" width="10.75"/>
    <col customWidth="1" min="17" max="18" width="12.0"/>
    <col customWidth="1" min="19" max="19" width="3.0"/>
    <col customWidth="1" min="20" max="21" width="10.13"/>
    <col customWidth="1" min="27" max="27" width="3.0"/>
    <col customWidth="1" min="32" max="32" width="3.0"/>
  </cols>
  <sheetData>
    <row r="1">
      <c r="A1" s="1" t="s">
        <v>0</v>
      </c>
      <c r="B1" s="1" t="s">
        <v>1</v>
      </c>
      <c r="C1" s="1" t="s">
        <v>82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155</v>
      </c>
      <c r="N1" s="1" t="s">
        <v>156</v>
      </c>
      <c r="O1" s="1" t="s">
        <v>11</v>
      </c>
      <c r="P1" s="1" t="s">
        <v>157</v>
      </c>
      <c r="Q1" s="1" t="s">
        <v>12</v>
      </c>
      <c r="R1" s="1" t="s">
        <v>13</v>
      </c>
      <c r="S1" s="2"/>
      <c r="T1" s="1" t="s">
        <v>1</v>
      </c>
      <c r="U1" s="1" t="s">
        <v>6</v>
      </c>
      <c r="V1" s="1" t="s">
        <v>14</v>
      </c>
      <c r="W1" s="1" t="s">
        <v>15</v>
      </c>
      <c r="X1" s="1" t="s">
        <v>16</v>
      </c>
      <c r="Y1" s="1" t="s">
        <v>12</v>
      </c>
      <c r="Z1" s="1" t="s">
        <v>17</v>
      </c>
      <c r="AA1" s="2"/>
      <c r="AB1" s="2"/>
      <c r="AC1" s="2"/>
      <c r="AD1" s="2"/>
      <c r="AE1" s="2"/>
      <c r="AF1" s="2"/>
    </row>
    <row r="2">
      <c r="A2" s="4" t="s">
        <v>88</v>
      </c>
      <c r="B2" s="4" t="s">
        <v>158</v>
      </c>
      <c r="C2" s="5"/>
      <c r="D2" s="5">
        <v>45281.0</v>
      </c>
      <c r="E2" s="6" t="s">
        <v>22</v>
      </c>
      <c r="F2" s="7"/>
      <c r="G2" s="8">
        <f t="shared" ref="G2:G27" si="1">if(B2=0,"...", IF(F2=0,today()-D2,F2-D2))</f>
        <v>836</v>
      </c>
      <c r="H2" s="6">
        <v>621.5368</v>
      </c>
      <c r="I2" s="90">
        <v>56.31</v>
      </c>
      <c r="J2" s="91">
        <v>74.12</v>
      </c>
      <c r="K2" s="11">
        <v>73.16</v>
      </c>
      <c r="L2" s="10">
        <f t="shared" ref="L2:L27" si="2">if(B2=0,"...",H2*I2)</f>
        <v>34998.73721</v>
      </c>
      <c r="M2" s="10" t="str">
        <f>VLOOKUP(D2,CCL!$A$12:$B$628,2,0)</f>
        <v>#N/A</v>
      </c>
      <c r="N2" s="10" t="str">
        <f t="shared" ref="N2:N4" si="3">L2/M2</f>
        <v>#N/A</v>
      </c>
      <c r="O2" s="10">
        <f t="shared" ref="O2:O4" si="4">IF(B2=0,"...",H2*K2)</f>
        <v>45471.63229</v>
      </c>
      <c r="P2" s="10">
        <f>O2/CCL!$E$2</f>
        <v>30.77710399</v>
      </c>
      <c r="Q2" s="12" t="str">
        <f t="shared" ref="Q2:Q4" si="5">IF(B2=0,"...",P2/N2-1)</f>
        <v>#N/A</v>
      </c>
      <c r="R2" s="13" t="str">
        <f t="shared" ref="R2:R4" si="6">IF(B2=0,"...",P2-N2)</f>
        <v>#N/A</v>
      </c>
      <c r="S2" s="2"/>
      <c r="T2" s="10" t="str">
        <f t="array" ref="T2:T3">Unique(B2:B28)</f>
        <v>CONIOLA</v>
      </c>
      <c r="U2" s="10">
        <f t="shared" ref="U2:U27" si="7">if(T2=0,"...",sumifs($H$2:$H$28,$B$2:$B$28,T2,$E$2:$E$28,"ABIERTA"))</f>
        <v>0</v>
      </c>
      <c r="V2" s="12" t="str">
        <f t="shared" ref="V2:V27" si="8">if(T2=0,"",X2/$AC$18)</f>
        <v>#DIV/0!</v>
      </c>
      <c r="W2" s="10" t="str">
        <f t="shared" ref="W2:W27" si="9">if(T2=0,"...",sumifs($L$2:$L$28,$B$2:$B$28,T2,$E$2:$E$28,"ABIERTA")/U2)</f>
        <v>#DIV/0!</v>
      </c>
      <c r="X2" s="10">
        <f t="shared" ref="X2:X27" si="10">if(T2=0,"...",sumifs($O$2:$O$28,$B$2:$B$28,T2,$E$2:$E$28,"ABIERTA"))</f>
        <v>0</v>
      </c>
      <c r="Y2" s="12" t="str">
        <f t="shared" ref="Y2:Y27" si="11">if(T2=0,"...",Z2/(X2-Z2))</f>
        <v>#DIV/0!</v>
      </c>
      <c r="Z2" s="10">
        <f t="shared" ref="Z2:Z27" si="12">if(T2=0,"...",sumifs($R$2:$R$28,$B$2:$B$28,T2,$E$2:$E$28,"ABIERTA"))</f>
        <v>0</v>
      </c>
      <c r="AA2" s="2"/>
      <c r="AB2" s="2"/>
      <c r="AC2" s="2"/>
      <c r="AD2" s="2"/>
      <c r="AE2" s="2"/>
      <c r="AF2" s="2"/>
    </row>
    <row r="3">
      <c r="A3" s="4" t="s">
        <v>88</v>
      </c>
      <c r="B3" s="4" t="s">
        <v>158</v>
      </c>
      <c r="C3" s="5"/>
      <c r="D3" s="5">
        <v>45286.0</v>
      </c>
      <c r="E3" s="6" t="s">
        <v>22</v>
      </c>
      <c r="F3" s="7"/>
      <c r="G3" s="8">
        <f t="shared" si="1"/>
        <v>831</v>
      </c>
      <c r="H3" s="6">
        <v>529.932</v>
      </c>
      <c r="I3" s="90">
        <v>54.72</v>
      </c>
      <c r="J3" s="91">
        <v>74.12</v>
      </c>
      <c r="K3" s="11">
        <v>73.16</v>
      </c>
      <c r="L3" s="10">
        <f t="shared" si="2"/>
        <v>28997.87904</v>
      </c>
      <c r="M3" s="10" t="str">
        <f>VLOOKUP(D3,CCL!$A$12:$B$628,2,0)</f>
        <v>#N/A</v>
      </c>
      <c r="N3" s="10" t="str">
        <f t="shared" si="3"/>
        <v>#N/A</v>
      </c>
      <c r="O3" s="10">
        <f t="shared" si="4"/>
        <v>38769.82512</v>
      </c>
      <c r="P3" s="10">
        <f>O3/CCL!$E$2</f>
        <v>26.24104039</v>
      </c>
      <c r="Q3" s="12" t="str">
        <f t="shared" si="5"/>
        <v>#N/A</v>
      </c>
      <c r="R3" s="13" t="str">
        <f t="shared" si="6"/>
        <v>#N/A</v>
      </c>
      <c r="S3" s="2"/>
      <c r="T3" s="10"/>
      <c r="U3" s="10" t="str">
        <f t="shared" si="7"/>
        <v>...</v>
      </c>
      <c r="V3" s="12" t="str">
        <f t="shared" si="8"/>
        <v/>
      </c>
      <c r="W3" s="10" t="str">
        <f t="shared" si="9"/>
        <v>...</v>
      </c>
      <c r="X3" s="10" t="str">
        <f t="shared" si="10"/>
        <v>...</v>
      </c>
      <c r="Y3" s="12" t="str">
        <f t="shared" si="11"/>
        <v>...</v>
      </c>
      <c r="Z3" s="10" t="str">
        <f t="shared" si="12"/>
        <v>...</v>
      </c>
      <c r="AA3" s="2"/>
      <c r="AB3" s="2"/>
      <c r="AC3" s="2"/>
      <c r="AD3" s="2"/>
      <c r="AE3" s="2"/>
      <c r="AF3" s="2"/>
    </row>
    <row r="4">
      <c r="A4" s="4" t="s">
        <v>88</v>
      </c>
      <c r="B4" s="4" t="s">
        <v>158</v>
      </c>
      <c r="C4" s="5"/>
      <c r="D4" s="5">
        <v>45296.0</v>
      </c>
      <c r="E4" s="6" t="s">
        <v>22</v>
      </c>
      <c r="F4" s="7"/>
      <c r="G4" s="8">
        <f t="shared" si="1"/>
        <v>821</v>
      </c>
      <c r="H4" s="6">
        <v>93.1165</v>
      </c>
      <c r="I4" s="90">
        <v>64.44</v>
      </c>
      <c r="J4" s="91">
        <v>74.12</v>
      </c>
      <c r="K4" s="11">
        <v>73.16</v>
      </c>
      <c r="L4" s="10">
        <f t="shared" si="2"/>
        <v>6000.42726</v>
      </c>
      <c r="M4" s="10" t="str">
        <f>VLOOKUP(D4,CCL!$A$12:$B$628,2,0)</f>
        <v>#N/A</v>
      </c>
      <c r="N4" s="10" t="str">
        <f t="shared" si="3"/>
        <v>#N/A</v>
      </c>
      <c r="O4" s="10">
        <f t="shared" si="4"/>
        <v>6812.40314</v>
      </c>
      <c r="P4" s="10">
        <f>O4/CCL!$E$2</f>
        <v>4.610919584</v>
      </c>
      <c r="Q4" s="12" t="str">
        <f t="shared" si="5"/>
        <v>#N/A</v>
      </c>
      <c r="R4" s="13" t="str">
        <f t="shared" si="6"/>
        <v>#N/A</v>
      </c>
      <c r="S4" s="2"/>
      <c r="T4" s="10"/>
      <c r="U4" s="10" t="str">
        <f t="shared" si="7"/>
        <v>...</v>
      </c>
      <c r="V4" s="12" t="str">
        <f t="shared" si="8"/>
        <v/>
      </c>
      <c r="W4" s="10" t="str">
        <f t="shared" si="9"/>
        <v>...</v>
      </c>
      <c r="X4" s="10" t="str">
        <f t="shared" si="10"/>
        <v>...</v>
      </c>
      <c r="Y4" s="12" t="str">
        <f t="shared" si="11"/>
        <v>...</v>
      </c>
      <c r="Z4" s="10" t="str">
        <f t="shared" si="12"/>
        <v>...</v>
      </c>
      <c r="AA4" s="2"/>
      <c r="AB4" s="2"/>
      <c r="AC4" s="2"/>
      <c r="AD4" s="2"/>
      <c r="AE4" s="2"/>
      <c r="AF4" s="2"/>
    </row>
    <row r="5">
      <c r="A5" s="4"/>
      <c r="B5" s="30"/>
      <c r="C5" s="5"/>
      <c r="D5" s="5"/>
      <c r="E5" s="31"/>
      <c r="F5" s="7"/>
      <c r="G5" s="8" t="str">
        <f t="shared" si="1"/>
        <v>...</v>
      </c>
      <c r="H5" s="31"/>
      <c r="I5" s="92"/>
      <c r="J5" s="91" t="str">
        <f t="shared" ref="J5:J27" si="13">if(B5=0,"...",SUBSTITUTE(SUBSTITUTE(IMPORTFROMWEB("https://www.bloomberg.com/quote/"&amp;B5&amp;":AR","//span[@class='priceText__1853e8a5']"),",",""),".",",")/1000)</f>
        <v>...</v>
      </c>
      <c r="K5" s="10" t="str">
        <f>if(B5=0,"...",J5*(1-VLOOKUP(A5,Config!$B$3:$C$22,2,FALSE)))</f>
        <v>...</v>
      </c>
      <c r="L5" s="10" t="str">
        <f t="shared" si="2"/>
        <v>...</v>
      </c>
      <c r="M5" s="10"/>
      <c r="N5" s="10"/>
      <c r="O5" s="10" t="str">
        <f t="shared" ref="O5:O27" si="14">if(B5=0,"...",H5*J5)</f>
        <v>...</v>
      </c>
      <c r="P5" s="10"/>
      <c r="Q5" s="12" t="str">
        <f t="shared" ref="Q5:Q27" si="15">if(B5=0,"...",O5/L5-1)</f>
        <v>...</v>
      </c>
      <c r="R5" s="13" t="str">
        <f t="shared" ref="R5:R27" si="16">if(B5=0,"...",O5-L5)</f>
        <v>...</v>
      </c>
      <c r="S5" s="2"/>
      <c r="T5" s="10"/>
      <c r="U5" s="10" t="str">
        <f t="shared" si="7"/>
        <v>...</v>
      </c>
      <c r="V5" s="12" t="str">
        <f t="shared" si="8"/>
        <v/>
      </c>
      <c r="W5" s="10" t="str">
        <f t="shared" si="9"/>
        <v>...</v>
      </c>
      <c r="X5" s="10" t="str">
        <f t="shared" si="10"/>
        <v>...</v>
      </c>
      <c r="Y5" s="12" t="str">
        <f t="shared" si="11"/>
        <v>...</v>
      </c>
      <c r="Z5" s="10" t="str">
        <f t="shared" si="12"/>
        <v>...</v>
      </c>
      <c r="AA5" s="2"/>
      <c r="AB5" s="2"/>
      <c r="AC5" s="2"/>
      <c r="AD5" s="2"/>
      <c r="AE5" s="2"/>
      <c r="AF5" s="2"/>
    </row>
    <row r="6">
      <c r="A6" s="4"/>
      <c r="B6" s="30"/>
      <c r="C6" s="5"/>
      <c r="D6" s="5"/>
      <c r="E6" s="31"/>
      <c r="F6" s="7"/>
      <c r="G6" s="8" t="str">
        <f t="shared" si="1"/>
        <v>...</v>
      </c>
      <c r="H6" s="31"/>
      <c r="I6" s="92"/>
      <c r="J6" s="91" t="str">
        <f t="shared" si="13"/>
        <v>...</v>
      </c>
      <c r="K6" s="10" t="str">
        <f>if(B6=0,"...",J6*(1-VLOOKUP(A6,Config!$B$3:$C$22,2,FALSE)))</f>
        <v>...</v>
      </c>
      <c r="L6" s="10" t="str">
        <f t="shared" si="2"/>
        <v>...</v>
      </c>
      <c r="M6" s="10"/>
      <c r="N6" s="10"/>
      <c r="O6" s="10" t="str">
        <f t="shared" si="14"/>
        <v>...</v>
      </c>
      <c r="P6" s="10"/>
      <c r="Q6" s="12" t="str">
        <f t="shared" si="15"/>
        <v>...</v>
      </c>
      <c r="R6" s="13" t="str">
        <f t="shared" si="16"/>
        <v>...</v>
      </c>
      <c r="S6" s="2"/>
      <c r="T6" s="10"/>
      <c r="U6" s="10" t="str">
        <f t="shared" si="7"/>
        <v>...</v>
      </c>
      <c r="V6" s="12" t="str">
        <f t="shared" si="8"/>
        <v/>
      </c>
      <c r="W6" s="10" t="str">
        <f t="shared" si="9"/>
        <v>...</v>
      </c>
      <c r="X6" s="10" t="str">
        <f t="shared" si="10"/>
        <v>...</v>
      </c>
      <c r="Y6" s="12" t="str">
        <f t="shared" si="11"/>
        <v>...</v>
      </c>
      <c r="Z6" s="10" t="str">
        <f t="shared" si="12"/>
        <v>...</v>
      </c>
      <c r="AA6" s="2"/>
      <c r="AB6" s="2"/>
      <c r="AC6" s="2"/>
      <c r="AD6" s="2"/>
      <c r="AE6" s="2"/>
      <c r="AF6" s="2"/>
    </row>
    <row r="7">
      <c r="A7" s="4"/>
      <c r="B7" s="30"/>
      <c r="C7" s="5"/>
      <c r="D7" s="5"/>
      <c r="E7" s="31"/>
      <c r="F7" s="7"/>
      <c r="G7" s="8" t="str">
        <f t="shared" si="1"/>
        <v>...</v>
      </c>
      <c r="H7" s="31"/>
      <c r="I7" s="92"/>
      <c r="J7" s="91" t="str">
        <f t="shared" si="13"/>
        <v>...</v>
      </c>
      <c r="K7" s="10" t="str">
        <f>if(B7=0,"...",J7*(1-VLOOKUP(A7,Config!$B$3:$C$22,2,FALSE)))</f>
        <v>...</v>
      </c>
      <c r="L7" s="10" t="str">
        <f t="shared" si="2"/>
        <v>...</v>
      </c>
      <c r="M7" s="10"/>
      <c r="N7" s="10"/>
      <c r="O7" s="10" t="str">
        <f t="shared" si="14"/>
        <v>...</v>
      </c>
      <c r="P7" s="10"/>
      <c r="Q7" s="12" t="str">
        <f t="shared" si="15"/>
        <v>...</v>
      </c>
      <c r="R7" s="13" t="str">
        <f t="shared" si="16"/>
        <v>...</v>
      </c>
      <c r="S7" s="2"/>
      <c r="T7" s="10"/>
      <c r="U7" s="10" t="str">
        <f t="shared" si="7"/>
        <v>...</v>
      </c>
      <c r="V7" s="12" t="str">
        <f t="shared" si="8"/>
        <v/>
      </c>
      <c r="W7" s="10" t="str">
        <f t="shared" si="9"/>
        <v>...</v>
      </c>
      <c r="X7" s="10" t="str">
        <f t="shared" si="10"/>
        <v>...</v>
      </c>
      <c r="Y7" s="12" t="str">
        <f t="shared" si="11"/>
        <v>...</v>
      </c>
      <c r="Z7" s="10" t="str">
        <f t="shared" si="12"/>
        <v>...</v>
      </c>
      <c r="AA7" s="2"/>
      <c r="AB7" s="2"/>
      <c r="AC7" s="2"/>
      <c r="AD7" s="2"/>
      <c r="AE7" s="2"/>
      <c r="AF7" s="2"/>
    </row>
    <row r="8">
      <c r="A8" s="4"/>
      <c r="B8" s="30"/>
      <c r="C8" s="5"/>
      <c r="D8" s="5"/>
      <c r="E8" s="31"/>
      <c r="F8" s="7"/>
      <c r="G8" s="8" t="str">
        <f t="shared" si="1"/>
        <v>...</v>
      </c>
      <c r="H8" s="31"/>
      <c r="I8" s="92"/>
      <c r="J8" s="91" t="str">
        <f t="shared" si="13"/>
        <v>...</v>
      </c>
      <c r="K8" s="10" t="str">
        <f>if(B8=0,"...",J8*(1-VLOOKUP(A8,Config!$B$3:$C$22,2,FALSE)))</f>
        <v>...</v>
      </c>
      <c r="L8" s="10" t="str">
        <f t="shared" si="2"/>
        <v>...</v>
      </c>
      <c r="M8" s="10"/>
      <c r="N8" s="10"/>
      <c r="O8" s="10" t="str">
        <f t="shared" si="14"/>
        <v>...</v>
      </c>
      <c r="P8" s="10"/>
      <c r="Q8" s="12" t="str">
        <f t="shared" si="15"/>
        <v>...</v>
      </c>
      <c r="R8" s="13" t="str">
        <f t="shared" si="16"/>
        <v>...</v>
      </c>
      <c r="S8" s="2"/>
      <c r="T8" s="10"/>
      <c r="U8" s="10" t="str">
        <f t="shared" si="7"/>
        <v>...</v>
      </c>
      <c r="V8" s="12" t="str">
        <f t="shared" si="8"/>
        <v/>
      </c>
      <c r="W8" s="10" t="str">
        <f t="shared" si="9"/>
        <v>...</v>
      </c>
      <c r="X8" s="10" t="str">
        <f t="shared" si="10"/>
        <v>...</v>
      </c>
      <c r="Y8" s="12" t="str">
        <f t="shared" si="11"/>
        <v>...</v>
      </c>
      <c r="Z8" s="10" t="str">
        <f t="shared" si="12"/>
        <v>...</v>
      </c>
      <c r="AA8" s="2"/>
      <c r="AB8" s="2"/>
      <c r="AC8" s="2"/>
      <c r="AD8" s="2"/>
      <c r="AE8" s="2"/>
      <c r="AF8" s="2"/>
    </row>
    <row r="9">
      <c r="A9" s="4"/>
      <c r="B9" s="30"/>
      <c r="C9" s="5"/>
      <c r="D9" s="5"/>
      <c r="E9" s="31"/>
      <c r="F9" s="7"/>
      <c r="G9" s="8" t="str">
        <f t="shared" si="1"/>
        <v>...</v>
      </c>
      <c r="H9" s="31"/>
      <c r="I9" s="92"/>
      <c r="J9" s="91" t="str">
        <f t="shared" si="13"/>
        <v>...</v>
      </c>
      <c r="K9" s="10" t="str">
        <f>if(B9=0,"...",J9*(1-VLOOKUP(A9,Config!$B$3:$C$22,2,FALSE)))</f>
        <v>...</v>
      </c>
      <c r="L9" s="10" t="str">
        <f t="shared" si="2"/>
        <v>...</v>
      </c>
      <c r="M9" s="10"/>
      <c r="N9" s="10"/>
      <c r="O9" s="10" t="str">
        <f t="shared" si="14"/>
        <v>...</v>
      </c>
      <c r="P9" s="10"/>
      <c r="Q9" s="12" t="str">
        <f t="shared" si="15"/>
        <v>...</v>
      </c>
      <c r="R9" s="13" t="str">
        <f t="shared" si="16"/>
        <v>...</v>
      </c>
      <c r="S9" s="2"/>
      <c r="T9" s="10"/>
      <c r="U9" s="10" t="str">
        <f t="shared" si="7"/>
        <v>...</v>
      </c>
      <c r="V9" s="12" t="str">
        <f t="shared" si="8"/>
        <v/>
      </c>
      <c r="W9" s="10" t="str">
        <f t="shared" si="9"/>
        <v>...</v>
      </c>
      <c r="X9" s="10" t="str">
        <f t="shared" si="10"/>
        <v>...</v>
      </c>
      <c r="Y9" s="12" t="str">
        <f t="shared" si="11"/>
        <v>...</v>
      </c>
      <c r="Z9" s="10" t="str">
        <f t="shared" si="12"/>
        <v>...</v>
      </c>
      <c r="AA9" s="2"/>
      <c r="AB9" s="2"/>
      <c r="AC9" s="2"/>
      <c r="AD9" s="2"/>
      <c r="AE9" s="2"/>
      <c r="AF9" s="2"/>
    </row>
    <row r="10">
      <c r="A10" s="4"/>
      <c r="B10" s="30"/>
      <c r="C10" s="5"/>
      <c r="D10" s="5"/>
      <c r="E10" s="31"/>
      <c r="F10" s="7"/>
      <c r="G10" s="8" t="str">
        <f t="shared" si="1"/>
        <v>...</v>
      </c>
      <c r="H10" s="31"/>
      <c r="I10" s="92"/>
      <c r="J10" s="91" t="str">
        <f t="shared" si="13"/>
        <v>...</v>
      </c>
      <c r="K10" s="10" t="str">
        <f>if(B10=0,"...",J10*(1-VLOOKUP(A10,Config!$B$3:$C$22,2,FALSE)))</f>
        <v>...</v>
      </c>
      <c r="L10" s="10" t="str">
        <f t="shared" si="2"/>
        <v>...</v>
      </c>
      <c r="M10" s="10"/>
      <c r="N10" s="10"/>
      <c r="O10" s="10" t="str">
        <f t="shared" si="14"/>
        <v>...</v>
      </c>
      <c r="P10" s="10"/>
      <c r="Q10" s="12" t="str">
        <f t="shared" si="15"/>
        <v>...</v>
      </c>
      <c r="R10" s="13" t="str">
        <f t="shared" si="16"/>
        <v>...</v>
      </c>
      <c r="S10" s="2"/>
      <c r="T10" s="10"/>
      <c r="U10" s="10" t="str">
        <f t="shared" si="7"/>
        <v>...</v>
      </c>
      <c r="V10" s="12" t="str">
        <f t="shared" si="8"/>
        <v/>
      </c>
      <c r="W10" s="10" t="str">
        <f t="shared" si="9"/>
        <v>...</v>
      </c>
      <c r="X10" s="10" t="str">
        <f t="shared" si="10"/>
        <v>...</v>
      </c>
      <c r="Y10" s="12" t="str">
        <f t="shared" si="11"/>
        <v>...</v>
      </c>
      <c r="Z10" s="10" t="str">
        <f t="shared" si="12"/>
        <v>...</v>
      </c>
      <c r="AA10" s="2"/>
      <c r="AB10" s="2"/>
      <c r="AC10" s="2"/>
      <c r="AD10" s="2"/>
      <c r="AE10" s="2"/>
      <c r="AF10" s="2"/>
    </row>
    <row r="11">
      <c r="A11" s="4"/>
      <c r="B11" s="30"/>
      <c r="C11" s="5"/>
      <c r="D11" s="5"/>
      <c r="E11" s="31"/>
      <c r="F11" s="7"/>
      <c r="G11" s="8" t="str">
        <f t="shared" si="1"/>
        <v>...</v>
      </c>
      <c r="H11" s="31"/>
      <c r="I11" s="92"/>
      <c r="J11" s="91" t="str">
        <f t="shared" si="13"/>
        <v>...</v>
      </c>
      <c r="K11" s="10" t="str">
        <f>if(B11=0,"...",J11*(1-VLOOKUP(A11,Config!$B$3:$C$22,2,FALSE)))</f>
        <v>...</v>
      </c>
      <c r="L11" s="10" t="str">
        <f t="shared" si="2"/>
        <v>...</v>
      </c>
      <c r="M11" s="10"/>
      <c r="N11" s="10"/>
      <c r="O11" s="10" t="str">
        <f t="shared" si="14"/>
        <v>...</v>
      </c>
      <c r="P11" s="10"/>
      <c r="Q11" s="12" t="str">
        <f t="shared" si="15"/>
        <v>...</v>
      </c>
      <c r="R11" s="13" t="str">
        <f t="shared" si="16"/>
        <v>...</v>
      </c>
      <c r="S11" s="2"/>
      <c r="T11" s="10"/>
      <c r="U11" s="10" t="str">
        <f t="shared" si="7"/>
        <v>...</v>
      </c>
      <c r="V11" s="12" t="str">
        <f t="shared" si="8"/>
        <v/>
      </c>
      <c r="W11" s="10" t="str">
        <f t="shared" si="9"/>
        <v>...</v>
      </c>
      <c r="X11" s="10" t="str">
        <f t="shared" si="10"/>
        <v>...</v>
      </c>
      <c r="Y11" s="12" t="str">
        <f t="shared" si="11"/>
        <v>...</v>
      </c>
      <c r="Z11" s="10" t="str">
        <f t="shared" si="12"/>
        <v>...</v>
      </c>
      <c r="AA11" s="2"/>
      <c r="AB11" s="2"/>
      <c r="AC11" s="2"/>
      <c r="AD11" s="2"/>
      <c r="AE11" s="2"/>
      <c r="AF11" s="2"/>
    </row>
    <row r="12">
      <c r="A12" s="4"/>
      <c r="B12" s="30"/>
      <c r="C12" s="5"/>
      <c r="D12" s="5"/>
      <c r="E12" s="31"/>
      <c r="F12" s="7"/>
      <c r="G12" s="8" t="str">
        <f t="shared" si="1"/>
        <v>...</v>
      </c>
      <c r="H12" s="31"/>
      <c r="I12" s="92"/>
      <c r="J12" s="91" t="str">
        <f t="shared" si="13"/>
        <v>...</v>
      </c>
      <c r="K12" s="10" t="str">
        <f>if(B12=0,"...",J12*(1-VLOOKUP(A12,Config!$B$3:$C$22,2,FALSE)))</f>
        <v>...</v>
      </c>
      <c r="L12" s="10" t="str">
        <f t="shared" si="2"/>
        <v>...</v>
      </c>
      <c r="M12" s="10"/>
      <c r="N12" s="10"/>
      <c r="O12" s="10" t="str">
        <f t="shared" si="14"/>
        <v>...</v>
      </c>
      <c r="P12" s="10"/>
      <c r="Q12" s="12" t="str">
        <f t="shared" si="15"/>
        <v>...</v>
      </c>
      <c r="R12" s="13" t="str">
        <f t="shared" si="16"/>
        <v>...</v>
      </c>
      <c r="S12" s="2"/>
      <c r="T12" s="10"/>
      <c r="U12" s="10" t="str">
        <f t="shared" si="7"/>
        <v>...</v>
      </c>
      <c r="V12" s="12" t="str">
        <f t="shared" si="8"/>
        <v/>
      </c>
      <c r="W12" s="10" t="str">
        <f t="shared" si="9"/>
        <v>...</v>
      </c>
      <c r="X12" s="10" t="str">
        <f t="shared" si="10"/>
        <v>...</v>
      </c>
      <c r="Y12" s="12" t="str">
        <f t="shared" si="11"/>
        <v>...</v>
      </c>
      <c r="Z12" s="10" t="str">
        <f t="shared" si="12"/>
        <v>...</v>
      </c>
      <c r="AA12" s="2"/>
      <c r="AB12" s="2"/>
      <c r="AC12" s="2"/>
      <c r="AD12" s="2"/>
      <c r="AE12" s="2"/>
      <c r="AF12" s="2"/>
    </row>
    <row r="13">
      <c r="A13" s="4"/>
      <c r="B13" s="30"/>
      <c r="C13" s="5"/>
      <c r="D13" s="5"/>
      <c r="E13" s="31"/>
      <c r="F13" s="7"/>
      <c r="G13" s="8" t="str">
        <f t="shared" si="1"/>
        <v>...</v>
      </c>
      <c r="H13" s="31"/>
      <c r="I13" s="92"/>
      <c r="J13" s="91" t="str">
        <f t="shared" si="13"/>
        <v>...</v>
      </c>
      <c r="K13" s="10" t="str">
        <f>if(B13=0,"...",J13*(1-VLOOKUP(A13,Config!$B$3:$C$22,2,FALSE)))</f>
        <v>...</v>
      </c>
      <c r="L13" s="10" t="str">
        <f t="shared" si="2"/>
        <v>...</v>
      </c>
      <c r="M13" s="10"/>
      <c r="N13" s="10"/>
      <c r="O13" s="10" t="str">
        <f t="shared" si="14"/>
        <v>...</v>
      </c>
      <c r="P13" s="10"/>
      <c r="Q13" s="12" t="str">
        <f t="shared" si="15"/>
        <v>...</v>
      </c>
      <c r="R13" s="13" t="str">
        <f t="shared" si="16"/>
        <v>...</v>
      </c>
      <c r="S13" s="2"/>
      <c r="T13" s="10"/>
      <c r="U13" s="10" t="str">
        <f t="shared" si="7"/>
        <v>...</v>
      </c>
      <c r="V13" s="12" t="str">
        <f t="shared" si="8"/>
        <v/>
      </c>
      <c r="W13" s="10" t="str">
        <f t="shared" si="9"/>
        <v>...</v>
      </c>
      <c r="X13" s="10" t="str">
        <f t="shared" si="10"/>
        <v>...</v>
      </c>
      <c r="Y13" s="12" t="str">
        <f t="shared" si="11"/>
        <v>...</v>
      </c>
      <c r="Z13" s="10" t="str">
        <f t="shared" si="12"/>
        <v>...</v>
      </c>
      <c r="AA13" s="2"/>
      <c r="AB13" s="2"/>
      <c r="AC13" s="2"/>
      <c r="AD13" s="2"/>
      <c r="AE13" s="2"/>
      <c r="AF13" s="2"/>
    </row>
    <row r="14">
      <c r="A14" s="4"/>
      <c r="B14" s="30"/>
      <c r="C14" s="5"/>
      <c r="D14" s="5"/>
      <c r="E14" s="31"/>
      <c r="F14" s="7"/>
      <c r="G14" s="8" t="str">
        <f t="shared" si="1"/>
        <v>...</v>
      </c>
      <c r="H14" s="31"/>
      <c r="I14" s="92"/>
      <c r="J14" s="91" t="str">
        <f t="shared" si="13"/>
        <v>...</v>
      </c>
      <c r="K14" s="10" t="str">
        <f>if(B14=0,"...",J14*(1-VLOOKUP(A14,Config!$B$3:$C$22,2,FALSE)))</f>
        <v>...</v>
      </c>
      <c r="L14" s="10" t="str">
        <f t="shared" si="2"/>
        <v>...</v>
      </c>
      <c r="M14" s="10"/>
      <c r="N14" s="10"/>
      <c r="O14" s="10" t="str">
        <f t="shared" si="14"/>
        <v>...</v>
      </c>
      <c r="P14" s="10"/>
      <c r="Q14" s="12" t="str">
        <f t="shared" si="15"/>
        <v>...</v>
      </c>
      <c r="R14" s="13" t="str">
        <f t="shared" si="16"/>
        <v>...</v>
      </c>
      <c r="S14" s="2"/>
      <c r="T14" s="10"/>
      <c r="U14" s="10" t="str">
        <f t="shared" si="7"/>
        <v>...</v>
      </c>
      <c r="V14" s="12" t="str">
        <f t="shared" si="8"/>
        <v/>
      </c>
      <c r="W14" s="10" t="str">
        <f t="shared" si="9"/>
        <v>...</v>
      </c>
      <c r="X14" s="10" t="str">
        <f t="shared" si="10"/>
        <v>...</v>
      </c>
      <c r="Y14" s="12" t="str">
        <f t="shared" si="11"/>
        <v>...</v>
      </c>
      <c r="Z14" s="10" t="str">
        <f t="shared" si="12"/>
        <v>...</v>
      </c>
      <c r="AA14" s="2"/>
      <c r="AB14" s="2"/>
      <c r="AC14" s="2"/>
      <c r="AD14" s="2"/>
      <c r="AE14" s="2"/>
      <c r="AF14" s="2"/>
    </row>
    <row r="15">
      <c r="A15" s="4"/>
      <c r="B15" s="30"/>
      <c r="C15" s="5"/>
      <c r="D15" s="5"/>
      <c r="E15" s="31"/>
      <c r="F15" s="7"/>
      <c r="G15" s="8" t="str">
        <f t="shared" si="1"/>
        <v>...</v>
      </c>
      <c r="H15" s="31"/>
      <c r="I15" s="92"/>
      <c r="J15" s="91" t="str">
        <f t="shared" si="13"/>
        <v>...</v>
      </c>
      <c r="K15" s="10" t="str">
        <f>if(B15=0,"...",J15*(1-VLOOKUP(A15,Config!$B$3:$C$22,2,FALSE)))</f>
        <v>...</v>
      </c>
      <c r="L15" s="10" t="str">
        <f t="shared" si="2"/>
        <v>...</v>
      </c>
      <c r="M15" s="10"/>
      <c r="N15" s="10"/>
      <c r="O15" s="10" t="str">
        <f t="shared" si="14"/>
        <v>...</v>
      </c>
      <c r="P15" s="10"/>
      <c r="Q15" s="12" t="str">
        <f t="shared" si="15"/>
        <v>...</v>
      </c>
      <c r="R15" s="13" t="str">
        <f t="shared" si="16"/>
        <v>...</v>
      </c>
      <c r="S15" s="2"/>
      <c r="T15" s="10"/>
      <c r="U15" s="10" t="str">
        <f t="shared" si="7"/>
        <v>...</v>
      </c>
      <c r="V15" s="12" t="str">
        <f t="shared" si="8"/>
        <v/>
      </c>
      <c r="W15" s="10" t="str">
        <f t="shared" si="9"/>
        <v>...</v>
      </c>
      <c r="X15" s="10" t="str">
        <f t="shared" si="10"/>
        <v>...</v>
      </c>
      <c r="Y15" s="12" t="str">
        <f t="shared" si="11"/>
        <v>...</v>
      </c>
      <c r="Z15" s="10" t="str">
        <f t="shared" si="12"/>
        <v>...</v>
      </c>
      <c r="AA15" s="2"/>
      <c r="AB15" s="2"/>
      <c r="AC15" s="2"/>
      <c r="AD15" s="2"/>
      <c r="AE15" s="2"/>
      <c r="AF15" s="2"/>
    </row>
    <row r="16">
      <c r="A16" s="4"/>
      <c r="B16" s="30"/>
      <c r="C16" s="5"/>
      <c r="D16" s="5"/>
      <c r="E16" s="31"/>
      <c r="F16" s="7"/>
      <c r="G16" s="8" t="str">
        <f t="shared" si="1"/>
        <v>...</v>
      </c>
      <c r="H16" s="31"/>
      <c r="I16" s="92"/>
      <c r="J16" s="91" t="str">
        <f t="shared" si="13"/>
        <v>...</v>
      </c>
      <c r="K16" s="10" t="str">
        <f>if(B16=0,"...",J16*(1-VLOOKUP(A16,Config!$B$3:$C$22,2,FALSE)))</f>
        <v>...</v>
      </c>
      <c r="L16" s="10" t="str">
        <f t="shared" si="2"/>
        <v>...</v>
      </c>
      <c r="M16" s="10"/>
      <c r="N16" s="10"/>
      <c r="O16" s="10" t="str">
        <f t="shared" si="14"/>
        <v>...</v>
      </c>
      <c r="P16" s="10"/>
      <c r="Q16" s="12" t="str">
        <f t="shared" si="15"/>
        <v>...</v>
      </c>
      <c r="R16" s="13" t="str">
        <f t="shared" si="16"/>
        <v>...</v>
      </c>
      <c r="S16" s="2"/>
      <c r="T16" s="10"/>
      <c r="U16" s="10" t="str">
        <f t="shared" si="7"/>
        <v>...</v>
      </c>
      <c r="V16" s="12" t="str">
        <f t="shared" si="8"/>
        <v/>
      </c>
      <c r="W16" s="10" t="str">
        <f t="shared" si="9"/>
        <v>...</v>
      </c>
      <c r="X16" s="10" t="str">
        <f t="shared" si="10"/>
        <v>...</v>
      </c>
      <c r="Y16" s="12" t="str">
        <f t="shared" si="11"/>
        <v>...</v>
      </c>
      <c r="Z16" s="10" t="str">
        <f t="shared" si="12"/>
        <v>...</v>
      </c>
      <c r="AA16" s="2"/>
      <c r="AB16" s="2"/>
      <c r="AC16" s="2"/>
      <c r="AD16" s="2"/>
      <c r="AE16" s="2"/>
      <c r="AF16" s="2"/>
    </row>
    <row r="17">
      <c r="A17" s="4"/>
      <c r="B17" s="30"/>
      <c r="C17" s="5"/>
      <c r="D17" s="5"/>
      <c r="E17" s="31"/>
      <c r="F17" s="7"/>
      <c r="G17" s="8" t="str">
        <f t="shared" si="1"/>
        <v>...</v>
      </c>
      <c r="H17" s="31"/>
      <c r="I17" s="92"/>
      <c r="J17" s="91" t="str">
        <f t="shared" si="13"/>
        <v>...</v>
      </c>
      <c r="K17" s="10" t="str">
        <f>if(B17=0,"...",J17*(1-VLOOKUP(A17,Config!$B$3:$C$22,2,FALSE)))</f>
        <v>...</v>
      </c>
      <c r="L17" s="10" t="str">
        <f t="shared" si="2"/>
        <v>...</v>
      </c>
      <c r="M17" s="10"/>
      <c r="N17" s="10"/>
      <c r="O17" s="10" t="str">
        <f t="shared" si="14"/>
        <v>...</v>
      </c>
      <c r="P17" s="10"/>
      <c r="Q17" s="12" t="str">
        <f t="shared" si="15"/>
        <v>...</v>
      </c>
      <c r="R17" s="13" t="str">
        <f t="shared" si="16"/>
        <v>...</v>
      </c>
      <c r="S17" s="2"/>
      <c r="T17" s="10"/>
      <c r="U17" s="10" t="str">
        <f t="shared" si="7"/>
        <v>...</v>
      </c>
      <c r="V17" s="12" t="str">
        <f t="shared" si="8"/>
        <v/>
      </c>
      <c r="W17" s="10" t="str">
        <f t="shared" si="9"/>
        <v>...</v>
      </c>
      <c r="X17" s="10" t="str">
        <f t="shared" si="10"/>
        <v>...</v>
      </c>
      <c r="Y17" s="12" t="str">
        <f t="shared" si="11"/>
        <v>...</v>
      </c>
      <c r="Z17" s="10" t="str">
        <f t="shared" si="12"/>
        <v>...</v>
      </c>
      <c r="AA17" s="2"/>
      <c r="AB17" s="2"/>
      <c r="AC17" s="2"/>
      <c r="AD17" s="2"/>
      <c r="AE17" s="2"/>
      <c r="AF17" s="2"/>
    </row>
    <row r="18">
      <c r="A18" s="4"/>
      <c r="B18" s="30"/>
      <c r="C18" s="5"/>
      <c r="D18" s="5"/>
      <c r="E18" s="31"/>
      <c r="F18" s="7"/>
      <c r="G18" s="8" t="str">
        <f t="shared" si="1"/>
        <v>...</v>
      </c>
      <c r="H18" s="31"/>
      <c r="I18" s="92"/>
      <c r="J18" s="91" t="str">
        <f t="shared" si="13"/>
        <v>...</v>
      </c>
      <c r="K18" s="10" t="str">
        <f>if(B18=0,"...",J18*(1-VLOOKUP(A18,Config!$B$3:$C$22,2,FALSE)))</f>
        <v>...</v>
      </c>
      <c r="L18" s="10" t="str">
        <f t="shared" si="2"/>
        <v>...</v>
      </c>
      <c r="M18" s="10"/>
      <c r="N18" s="10"/>
      <c r="O18" s="10" t="str">
        <f t="shared" si="14"/>
        <v>...</v>
      </c>
      <c r="P18" s="10"/>
      <c r="Q18" s="12" t="str">
        <f t="shared" si="15"/>
        <v>...</v>
      </c>
      <c r="R18" s="13" t="str">
        <f t="shared" si="16"/>
        <v>...</v>
      </c>
      <c r="S18" s="2"/>
      <c r="T18" s="10"/>
      <c r="U18" s="10" t="str">
        <f t="shared" si="7"/>
        <v>...</v>
      </c>
      <c r="V18" s="12" t="str">
        <f t="shared" si="8"/>
        <v/>
      </c>
      <c r="W18" s="10" t="str">
        <f t="shared" si="9"/>
        <v>...</v>
      </c>
      <c r="X18" s="10" t="str">
        <f t="shared" si="10"/>
        <v>...</v>
      </c>
      <c r="Y18" s="12" t="str">
        <f t="shared" si="11"/>
        <v>...</v>
      </c>
      <c r="Z18" s="10" t="str">
        <f t="shared" si="12"/>
        <v>...</v>
      </c>
      <c r="AA18" s="2"/>
      <c r="AB18" s="18" t="s">
        <v>96</v>
      </c>
      <c r="AC18" s="19">
        <f>sumifs(O2:O27,E2:E27,"ABIERTA")</f>
        <v>0</v>
      </c>
      <c r="AD18" s="18" t="s">
        <v>47</v>
      </c>
      <c r="AE18" s="19">
        <f>sum(O2:O27)</f>
        <v>91053.86055</v>
      </c>
      <c r="AF18" s="2"/>
    </row>
    <row r="19">
      <c r="A19" s="4"/>
      <c r="B19" s="30"/>
      <c r="C19" s="5"/>
      <c r="D19" s="5"/>
      <c r="E19" s="31"/>
      <c r="F19" s="7"/>
      <c r="G19" s="8" t="str">
        <f t="shared" si="1"/>
        <v>...</v>
      </c>
      <c r="H19" s="31"/>
      <c r="I19" s="92"/>
      <c r="J19" s="91" t="str">
        <f t="shared" si="13"/>
        <v>...</v>
      </c>
      <c r="K19" s="10" t="str">
        <f>if(B19=0,"...",J19*(1-VLOOKUP(A19,Config!$B$3:$C$22,2,FALSE)))</f>
        <v>...</v>
      </c>
      <c r="L19" s="10" t="str">
        <f t="shared" si="2"/>
        <v>...</v>
      </c>
      <c r="M19" s="10"/>
      <c r="N19" s="10"/>
      <c r="O19" s="10" t="str">
        <f t="shared" si="14"/>
        <v>...</v>
      </c>
      <c r="P19" s="10"/>
      <c r="Q19" s="12" t="str">
        <f t="shared" si="15"/>
        <v>...</v>
      </c>
      <c r="R19" s="13" t="str">
        <f t="shared" si="16"/>
        <v>...</v>
      </c>
      <c r="S19" s="2"/>
      <c r="T19" s="10"/>
      <c r="U19" s="10" t="str">
        <f t="shared" si="7"/>
        <v>...</v>
      </c>
      <c r="V19" s="12" t="str">
        <f t="shared" si="8"/>
        <v/>
      </c>
      <c r="W19" s="10" t="str">
        <f t="shared" si="9"/>
        <v>...</v>
      </c>
      <c r="X19" s="10" t="str">
        <f t="shared" si="10"/>
        <v>...</v>
      </c>
      <c r="Y19" s="12" t="str">
        <f t="shared" si="11"/>
        <v>...</v>
      </c>
      <c r="Z19" s="10" t="str">
        <f t="shared" si="12"/>
        <v>...</v>
      </c>
      <c r="AA19" s="2"/>
      <c r="AF19" s="2"/>
    </row>
    <row r="20">
      <c r="A20" s="4"/>
      <c r="B20" s="30"/>
      <c r="C20" s="5"/>
      <c r="D20" s="5"/>
      <c r="E20" s="31"/>
      <c r="F20" s="7"/>
      <c r="G20" s="8" t="str">
        <f t="shared" si="1"/>
        <v>...</v>
      </c>
      <c r="H20" s="31"/>
      <c r="I20" s="92"/>
      <c r="J20" s="91" t="str">
        <f t="shared" si="13"/>
        <v>...</v>
      </c>
      <c r="K20" s="10" t="str">
        <f>if(B20=0,"...",J20*(1-VLOOKUP(A20,Config!$B$3:$C$22,2,FALSE)))</f>
        <v>...</v>
      </c>
      <c r="L20" s="10" t="str">
        <f t="shared" si="2"/>
        <v>...</v>
      </c>
      <c r="M20" s="10"/>
      <c r="N20" s="10"/>
      <c r="O20" s="10" t="str">
        <f t="shared" si="14"/>
        <v>...</v>
      </c>
      <c r="P20" s="10"/>
      <c r="Q20" s="12" t="str">
        <f t="shared" si="15"/>
        <v>...</v>
      </c>
      <c r="R20" s="13" t="str">
        <f t="shared" si="16"/>
        <v>...</v>
      </c>
      <c r="S20" s="2"/>
      <c r="T20" s="10"/>
      <c r="U20" s="10" t="str">
        <f t="shared" si="7"/>
        <v>...</v>
      </c>
      <c r="V20" s="12" t="str">
        <f t="shared" si="8"/>
        <v/>
      </c>
      <c r="W20" s="10" t="str">
        <f t="shared" si="9"/>
        <v>...</v>
      </c>
      <c r="X20" s="10" t="str">
        <f t="shared" si="10"/>
        <v>...</v>
      </c>
      <c r="Y20" s="12" t="str">
        <f t="shared" si="11"/>
        <v>...</v>
      </c>
      <c r="Z20" s="10" t="str">
        <f t="shared" si="12"/>
        <v>...</v>
      </c>
      <c r="AA20" s="2"/>
      <c r="AB20" s="18" t="s">
        <v>49</v>
      </c>
      <c r="AC20" s="19">
        <f>sumifs(R2:R27,E2:E27,"ABIERTA")</f>
        <v>0</v>
      </c>
      <c r="AD20" s="18" t="s">
        <v>50</v>
      </c>
      <c r="AE20" s="19" t="str">
        <f>sum(R2:R27)</f>
        <v>#N/A</v>
      </c>
      <c r="AF20" s="2"/>
    </row>
    <row r="21">
      <c r="A21" s="4"/>
      <c r="B21" s="30"/>
      <c r="C21" s="5"/>
      <c r="D21" s="5"/>
      <c r="E21" s="31"/>
      <c r="F21" s="7"/>
      <c r="G21" s="8" t="str">
        <f t="shared" si="1"/>
        <v>...</v>
      </c>
      <c r="H21" s="31"/>
      <c r="I21" s="92"/>
      <c r="J21" s="91" t="str">
        <f t="shared" si="13"/>
        <v>...</v>
      </c>
      <c r="K21" s="10" t="str">
        <f>if(B21=0,"...",J21*(1-VLOOKUP(A21,Config!$B$3:$C$22,2,FALSE)))</f>
        <v>...</v>
      </c>
      <c r="L21" s="10" t="str">
        <f t="shared" si="2"/>
        <v>...</v>
      </c>
      <c r="M21" s="10"/>
      <c r="N21" s="10"/>
      <c r="O21" s="10" t="str">
        <f t="shared" si="14"/>
        <v>...</v>
      </c>
      <c r="P21" s="10"/>
      <c r="Q21" s="12" t="str">
        <f t="shared" si="15"/>
        <v>...</v>
      </c>
      <c r="R21" s="13" t="str">
        <f t="shared" si="16"/>
        <v>...</v>
      </c>
      <c r="S21" s="2"/>
      <c r="T21" s="10"/>
      <c r="U21" s="10" t="str">
        <f t="shared" si="7"/>
        <v>...</v>
      </c>
      <c r="V21" s="12" t="str">
        <f t="shared" si="8"/>
        <v/>
      </c>
      <c r="W21" s="10" t="str">
        <f t="shared" si="9"/>
        <v>...</v>
      </c>
      <c r="X21" s="10" t="str">
        <f t="shared" si="10"/>
        <v>...</v>
      </c>
      <c r="Y21" s="12" t="str">
        <f t="shared" si="11"/>
        <v>...</v>
      </c>
      <c r="Z21" s="10" t="str">
        <f t="shared" si="12"/>
        <v>...</v>
      </c>
      <c r="AA21" s="2"/>
      <c r="AF21" s="2"/>
    </row>
    <row r="22">
      <c r="A22" s="4"/>
      <c r="B22" s="30"/>
      <c r="C22" s="5"/>
      <c r="D22" s="5"/>
      <c r="E22" s="31"/>
      <c r="F22" s="7"/>
      <c r="G22" s="8" t="str">
        <f t="shared" si="1"/>
        <v>...</v>
      </c>
      <c r="H22" s="31"/>
      <c r="I22" s="92"/>
      <c r="J22" s="91" t="str">
        <f t="shared" si="13"/>
        <v>...</v>
      </c>
      <c r="K22" s="10" t="str">
        <f>if(B22=0,"...",J22*(1-VLOOKUP(A22,Config!$B$3:$C$22,2,FALSE)))</f>
        <v>...</v>
      </c>
      <c r="L22" s="10" t="str">
        <f t="shared" si="2"/>
        <v>...</v>
      </c>
      <c r="M22" s="10"/>
      <c r="N22" s="10"/>
      <c r="O22" s="10" t="str">
        <f t="shared" si="14"/>
        <v>...</v>
      </c>
      <c r="P22" s="10"/>
      <c r="Q22" s="12" t="str">
        <f t="shared" si="15"/>
        <v>...</v>
      </c>
      <c r="R22" s="13" t="str">
        <f t="shared" si="16"/>
        <v>...</v>
      </c>
      <c r="S22" s="2"/>
      <c r="T22" s="10"/>
      <c r="U22" s="10" t="str">
        <f t="shared" si="7"/>
        <v>...</v>
      </c>
      <c r="V22" s="12" t="str">
        <f t="shared" si="8"/>
        <v/>
      </c>
      <c r="W22" s="10" t="str">
        <f t="shared" si="9"/>
        <v>...</v>
      </c>
      <c r="X22" s="10" t="str">
        <f t="shared" si="10"/>
        <v>...</v>
      </c>
      <c r="Y22" s="12" t="str">
        <f t="shared" si="11"/>
        <v>...</v>
      </c>
      <c r="Z22" s="10" t="str">
        <f t="shared" si="12"/>
        <v>...</v>
      </c>
      <c r="AA22" s="2"/>
      <c r="AB22" s="18" t="s">
        <v>53</v>
      </c>
      <c r="AC22" s="22" t="str">
        <f>AC20/(AC18-AC20)</f>
        <v>#DIV/0!</v>
      </c>
      <c r="AD22" s="18" t="s">
        <v>53</v>
      </c>
      <c r="AE22" s="22" t="str">
        <f>AE20/(AE18-AE20)</f>
        <v>#N/A</v>
      </c>
      <c r="AF22" s="2"/>
    </row>
    <row r="23">
      <c r="A23" s="4"/>
      <c r="B23" s="30"/>
      <c r="C23" s="5"/>
      <c r="D23" s="5"/>
      <c r="E23" s="31"/>
      <c r="F23" s="7"/>
      <c r="G23" s="8" t="str">
        <f t="shared" si="1"/>
        <v>...</v>
      </c>
      <c r="H23" s="31"/>
      <c r="I23" s="92"/>
      <c r="J23" s="91" t="str">
        <f t="shared" si="13"/>
        <v>...</v>
      </c>
      <c r="K23" s="10" t="str">
        <f>if(B23=0,"...",J23*(1-VLOOKUP(A23,Config!$B$3:$C$22,2,FALSE)))</f>
        <v>...</v>
      </c>
      <c r="L23" s="10" t="str">
        <f t="shared" si="2"/>
        <v>...</v>
      </c>
      <c r="M23" s="10"/>
      <c r="N23" s="10"/>
      <c r="O23" s="10" t="str">
        <f t="shared" si="14"/>
        <v>...</v>
      </c>
      <c r="P23" s="10"/>
      <c r="Q23" s="12" t="str">
        <f t="shared" si="15"/>
        <v>...</v>
      </c>
      <c r="R23" s="13" t="str">
        <f t="shared" si="16"/>
        <v>...</v>
      </c>
      <c r="S23" s="2"/>
      <c r="T23" s="10"/>
      <c r="U23" s="10" t="str">
        <f t="shared" si="7"/>
        <v>...</v>
      </c>
      <c r="V23" s="12" t="str">
        <f t="shared" si="8"/>
        <v/>
      </c>
      <c r="W23" s="10" t="str">
        <f t="shared" si="9"/>
        <v>...</v>
      </c>
      <c r="X23" s="10" t="str">
        <f t="shared" si="10"/>
        <v>...</v>
      </c>
      <c r="Y23" s="12" t="str">
        <f t="shared" si="11"/>
        <v>...</v>
      </c>
      <c r="Z23" s="10" t="str">
        <f t="shared" si="12"/>
        <v>...</v>
      </c>
      <c r="AA23" s="2"/>
      <c r="AF23" s="2"/>
    </row>
    <row r="24">
      <c r="A24" s="4"/>
      <c r="B24" s="30"/>
      <c r="C24" s="5"/>
      <c r="D24" s="5"/>
      <c r="E24" s="31"/>
      <c r="F24" s="7"/>
      <c r="G24" s="8" t="str">
        <f t="shared" si="1"/>
        <v>...</v>
      </c>
      <c r="H24" s="31"/>
      <c r="I24" s="92"/>
      <c r="J24" s="91" t="str">
        <f t="shared" si="13"/>
        <v>...</v>
      </c>
      <c r="K24" s="10" t="str">
        <f>if(B24=0,"...",J24*(1-VLOOKUP(A24,Config!$B$3:$C$22,2,FALSE)))</f>
        <v>...</v>
      </c>
      <c r="L24" s="10" t="str">
        <f t="shared" si="2"/>
        <v>...</v>
      </c>
      <c r="M24" s="10"/>
      <c r="N24" s="10"/>
      <c r="O24" s="10" t="str">
        <f t="shared" si="14"/>
        <v>...</v>
      </c>
      <c r="P24" s="10"/>
      <c r="Q24" s="12" t="str">
        <f t="shared" si="15"/>
        <v>...</v>
      </c>
      <c r="R24" s="13" t="str">
        <f t="shared" si="16"/>
        <v>...</v>
      </c>
      <c r="S24" s="2"/>
      <c r="T24" s="10"/>
      <c r="U24" s="10" t="str">
        <f t="shared" si="7"/>
        <v>...</v>
      </c>
      <c r="V24" s="12" t="str">
        <f t="shared" si="8"/>
        <v/>
      </c>
      <c r="W24" s="10" t="str">
        <f t="shared" si="9"/>
        <v>...</v>
      </c>
      <c r="X24" s="10" t="str">
        <f t="shared" si="10"/>
        <v>...</v>
      </c>
      <c r="Y24" s="12" t="str">
        <f t="shared" si="11"/>
        <v>...</v>
      </c>
      <c r="Z24" s="10" t="str">
        <f t="shared" si="12"/>
        <v>...</v>
      </c>
      <c r="AA24" s="2"/>
      <c r="AB24" s="2"/>
      <c r="AC24" s="2"/>
      <c r="AD24" s="2"/>
      <c r="AE24" s="2"/>
      <c r="AF24" s="2"/>
    </row>
    <row r="25">
      <c r="A25" s="4"/>
      <c r="B25" s="30"/>
      <c r="C25" s="5"/>
      <c r="D25" s="5"/>
      <c r="E25" s="31"/>
      <c r="F25" s="7"/>
      <c r="G25" s="8" t="str">
        <f t="shared" si="1"/>
        <v>...</v>
      </c>
      <c r="H25" s="31"/>
      <c r="I25" s="92"/>
      <c r="J25" s="91" t="str">
        <f t="shared" si="13"/>
        <v>...</v>
      </c>
      <c r="K25" s="10" t="str">
        <f>if(B25=0,"...",J25*(1-VLOOKUP(A25,Config!$B$3:$C$22,2,FALSE)))</f>
        <v>...</v>
      </c>
      <c r="L25" s="10" t="str">
        <f t="shared" si="2"/>
        <v>...</v>
      </c>
      <c r="M25" s="10"/>
      <c r="N25" s="10"/>
      <c r="O25" s="10" t="str">
        <f t="shared" si="14"/>
        <v>...</v>
      </c>
      <c r="P25" s="10"/>
      <c r="Q25" s="12" t="str">
        <f t="shared" si="15"/>
        <v>...</v>
      </c>
      <c r="R25" s="13" t="str">
        <f t="shared" si="16"/>
        <v>...</v>
      </c>
      <c r="S25" s="2"/>
      <c r="T25" s="10"/>
      <c r="U25" s="10" t="str">
        <f t="shared" si="7"/>
        <v>...</v>
      </c>
      <c r="V25" s="12" t="str">
        <f t="shared" si="8"/>
        <v/>
      </c>
      <c r="W25" s="10" t="str">
        <f t="shared" si="9"/>
        <v>...</v>
      </c>
      <c r="X25" s="10" t="str">
        <f t="shared" si="10"/>
        <v>...</v>
      </c>
      <c r="Y25" s="12" t="str">
        <f t="shared" si="11"/>
        <v>...</v>
      </c>
      <c r="Z25" s="10" t="str">
        <f t="shared" si="12"/>
        <v>...</v>
      </c>
      <c r="AA25" s="2"/>
      <c r="AB25" s="2"/>
      <c r="AC25" s="2"/>
      <c r="AD25" s="2"/>
      <c r="AE25" s="2"/>
      <c r="AF25" s="2"/>
    </row>
    <row r="26">
      <c r="A26" s="4"/>
      <c r="B26" s="30"/>
      <c r="C26" s="5"/>
      <c r="D26" s="5"/>
      <c r="E26" s="31"/>
      <c r="F26" s="7"/>
      <c r="G26" s="8" t="str">
        <f t="shared" si="1"/>
        <v>...</v>
      </c>
      <c r="H26" s="31"/>
      <c r="I26" s="92"/>
      <c r="J26" s="91" t="str">
        <f t="shared" si="13"/>
        <v>...</v>
      </c>
      <c r="K26" s="10" t="str">
        <f>if(B26=0,"...",J26*(1-VLOOKUP(A26,Config!$B$3:$C$22,2,FALSE)))</f>
        <v>...</v>
      </c>
      <c r="L26" s="10" t="str">
        <f t="shared" si="2"/>
        <v>...</v>
      </c>
      <c r="M26" s="10"/>
      <c r="N26" s="10"/>
      <c r="O26" s="10" t="str">
        <f t="shared" si="14"/>
        <v>...</v>
      </c>
      <c r="P26" s="10"/>
      <c r="Q26" s="12" t="str">
        <f t="shared" si="15"/>
        <v>...</v>
      </c>
      <c r="R26" s="13" t="str">
        <f t="shared" si="16"/>
        <v>...</v>
      </c>
      <c r="S26" s="2"/>
      <c r="T26" s="10"/>
      <c r="U26" s="10" t="str">
        <f t="shared" si="7"/>
        <v>...</v>
      </c>
      <c r="V26" s="12" t="str">
        <f t="shared" si="8"/>
        <v/>
      </c>
      <c r="W26" s="10" t="str">
        <f t="shared" si="9"/>
        <v>...</v>
      </c>
      <c r="X26" s="10" t="str">
        <f t="shared" si="10"/>
        <v>...</v>
      </c>
      <c r="Y26" s="12" t="str">
        <f t="shared" si="11"/>
        <v>...</v>
      </c>
      <c r="Z26" s="10" t="str">
        <f t="shared" si="12"/>
        <v>...</v>
      </c>
      <c r="AA26" s="2"/>
      <c r="AB26" s="23" t="s">
        <v>56</v>
      </c>
      <c r="AC26" s="24" t="s">
        <v>57</v>
      </c>
      <c r="AD26" s="25" t="s">
        <v>58</v>
      </c>
      <c r="AE26" s="2"/>
      <c r="AF26" s="2"/>
    </row>
    <row r="27">
      <c r="A27" s="4"/>
      <c r="B27" s="30"/>
      <c r="C27" s="5"/>
      <c r="D27" s="5"/>
      <c r="E27" s="31"/>
      <c r="F27" s="7"/>
      <c r="G27" s="8" t="str">
        <f t="shared" si="1"/>
        <v>...</v>
      </c>
      <c r="H27" s="31"/>
      <c r="I27" s="92"/>
      <c r="J27" s="91" t="str">
        <f t="shared" si="13"/>
        <v>...</v>
      </c>
      <c r="K27" s="10" t="str">
        <f>if(B27=0,"...",J27*(1-VLOOKUP(A27,Config!$B$3:$C$22,2,FALSE)))</f>
        <v>...</v>
      </c>
      <c r="L27" s="10" t="str">
        <f t="shared" si="2"/>
        <v>...</v>
      </c>
      <c r="M27" s="10"/>
      <c r="N27" s="10"/>
      <c r="O27" s="10" t="str">
        <f t="shared" si="14"/>
        <v>...</v>
      </c>
      <c r="P27" s="10"/>
      <c r="Q27" s="12" t="str">
        <f t="shared" si="15"/>
        <v>...</v>
      </c>
      <c r="R27" s="13" t="str">
        <f t="shared" si="16"/>
        <v>...</v>
      </c>
      <c r="S27" s="2"/>
      <c r="T27" s="10"/>
      <c r="U27" s="10" t="str">
        <f t="shared" si="7"/>
        <v>...</v>
      </c>
      <c r="V27" s="12" t="str">
        <f t="shared" si="8"/>
        <v/>
      </c>
      <c r="W27" s="10" t="str">
        <f t="shared" si="9"/>
        <v>...</v>
      </c>
      <c r="X27" s="10" t="str">
        <f t="shared" si="10"/>
        <v>...</v>
      </c>
      <c r="Y27" s="12" t="str">
        <f t="shared" si="11"/>
        <v>...</v>
      </c>
      <c r="Z27" s="10" t="str">
        <f t="shared" si="12"/>
        <v>...</v>
      </c>
      <c r="AA27" s="2"/>
      <c r="AB27" s="26"/>
      <c r="AC27" s="24" t="s">
        <v>59</v>
      </c>
      <c r="AD27" s="25">
        <v>7.0</v>
      </c>
      <c r="AE27" s="2"/>
      <c r="AF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</sheetData>
  <mergeCells count="13">
    <mergeCell ref="AB20:AB21"/>
    <mergeCell ref="AB22:AB23"/>
    <mergeCell ref="AC22:AC23"/>
    <mergeCell ref="AD22:AD23"/>
    <mergeCell ref="AE22:AE23"/>
    <mergeCell ref="AB26:AB27"/>
    <mergeCell ref="AB18:AB19"/>
    <mergeCell ref="AC18:AC19"/>
    <mergeCell ref="AD18:AD19"/>
    <mergeCell ref="AE18:AE19"/>
    <mergeCell ref="AC20:AC21"/>
    <mergeCell ref="AD20:AD21"/>
    <mergeCell ref="AE20:AE21"/>
  </mergeCells>
  <conditionalFormatting sqref="AC20:AC23 AE20:AE23">
    <cfRule type="cellIs" dxfId="9" priority="1" operator="greaterThanOrEqual">
      <formula>0</formula>
    </cfRule>
  </conditionalFormatting>
  <conditionalFormatting sqref="AC20:AC23 AE20:AE23">
    <cfRule type="cellIs" dxfId="10" priority="2" operator="lessThan">
      <formula>0</formula>
    </cfRule>
  </conditionalFormatting>
  <conditionalFormatting sqref="Q2:Q27">
    <cfRule type="cellIs" dxfId="0" priority="3" operator="greaterThanOrEqual">
      <formula>"10%"</formula>
    </cfRule>
  </conditionalFormatting>
  <conditionalFormatting sqref="Q2:Q27">
    <cfRule type="cellIs" dxfId="1" priority="4" operator="between">
      <formula>"1%"</formula>
      <formula>"10%"</formula>
    </cfRule>
  </conditionalFormatting>
  <conditionalFormatting sqref="Q2:Q27">
    <cfRule type="cellIs" dxfId="2" priority="5" operator="lessThanOrEqual">
      <formula>"-10%"</formula>
    </cfRule>
  </conditionalFormatting>
  <conditionalFormatting sqref="Q2:Q27">
    <cfRule type="cellIs" dxfId="3" priority="6" operator="between">
      <formula>"-1%"</formula>
      <formula>"-10%"</formula>
    </cfRule>
  </conditionalFormatting>
  <conditionalFormatting sqref="Q2:Q27">
    <cfRule type="cellIs" dxfId="4" priority="7" operator="between">
      <formula>"-1%"</formula>
      <formula>"1%"</formula>
    </cfRule>
  </conditionalFormatting>
  <dataValidations>
    <dataValidation type="list" allowBlank="1" sqref="A2:A27">
      <formula1>Config!$B$3:$B$22</formula1>
    </dataValidation>
    <dataValidation type="list" allowBlank="1" sqref="E2:E27">
      <formula1>"ABIERTA,CERRADA"</formula1>
    </dataValidation>
    <dataValidation type="list" allowBlank="1" sqref="AD27">
      <formula1>"7,14,28,365"</formula1>
    </dataValidation>
    <dataValidation type="list" allowBlank="1" sqref="AD26">
      <formula1>"line,column"</formula1>
    </dataValidation>
    <dataValidation type="custom" allowBlank="1" showDropDown="1" sqref="D2:D27 F2:F27">
      <formula1>OR(NOT(ISERROR(DATEVALUE(D2))), AND(ISNUMBER(D2), LEFT(CELL("format", D2))="D"))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.75"/>
    <col customWidth="1" min="2" max="5" width="10.75"/>
    <col customWidth="1" min="6" max="6" width="6.38"/>
    <col customWidth="1" min="7" max="13" width="10.75"/>
    <col customWidth="1" min="14" max="16" width="12.0"/>
    <col customWidth="1" min="17" max="17" width="3.0"/>
    <col customWidth="1" min="18" max="19" width="10.13"/>
    <col customWidth="1" min="25" max="25" width="3.0"/>
    <col customWidth="1" min="30" max="30" width="3.0"/>
  </cols>
  <sheetData>
    <row r="1" ht="29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93" t="s">
        <v>6</v>
      </c>
      <c r="H1" s="72" t="s">
        <v>7</v>
      </c>
      <c r="I1" s="72" t="s">
        <v>10</v>
      </c>
      <c r="J1" s="1" t="s">
        <v>159</v>
      </c>
      <c r="K1" s="1" t="s">
        <v>8</v>
      </c>
      <c r="L1" s="1" t="s">
        <v>9</v>
      </c>
      <c r="M1" s="72" t="s">
        <v>11</v>
      </c>
      <c r="N1" s="1" t="s">
        <v>160</v>
      </c>
      <c r="O1" s="1" t="s">
        <v>12</v>
      </c>
      <c r="P1" s="1" t="s">
        <v>13</v>
      </c>
      <c r="Q1" s="2"/>
      <c r="R1" s="1" t="s">
        <v>1</v>
      </c>
      <c r="S1" s="1" t="s">
        <v>6</v>
      </c>
      <c r="T1" s="1" t="s">
        <v>14</v>
      </c>
      <c r="U1" s="1" t="s">
        <v>15</v>
      </c>
      <c r="V1" s="43" t="s">
        <v>16</v>
      </c>
      <c r="W1" s="1" t="s">
        <v>12</v>
      </c>
      <c r="X1" s="1" t="s">
        <v>17</v>
      </c>
      <c r="Y1" s="2"/>
      <c r="Z1" s="2"/>
      <c r="AA1" s="2"/>
      <c r="AB1" s="2"/>
      <c r="AC1" s="2"/>
      <c r="AD1" s="2"/>
    </row>
    <row r="2" ht="29.25" customHeight="1">
      <c r="A2" s="4" t="s">
        <v>88</v>
      </c>
      <c r="B2" s="4" t="s">
        <v>161</v>
      </c>
      <c r="C2" s="5">
        <v>45569.0</v>
      </c>
      <c r="D2" s="6" t="s">
        <v>22</v>
      </c>
      <c r="E2" s="7"/>
      <c r="F2" s="8">
        <f t="shared" ref="F2:F27" si="1">if(B2=0,"...", IF(E2=0,today()-C2,E2-C2))</f>
        <v>548</v>
      </c>
      <c r="G2" s="94">
        <v>52380.0</v>
      </c>
      <c r="H2" s="95">
        <v>103.4</v>
      </c>
      <c r="I2" s="15">
        <f t="shared" ref="I2:I4" si="2">IF(B2=0,"...",G2*H2/100)</f>
        <v>54160.92</v>
      </c>
      <c r="J2" s="10">
        <f t="array" ref="J2">I2/VLOOKUP(C2,{CCL!M:N;CCL!$P:$Q},2,0)</f>
        <v>44.17909522</v>
      </c>
      <c r="K2" s="11">
        <f>IFERROR(__xludf.DUMMYFUNCTION("IF(B2=0,""..."",IMPORTXML(""https://iol.invertironline.com/titulo/cotizacion/BCBA/S30S5/LETRAS-DEL-TESORO-CAP---V30-09-25/"", ""//span[@data-field='UltimoPrecio']""))"),159.596)</f>
        <v>159.596</v>
      </c>
      <c r="L2" s="10">
        <f>if(B2=0,"...",K2*(1-VLOOKUP(A2,Config!$B$3:$C$22,2,FALSE)))</f>
        <v>158.478828</v>
      </c>
      <c r="M2" s="15">
        <f t="shared" ref="M2:M4" si="3">IF(B2=0,"...",G2*L2/100)</f>
        <v>83011.21011</v>
      </c>
      <c r="N2" s="15">
        <f>M2/CCL!$E$2</f>
        <v>56.18546151</v>
      </c>
      <c r="O2" s="12">
        <f t="shared" ref="O2:O27" si="4">IF(B2=0,"...",N2/J2-1)</f>
        <v>0.2717657802</v>
      </c>
      <c r="P2" s="96">
        <f t="shared" ref="P2:P27" si="5">IF(B2=0,"...",N2-J2)</f>
        <v>12.00636628</v>
      </c>
      <c r="Q2" s="2"/>
      <c r="R2" s="10" t="str">
        <f>IFERROR(__xludf.DUMMYFUNCTION("Unique(Filter(B2:B36,D2:D36=""ABIERTA""))"),"AL30")</f>
        <v>AL30</v>
      </c>
      <c r="S2" s="10">
        <f t="shared" ref="S2:S27" si="6">if(R2=0,"...",sumifs($G$2:$G$28,$B$2:$B$28,R2,$D$2:$D$28,"ABIERTA"))</f>
        <v>2214</v>
      </c>
      <c r="T2" s="12">
        <f t="shared" ref="T2:T27" si="7">if(R2=0,"",V2/$AA$18)</f>
        <v>1</v>
      </c>
      <c r="U2" s="10">
        <f t="shared" ref="U2:U27" si="8">if(S2=0,"...",if(R2=0,"...",sumifs($I$2:$I$28,$B$2:$B$28,R2,$D$2:$D$28,"ABIERTA")/S2))</f>
        <v>14314.12633</v>
      </c>
      <c r="V2" s="45">
        <f t="shared" ref="V2:V27" si="9">if(R2=0,"...",sumifs($M$2:$M$28,$B$2:$B$28,R2,$D$2:$D$28,"ABIERTA"))</f>
        <v>1940046.153</v>
      </c>
      <c r="W2" s="12">
        <f t="shared" ref="W2:W27" si="10">if(S2=0,"...",if(R2=0,"...",X2/(V2-X2)))</f>
        <v>-0.01012228115</v>
      </c>
      <c r="X2" s="10">
        <f t="shared" ref="X2:X27" si="11">if(S2=0,"...",if(R2=0,"...",sumifs($P$2:$P$28,$B$2:$B$28,R2,$D$2:$D$28,"ABIERTA")))</f>
        <v>-19838.50351</v>
      </c>
      <c r="Y2" s="2"/>
      <c r="Z2" s="2"/>
      <c r="AA2" s="2"/>
      <c r="AB2" s="2"/>
      <c r="AC2" s="2"/>
      <c r="AD2" s="2"/>
    </row>
    <row r="3" ht="29.25" customHeight="1">
      <c r="A3" s="4" t="s">
        <v>88</v>
      </c>
      <c r="B3" s="4" t="s">
        <v>161</v>
      </c>
      <c r="C3" s="5">
        <v>45595.0</v>
      </c>
      <c r="D3" s="6" t="s">
        <v>22</v>
      </c>
      <c r="E3" s="7"/>
      <c r="F3" s="8">
        <f t="shared" si="1"/>
        <v>522</v>
      </c>
      <c r="G3" s="94">
        <v>85470.0</v>
      </c>
      <c r="H3" s="95">
        <v>115.4</v>
      </c>
      <c r="I3" s="15">
        <f t="shared" si="2"/>
        <v>98632.38</v>
      </c>
      <c r="J3" s="10">
        <f t="array" ref="J3">I3/VLOOKUP(C3,{CCL!M:N;CCL!$P:$Q},2,0)</f>
        <v>85.13065769</v>
      </c>
      <c r="K3" s="11">
        <f>IFERROR(__xludf.DUMMYFUNCTION("IF(B3=0,""..."",IMPORTXML(""https://iol.invertironline.com/titulo/cotizacion/BCBA/S30S5/LETRAS-DEL-TESORO-CAP---V30-09-25/"", ""//span[@data-field='UltimoPrecio']""))"),159.596)</f>
        <v>159.596</v>
      </c>
      <c r="L3" s="10">
        <f>if(B3=0,"...",K3*(1-VLOOKUP(A3,Config!$B$3:$C$22,2,FALSE)))</f>
        <v>158.478828</v>
      </c>
      <c r="M3" s="15">
        <f t="shared" si="3"/>
        <v>135451.8543</v>
      </c>
      <c r="N3" s="15">
        <f>M3/CCL!$E$2</f>
        <v>91.67948444</v>
      </c>
      <c r="O3" s="12">
        <f t="shared" si="4"/>
        <v>0.0769267727</v>
      </c>
      <c r="P3" s="96">
        <f t="shared" si="5"/>
        <v>6.548826754</v>
      </c>
      <c r="Q3" s="2"/>
      <c r="R3" s="10"/>
      <c r="S3" s="10" t="str">
        <f t="shared" si="6"/>
        <v>...</v>
      </c>
      <c r="T3" s="12" t="str">
        <f t="shared" si="7"/>
        <v/>
      </c>
      <c r="U3" s="10" t="str">
        <f t="shared" si="8"/>
        <v>...</v>
      </c>
      <c r="V3" s="45" t="str">
        <f t="shared" si="9"/>
        <v>...</v>
      </c>
      <c r="W3" s="12" t="str">
        <f t="shared" si="10"/>
        <v>...</v>
      </c>
      <c r="X3" s="10" t="str">
        <f t="shared" si="11"/>
        <v>...</v>
      </c>
      <c r="Y3" s="2"/>
      <c r="Z3" s="2"/>
      <c r="AA3" s="2"/>
      <c r="AB3" s="2"/>
      <c r="AC3" s="2"/>
      <c r="AD3" s="2"/>
    </row>
    <row r="4" ht="29.25" customHeight="1">
      <c r="A4" s="4" t="s">
        <v>88</v>
      </c>
      <c r="B4" s="4" t="s">
        <v>162</v>
      </c>
      <c r="C4" s="5">
        <v>45629.0</v>
      </c>
      <c r="D4" s="6" t="s">
        <v>22</v>
      </c>
      <c r="E4" s="7"/>
      <c r="F4" s="8">
        <f t="shared" si="1"/>
        <v>488</v>
      </c>
      <c r="G4" s="94">
        <v>326.0</v>
      </c>
      <c r="H4" s="95">
        <v>77080.0</v>
      </c>
      <c r="I4" s="15">
        <f t="shared" si="2"/>
        <v>251280.8</v>
      </c>
      <c r="J4" s="10">
        <f t="array" ref="J4">I4/VLOOKUP(C4,{CCL!M:N;CCL!$P:$Q},2,0)</f>
        <v>227.214265</v>
      </c>
      <c r="K4" s="11">
        <f>IFERROR(__xludf.DUMMYFUNCTION("IF(B4=0,""..."",IMPORTRANGE(""https://docs.google.com/spreadsheets/d/1EO4z8qT9itp0wLT5aUW7wCKtVcske6-IY14XUQZMn84/edit?gid=2087068377#gid=2087068377"", ""AL30!B1""))/100"),880.5)</f>
        <v>880.5</v>
      </c>
      <c r="L4" s="10">
        <f>if(B4=0,"...",K4*(1-VLOOKUP(A4,Config!$B$3:$C$22,2,FALSE)))</f>
        <v>874.3365</v>
      </c>
      <c r="M4" s="15">
        <f t="shared" si="3"/>
        <v>2850.33699</v>
      </c>
      <c r="N4" s="15">
        <f>M4/CCL!$E$2</f>
        <v>1.929227378</v>
      </c>
      <c r="O4" s="12">
        <f t="shared" si="4"/>
        <v>-0.9915092154</v>
      </c>
      <c r="P4" s="96">
        <f t="shared" si="5"/>
        <v>-225.2850377</v>
      </c>
      <c r="Q4" s="2"/>
      <c r="R4" s="10"/>
      <c r="S4" s="10" t="str">
        <f t="shared" si="6"/>
        <v>...</v>
      </c>
      <c r="T4" s="12" t="str">
        <f t="shared" si="7"/>
        <v/>
      </c>
      <c r="U4" s="10" t="str">
        <f t="shared" si="8"/>
        <v>...</v>
      </c>
      <c r="V4" s="45" t="str">
        <f t="shared" si="9"/>
        <v>...</v>
      </c>
      <c r="W4" s="12" t="str">
        <f t="shared" si="10"/>
        <v>...</v>
      </c>
      <c r="X4" s="10" t="str">
        <f t="shared" si="11"/>
        <v>...</v>
      </c>
      <c r="Y4" s="2"/>
      <c r="Z4" s="2"/>
      <c r="AA4" s="2"/>
      <c r="AB4" s="2"/>
      <c r="AC4" s="2"/>
      <c r="AD4" s="2"/>
    </row>
    <row r="5" ht="29.25" customHeight="1">
      <c r="A5" s="4" t="s">
        <v>88</v>
      </c>
      <c r="B5" s="4" t="s">
        <v>162</v>
      </c>
      <c r="C5" s="5">
        <v>45975.0</v>
      </c>
      <c r="D5" s="6" t="s">
        <v>24</v>
      </c>
      <c r="E5" s="7"/>
      <c r="F5" s="8">
        <f t="shared" si="1"/>
        <v>142</v>
      </c>
      <c r="G5" s="94">
        <v>754.0</v>
      </c>
      <c r="H5" s="95">
        <f>94390/100</f>
        <v>943.9</v>
      </c>
      <c r="I5" s="15">
        <f t="shared" ref="I5:I27" si="12">if(B5=0,"...",G5*H5)</f>
        <v>711700.6</v>
      </c>
      <c r="J5" s="10">
        <f t="array" ref="J5">I5/VLOOKUP(C5,{CCL!M:N;CCL!$P:$Q},2,0)</f>
        <v>479.589078</v>
      </c>
      <c r="K5" s="11">
        <f>IFERROR(__xludf.DUMMYFUNCTION("IF(B5=0,""..."",IMPORTXML(""https://iol.invertironline.com/titulo/cotizacion/BCBA/"" &amp; B5 &amp; ""/LETRAS-DEL-TESORO-CAP---V30-09-25/"", ""//span[@data-field='UltimoPrecio']"")/100)"),880.5)</f>
        <v>880.5</v>
      </c>
      <c r="L5" s="10">
        <f>if(B5=0,"...",K5*(1-VLOOKUP(A5,Config!$B$3:$C$22,2,FALSE)))</f>
        <v>874.3365</v>
      </c>
      <c r="M5" s="15">
        <f t="shared" ref="M5:M9" si="13">IF(B5=0,"...",G5*L5)</f>
        <v>659249.721</v>
      </c>
      <c r="N5" s="15">
        <f>M5/CCL!$E$2</f>
        <v>446.2078047</v>
      </c>
      <c r="O5" s="12">
        <f t="shared" si="4"/>
        <v>-0.06960390652</v>
      </c>
      <c r="P5" s="96">
        <f t="shared" si="5"/>
        <v>-33.38127336</v>
      </c>
      <c r="Q5" s="2"/>
      <c r="R5" s="10"/>
      <c r="S5" s="10" t="str">
        <f t="shared" si="6"/>
        <v>...</v>
      </c>
      <c r="T5" s="12" t="str">
        <f t="shared" si="7"/>
        <v/>
      </c>
      <c r="U5" s="10" t="str">
        <f t="shared" si="8"/>
        <v>...</v>
      </c>
      <c r="V5" s="45" t="str">
        <f t="shared" si="9"/>
        <v>...</v>
      </c>
      <c r="W5" s="12" t="str">
        <f t="shared" si="10"/>
        <v>...</v>
      </c>
      <c r="X5" s="10" t="str">
        <f t="shared" si="11"/>
        <v>...</v>
      </c>
      <c r="Y5" s="2"/>
      <c r="Z5" s="2"/>
      <c r="AA5" s="2"/>
      <c r="AB5" s="2"/>
      <c r="AC5" s="2"/>
      <c r="AD5" s="2"/>
    </row>
    <row r="6" ht="29.25" customHeight="1">
      <c r="A6" s="4" t="s">
        <v>88</v>
      </c>
      <c r="B6" s="4" t="s">
        <v>163</v>
      </c>
      <c r="C6" s="5">
        <v>45975.0</v>
      </c>
      <c r="D6" s="6" t="s">
        <v>22</v>
      </c>
      <c r="E6" s="7"/>
      <c r="F6" s="8">
        <f t="shared" si="1"/>
        <v>142</v>
      </c>
      <c r="G6" s="94">
        <f>224618/100</f>
        <v>2246.18</v>
      </c>
      <c r="H6" s="95">
        <v>221.1</v>
      </c>
      <c r="I6" s="15">
        <f t="shared" si="12"/>
        <v>496630.398</v>
      </c>
      <c r="J6" s="10">
        <f t="array" ref="J6">I6/VLOOKUP(C6,{CCL!M:N;CCL!$P:$Q},2,0)</f>
        <v>334.6611127</v>
      </c>
      <c r="K6" s="11">
        <v>248.0</v>
      </c>
      <c r="L6" s="10">
        <f>if(B6=0,"...",K6*(1-VLOOKUP(A6,Config!$B$3:$C$22,2,FALSE)))</f>
        <v>246.264</v>
      </c>
      <c r="M6" s="15">
        <f t="shared" si="13"/>
        <v>553153.2715</v>
      </c>
      <c r="N6" s="15">
        <f>M6/CCL!$E$2</f>
        <v>374.3972869</v>
      </c>
      <c r="O6" s="12">
        <f t="shared" si="4"/>
        <v>0.1187355588</v>
      </c>
      <c r="P6" s="96">
        <f t="shared" si="5"/>
        <v>39.73617421</v>
      </c>
      <c r="Q6" s="2"/>
      <c r="R6" s="10"/>
      <c r="S6" s="10" t="str">
        <f t="shared" si="6"/>
        <v>...</v>
      </c>
      <c r="T6" s="12" t="str">
        <f t="shared" si="7"/>
        <v/>
      </c>
      <c r="U6" s="10" t="str">
        <f t="shared" si="8"/>
        <v>...</v>
      </c>
      <c r="V6" s="45" t="str">
        <f t="shared" si="9"/>
        <v>...</v>
      </c>
      <c r="W6" s="12" t="str">
        <f t="shared" si="10"/>
        <v>...</v>
      </c>
      <c r="X6" s="10" t="str">
        <f t="shared" si="11"/>
        <v>...</v>
      </c>
      <c r="Y6" s="2"/>
      <c r="Z6" s="2"/>
      <c r="AA6" s="2"/>
      <c r="AB6" s="2"/>
      <c r="AC6" s="2"/>
      <c r="AD6" s="2"/>
    </row>
    <row r="7" ht="29.25" customHeight="1">
      <c r="A7" s="4" t="s">
        <v>88</v>
      </c>
      <c r="B7" s="4" t="s">
        <v>162</v>
      </c>
      <c r="C7" s="5">
        <v>45989.0</v>
      </c>
      <c r="D7" s="6" t="s">
        <v>24</v>
      </c>
      <c r="E7" s="7"/>
      <c r="F7" s="8">
        <f t="shared" si="1"/>
        <v>128</v>
      </c>
      <c r="G7" s="94">
        <v>520.0</v>
      </c>
      <c r="H7" s="95">
        <f>95710/100</f>
        <v>957.1</v>
      </c>
      <c r="I7" s="15">
        <f t="shared" si="12"/>
        <v>497692</v>
      </c>
      <c r="J7" s="10">
        <f t="array" ref="J7">I7/VLOOKUP(C7,{CCL!M:N;CCL!$P:$Q},2,0)</f>
        <v>327.7005939</v>
      </c>
      <c r="K7" s="11">
        <f>IFERROR(__xludf.DUMMYFUNCTION("IF(B7=0,""..."",IMPORTXML(""https://iol.invertironline.com/titulo/cotizacion/BCBA/"" &amp; B7 &amp; ""/LETRAS-DEL-TESORO-CAP---V30-09-25/"", ""//span[@data-field='UltimoPrecio']"")/100)"),880.5)</f>
        <v>880.5</v>
      </c>
      <c r="L7" s="10">
        <f>if(B7=0,"...",K7*(1-VLOOKUP(A7,Config!$B$3:$C$22,2,FALSE)))</f>
        <v>874.3365</v>
      </c>
      <c r="M7" s="15">
        <f t="shared" si="13"/>
        <v>454654.98</v>
      </c>
      <c r="N7" s="15">
        <f>M7/CCL!$E$2</f>
        <v>307.7295205</v>
      </c>
      <c r="O7" s="12">
        <f t="shared" si="4"/>
        <v>-0.06094304932</v>
      </c>
      <c r="P7" s="96">
        <f t="shared" si="5"/>
        <v>-19.97107346</v>
      </c>
      <c r="Q7" s="2"/>
      <c r="R7" s="10"/>
      <c r="S7" s="10" t="str">
        <f t="shared" si="6"/>
        <v>...</v>
      </c>
      <c r="T7" s="12" t="str">
        <f t="shared" si="7"/>
        <v/>
      </c>
      <c r="U7" s="10" t="str">
        <f t="shared" si="8"/>
        <v>...</v>
      </c>
      <c r="V7" s="45" t="str">
        <f t="shared" si="9"/>
        <v>...</v>
      </c>
      <c r="W7" s="12" t="str">
        <f t="shared" si="10"/>
        <v>...</v>
      </c>
      <c r="X7" s="10" t="str">
        <f t="shared" si="11"/>
        <v>...</v>
      </c>
      <c r="Y7" s="2"/>
      <c r="Z7" s="2"/>
      <c r="AA7" s="2"/>
      <c r="AB7" s="2"/>
      <c r="AC7" s="2"/>
      <c r="AD7" s="2"/>
    </row>
    <row r="8" ht="29.25" customHeight="1">
      <c r="A8" s="4" t="s">
        <v>88</v>
      </c>
      <c r="B8" s="4" t="s">
        <v>163</v>
      </c>
      <c r="C8" s="5">
        <v>45989.0</v>
      </c>
      <c r="D8" s="6" t="s">
        <v>22</v>
      </c>
      <c r="E8" s="7"/>
      <c r="F8" s="8">
        <f t="shared" si="1"/>
        <v>128</v>
      </c>
      <c r="G8" s="94">
        <f>223863/100</f>
        <v>2238.63</v>
      </c>
      <c r="H8" s="95">
        <v>222.5</v>
      </c>
      <c r="I8" s="15">
        <f t="shared" si="12"/>
        <v>498095.175</v>
      </c>
      <c r="J8" s="10">
        <f t="array" ref="J8">I8/VLOOKUP(C8,{CCL!M:N;CCL!$P:$Q},2,0)</f>
        <v>327.9660607</v>
      </c>
      <c r="K8" s="11">
        <v>248.0</v>
      </c>
      <c r="L8" s="10">
        <f>if(B8=0,"...",K8*(1-VLOOKUP(A8,Config!$B$3:$C$22,2,FALSE)))</f>
        <v>246.264</v>
      </c>
      <c r="M8" s="15">
        <f t="shared" si="13"/>
        <v>551293.9783</v>
      </c>
      <c r="N8" s="15">
        <f>M8/CCL!$E$2</f>
        <v>373.1388394</v>
      </c>
      <c r="O8" s="12">
        <f t="shared" si="4"/>
        <v>0.1377361385</v>
      </c>
      <c r="P8" s="96">
        <f t="shared" si="5"/>
        <v>45.17277875</v>
      </c>
      <c r="Q8" s="2"/>
      <c r="R8" s="10"/>
      <c r="S8" s="10" t="str">
        <f t="shared" si="6"/>
        <v>...</v>
      </c>
      <c r="T8" s="12" t="str">
        <f t="shared" si="7"/>
        <v/>
      </c>
      <c r="U8" s="10" t="str">
        <f t="shared" si="8"/>
        <v>...</v>
      </c>
      <c r="V8" s="45" t="str">
        <f t="shared" si="9"/>
        <v>...</v>
      </c>
      <c r="W8" s="12" t="str">
        <f t="shared" si="10"/>
        <v>...</v>
      </c>
      <c r="X8" s="10" t="str">
        <f t="shared" si="11"/>
        <v>...</v>
      </c>
      <c r="Y8" s="2"/>
      <c r="Z8" s="2"/>
      <c r="AA8" s="2"/>
      <c r="AB8" s="2"/>
      <c r="AC8" s="2"/>
      <c r="AD8" s="2"/>
    </row>
    <row r="9" ht="29.25" customHeight="1">
      <c r="A9" s="4" t="s">
        <v>88</v>
      </c>
      <c r="B9" s="4" t="s">
        <v>162</v>
      </c>
      <c r="C9" s="5">
        <v>46013.0</v>
      </c>
      <c r="D9" s="6" t="s">
        <v>24</v>
      </c>
      <c r="E9" s="7"/>
      <c r="F9" s="8">
        <f t="shared" si="1"/>
        <v>104</v>
      </c>
      <c r="G9" s="94">
        <v>248.0</v>
      </c>
      <c r="H9" s="95">
        <f>100100/100</f>
        <v>1001</v>
      </c>
      <c r="I9" s="15">
        <f t="shared" si="12"/>
        <v>248248</v>
      </c>
      <c r="J9" s="10">
        <f t="array" ref="J9">I9/VLOOKUP(C9,{CCL!M:N;CCL!$P:$Q},2,0)</f>
        <v>160.9366491</v>
      </c>
      <c r="K9" s="11">
        <f>IFERROR(__xludf.DUMMYFUNCTION("IF(B9=0,""..."",IMPORTXML(""https://iol.invertironline.com/titulo/cotizacion/BCBA/"" &amp; B9 &amp; ""/LETRAS-DEL-TESORO-CAP---V30-09-25/"", ""//span[@data-field='UltimoPrecio']"")/100)"),880.5)</f>
        <v>880.5</v>
      </c>
      <c r="L9" s="10">
        <f>if(B9=0,"...",K9*(1-VLOOKUP(A9,Config!$B$3:$C$22,2,FALSE)))</f>
        <v>874.3365</v>
      </c>
      <c r="M9" s="15">
        <f t="shared" si="13"/>
        <v>216835.452</v>
      </c>
      <c r="N9" s="15">
        <f>M9/CCL!$E$2</f>
        <v>146.7633098</v>
      </c>
      <c r="O9" s="12">
        <f t="shared" si="4"/>
        <v>-0.088067817</v>
      </c>
      <c r="P9" s="96">
        <f t="shared" si="5"/>
        <v>-14.17333936</v>
      </c>
      <c r="Q9" s="2"/>
      <c r="R9" s="10"/>
      <c r="S9" s="10" t="str">
        <f t="shared" si="6"/>
        <v>...</v>
      </c>
      <c r="T9" s="12" t="str">
        <f t="shared" si="7"/>
        <v/>
      </c>
      <c r="U9" s="10" t="str">
        <f t="shared" si="8"/>
        <v>...</v>
      </c>
      <c r="V9" s="45" t="str">
        <f t="shared" si="9"/>
        <v>...</v>
      </c>
      <c r="W9" s="12" t="str">
        <f t="shared" si="10"/>
        <v>...</v>
      </c>
      <c r="X9" s="10" t="str">
        <f t="shared" si="11"/>
        <v>...</v>
      </c>
      <c r="Y9" s="2"/>
      <c r="Z9" s="2"/>
      <c r="AA9" s="2"/>
      <c r="AB9" s="2"/>
      <c r="AC9" s="2"/>
      <c r="AD9" s="2"/>
    </row>
    <row r="10" ht="29.25" customHeight="1">
      <c r="A10" s="4" t="s">
        <v>88</v>
      </c>
      <c r="B10" s="4" t="s">
        <v>163</v>
      </c>
      <c r="C10" s="5">
        <v>46013.0</v>
      </c>
      <c r="D10" s="6" t="s">
        <v>22</v>
      </c>
      <c r="E10" s="7"/>
      <c r="F10" s="8">
        <f t="shared" si="1"/>
        <v>104</v>
      </c>
      <c r="G10" s="94">
        <f>106112/100</f>
        <v>1061.12</v>
      </c>
      <c r="H10" s="95">
        <v>234.45</v>
      </c>
      <c r="I10" s="15">
        <f t="shared" si="12"/>
        <v>248779.584</v>
      </c>
      <c r="J10" s="10">
        <f t="array" ref="J10">I10/VLOOKUP(C10,{CCL!M:N;CCL!$P:$Q},2,0)</f>
        <v>161.2812696</v>
      </c>
      <c r="K10" s="11">
        <v>248.0</v>
      </c>
      <c r="L10" s="10">
        <f>if(B10=0,"...",K10*(1-VLOOKUP(A10,Config!$B$3:$C$22,2,FALSE)))</f>
        <v>246.264</v>
      </c>
      <c r="M10" s="15">
        <f t="shared" ref="M10:M27" si="14">if(B10=0,"...",G10*K10)</f>
        <v>263157.76</v>
      </c>
      <c r="N10" s="15">
        <f>M10/CCL!$E$2</f>
        <v>178.1161867</v>
      </c>
      <c r="O10" s="12">
        <f t="shared" si="4"/>
        <v>0.1043823446</v>
      </c>
      <c r="P10" s="96">
        <f t="shared" si="5"/>
        <v>16.83491706</v>
      </c>
      <c r="Q10" s="2"/>
      <c r="R10" s="10"/>
      <c r="S10" s="10" t="str">
        <f t="shared" si="6"/>
        <v>...</v>
      </c>
      <c r="T10" s="12" t="str">
        <f t="shared" si="7"/>
        <v/>
      </c>
      <c r="U10" s="10" t="str">
        <f t="shared" si="8"/>
        <v>...</v>
      </c>
      <c r="V10" s="45" t="str">
        <f t="shared" si="9"/>
        <v>...</v>
      </c>
      <c r="W10" s="12" t="str">
        <f t="shared" si="10"/>
        <v>...</v>
      </c>
      <c r="X10" s="10" t="str">
        <f t="shared" si="11"/>
        <v>...</v>
      </c>
      <c r="Y10" s="2"/>
      <c r="Z10" s="2"/>
      <c r="AA10" s="2"/>
      <c r="AB10" s="2"/>
      <c r="AC10" s="2"/>
      <c r="AD10" s="2"/>
    </row>
    <row r="11" ht="29.25" customHeight="1">
      <c r="A11" s="4" t="s">
        <v>88</v>
      </c>
      <c r="B11" s="4" t="s">
        <v>162</v>
      </c>
      <c r="C11" s="5">
        <v>46024.0</v>
      </c>
      <c r="D11" s="6" t="s">
        <v>24</v>
      </c>
      <c r="E11" s="7"/>
      <c r="F11" s="8">
        <f t="shared" si="1"/>
        <v>93</v>
      </c>
      <c r="G11" s="94">
        <v>357.0</v>
      </c>
      <c r="H11" s="95">
        <f>100430/100</f>
        <v>1004.3</v>
      </c>
      <c r="I11" s="15">
        <f t="shared" si="12"/>
        <v>358535.1</v>
      </c>
      <c r="J11" s="10">
        <f t="array" ref="J11">I11/VLOOKUP(C11,{CCL!M:N;CCL!$P:$Q},2,0)</f>
        <v>231.9324518</v>
      </c>
      <c r="K11" s="11">
        <f>IFERROR(__xludf.DUMMYFUNCTION("IF(B11=0,""..."",IMPORTXML(""https://iol.invertironline.com/titulo/cotizacion/BCBA/"" &amp; B11 &amp; ""/LETRAS-DEL-TESORO-CAP---V30-09-25/"", ""//span[@data-field='UltimoPrecio']"")/100)"),880.5)</f>
        <v>880.5</v>
      </c>
      <c r="L11" s="10">
        <f>if(B11=0,"...",K11*(1-VLOOKUP(A11,Config!$B$3:$C$22,2,FALSE)))</f>
        <v>874.3365</v>
      </c>
      <c r="M11" s="15">
        <f t="shared" si="14"/>
        <v>314338.5</v>
      </c>
      <c r="N11" s="15">
        <f>M11/CCL!$E$2</f>
        <v>212.7574537</v>
      </c>
      <c r="O11" s="12">
        <f t="shared" si="4"/>
        <v>-0.08267492525</v>
      </c>
      <c r="P11" s="96">
        <f t="shared" si="5"/>
        <v>-19.17499812</v>
      </c>
      <c r="Q11" s="2"/>
      <c r="R11" s="10"/>
      <c r="S11" s="10" t="str">
        <f t="shared" si="6"/>
        <v>...</v>
      </c>
      <c r="T11" s="12" t="str">
        <f t="shared" si="7"/>
        <v/>
      </c>
      <c r="U11" s="10" t="str">
        <f t="shared" si="8"/>
        <v>...</v>
      </c>
      <c r="V11" s="45" t="str">
        <f t="shared" si="9"/>
        <v>...</v>
      </c>
      <c r="W11" s="12" t="str">
        <f t="shared" si="10"/>
        <v>...</v>
      </c>
      <c r="X11" s="10" t="str">
        <f t="shared" si="11"/>
        <v>...</v>
      </c>
      <c r="Y11" s="2"/>
      <c r="Z11" s="2"/>
      <c r="AA11" s="2"/>
      <c r="AB11" s="2"/>
      <c r="AC11" s="2"/>
      <c r="AD11" s="2"/>
    </row>
    <row r="12" ht="29.25" customHeight="1">
      <c r="A12" s="4" t="s">
        <v>88</v>
      </c>
      <c r="B12" s="4" t="s">
        <v>163</v>
      </c>
      <c r="C12" s="5">
        <v>46050.0</v>
      </c>
      <c r="D12" s="6" t="s">
        <v>22</v>
      </c>
      <c r="E12" s="7"/>
      <c r="F12" s="8">
        <f t="shared" si="1"/>
        <v>67</v>
      </c>
      <c r="G12" s="94">
        <v>843.7</v>
      </c>
      <c r="H12" s="95">
        <v>235.9</v>
      </c>
      <c r="I12" s="15">
        <f t="shared" si="12"/>
        <v>199028.83</v>
      </c>
      <c r="J12" s="10">
        <f t="array" ref="J12">I12/VLOOKUP(C12,{CCL!M:N;CCL!$P:$Q},2,0)</f>
        <v>132.9162749</v>
      </c>
      <c r="K12" s="11">
        <v>248.0</v>
      </c>
      <c r="L12" s="10">
        <f>if(B12=0,"...",K12*(1-VLOOKUP(A12,Config!$B$3:$C$22,2,FALSE)))</f>
        <v>246.264</v>
      </c>
      <c r="M12" s="15">
        <f t="shared" si="14"/>
        <v>209237.6</v>
      </c>
      <c r="N12" s="15">
        <f>M12/CCL!$E$2</f>
        <v>141.6207655</v>
      </c>
      <c r="O12" s="12">
        <f t="shared" si="4"/>
        <v>0.06548852381</v>
      </c>
      <c r="P12" s="96">
        <f t="shared" si="5"/>
        <v>8.704490632</v>
      </c>
      <c r="Q12" s="2"/>
      <c r="R12" s="10"/>
      <c r="S12" s="10" t="str">
        <f t="shared" si="6"/>
        <v>...</v>
      </c>
      <c r="T12" s="12" t="str">
        <f t="shared" si="7"/>
        <v/>
      </c>
      <c r="U12" s="10" t="str">
        <f t="shared" si="8"/>
        <v>...</v>
      </c>
      <c r="V12" s="45" t="str">
        <f t="shared" si="9"/>
        <v>...</v>
      </c>
      <c r="W12" s="12" t="str">
        <f t="shared" si="10"/>
        <v>...</v>
      </c>
      <c r="X12" s="10" t="str">
        <f t="shared" si="11"/>
        <v>...</v>
      </c>
      <c r="Y12" s="2"/>
      <c r="Z12" s="2"/>
      <c r="AA12" s="2"/>
      <c r="AB12" s="2"/>
      <c r="AC12" s="2"/>
      <c r="AD12" s="2"/>
    </row>
    <row r="13" ht="29.25" customHeight="1">
      <c r="A13" s="4" t="s">
        <v>88</v>
      </c>
      <c r="B13" s="4" t="s">
        <v>162</v>
      </c>
      <c r="C13" s="5">
        <v>46050.0</v>
      </c>
      <c r="D13" s="6" t="s">
        <v>24</v>
      </c>
      <c r="E13" s="7"/>
      <c r="F13" s="8">
        <f t="shared" si="1"/>
        <v>67</v>
      </c>
      <c r="G13" s="94">
        <v>335.0</v>
      </c>
      <c r="H13" s="95">
        <v>89180.0</v>
      </c>
      <c r="I13" s="15">
        <f t="shared" si="12"/>
        <v>29875300</v>
      </c>
      <c r="J13" s="10">
        <f t="array" ref="J13">I13/VLOOKUP(C13,{CCL!M:N;CCL!$P:$Q},2,0)</f>
        <v>19951.44918</v>
      </c>
      <c r="K13" s="11">
        <f>IFERROR(__xludf.DUMMYFUNCTION("IF(B13=0,""..."",IMPORTXML(""https://iol.invertironline.com/titulo/cotizacion/BCBA/"" &amp; B13 &amp; ""/LETRAS-DEL-TESORO-CAP---V30-09-25/"", ""//span[@data-field='UltimoPrecio']"")/100)"),880.5)</f>
        <v>880.5</v>
      </c>
      <c r="L13" s="10">
        <f>if(B13=0,"...",K13*(1-VLOOKUP(A13,Config!$B$3:$C$22,2,FALSE)))</f>
        <v>874.3365</v>
      </c>
      <c r="M13" s="15">
        <f t="shared" si="14"/>
        <v>294967.5</v>
      </c>
      <c r="N13" s="15">
        <f>M13/CCL!$E$2</f>
        <v>199.6463501</v>
      </c>
      <c r="O13" s="12">
        <f t="shared" si="4"/>
        <v>-0.989993391</v>
      </c>
      <c r="P13" s="96">
        <f t="shared" si="5"/>
        <v>-19751.80283</v>
      </c>
      <c r="Q13" s="2"/>
      <c r="R13" s="10"/>
      <c r="S13" s="10" t="str">
        <f t="shared" si="6"/>
        <v>...</v>
      </c>
      <c r="T13" s="12" t="str">
        <f t="shared" si="7"/>
        <v/>
      </c>
      <c r="U13" s="10" t="str">
        <f t="shared" si="8"/>
        <v>...</v>
      </c>
      <c r="V13" s="45" t="str">
        <f t="shared" si="9"/>
        <v>...</v>
      </c>
      <c r="W13" s="12" t="str">
        <f t="shared" si="10"/>
        <v>...</v>
      </c>
      <c r="X13" s="10" t="str">
        <f t="shared" si="11"/>
        <v>...</v>
      </c>
      <c r="Y13" s="2"/>
      <c r="Z13" s="2"/>
      <c r="AA13" s="2"/>
      <c r="AB13" s="2"/>
      <c r="AC13" s="2"/>
      <c r="AD13" s="2"/>
    </row>
    <row r="14" ht="29.25" customHeight="1">
      <c r="A14" s="4"/>
      <c r="B14" s="30"/>
      <c r="C14" s="5"/>
      <c r="D14" s="31"/>
      <c r="E14" s="7"/>
      <c r="F14" s="8" t="str">
        <f t="shared" si="1"/>
        <v>...</v>
      </c>
      <c r="G14" s="97"/>
      <c r="H14" s="98"/>
      <c r="I14" s="15" t="str">
        <f t="shared" si="12"/>
        <v>...</v>
      </c>
      <c r="J14" s="10"/>
      <c r="K14" s="11" t="str">
        <f>IFERROR(__xludf.DUMMYFUNCTION("if(B14=0,""..."",IMPORTXML(""https://www.rava.com/empresas/perfil.php?e=""&amp;B14,""//span[@class='fontsize6']""))"),"...")</f>
        <v>...</v>
      </c>
      <c r="L14" s="10" t="str">
        <f>if(B14=0,"...",K14*(1-VLOOKUP(A14,Config!$B$3:$C$22,2,FALSE)))</f>
        <v>...</v>
      </c>
      <c r="M14" s="15" t="str">
        <f t="shared" si="14"/>
        <v>...</v>
      </c>
      <c r="N14" s="12"/>
      <c r="O14" s="12" t="str">
        <f t="shared" si="4"/>
        <v>...</v>
      </c>
      <c r="P14" s="13" t="str">
        <f t="shared" si="5"/>
        <v>...</v>
      </c>
      <c r="Q14" s="2"/>
      <c r="R14" s="10"/>
      <c r="S14" s="10" t="str">
        <f t="shared" si="6"/>
        <v>...</v>
      </c>
      <c r="T14" s="12" t="str">
        <f t="shared" si="7"/>
        <v/>
      </c>
      <c r="U14" s="10" t="str">
        <f t="shared" si="8"/>
        <v>...</v>
      </c>
      <c r="V14" s="45" t="str">
        <f t="shared" si="9"/>
        <v>...</v>
      </c>
      <c r="W14" s="12" t="str">
        <f t="shared" si="10"/>
        <v>...</v>
      </c>
      <c r="X14" s="10" t="str">
        <f t="shared" si="11"/>
        <v>...</v>
      </c>
      <c r="Y14" s="2"/>
      <c r="Z14" s="2"/>
      <c r="AA14" s="2"/>
      <c r="AB14" s="2"/>
      <c r="AC14" s="2"/>
      <c r="AD14" s="2"/>
    </row>
    <row r="15" ht="29.25" customHeight="1">
      <c r="A15" s="4"/>
      <c r="B15" s="30"/>
      <c r="C15" s="5"/>
      <c r="D15" s="31"/>
      <c r="E15" s="7"/>
      <c r="F15" s="8" t="str">
        <f t="shared" si="1"/>
        <v>...</v>
      </c>
      <c r="G15" s="97"/>
      <c r="H15" s="98"/>
      <c r="I15" s="15" t="str">
        <f t="shared" si="12"/>
        <v>...</v>
      </c>
      <c r="J15" s="10"/>
      <c r="K15" s="11" t="str">
        <f>IFERROR(__xludf.DUMMYFUNCTION("if(B15=0,""..."",IMPORTXML(""https://www.rava.com/empresas/perfil.php?e=""&amp;B15,""//span[@class='fontsize6']""))"),"...")</f>
        <v>...</v>
      </c>
      <c r="L15" s="10" t="str">
        <f>if(B15=0,"...",K15*(1-VLOOKUP(A15,Config!$B$3:$C$22,2,FALSE)))</f>
        <v>...</v>
      </c>
      <c r="M15" s="15" t="str">
        <f t="shared" si="14"/>
        <v>...</v>
      </c>
      <c r="N15" s="12"/>
      <c r="O15" s="12" t="str">
        <f t="shared" si="4"/>
        <v>...</v>
      </c>
      <c r="P15" s="13" t="str">
        <f t="shared" si="5"/>
        <v>...</v>
      </c>
      <c r="Q15" s="2"/>
      <c r="R15" s="10"/>
      <c r="S15" s="10" t="str">
        <f t="shared" si="6"/>
        <v>...</v>
      </c>
      <c r="T15" s="12" t="str">
        <f t="shared" si="7"/>
        <v/>
      </c>
      <c r="U15" s="10" t="str">
        <f t="shared" si="8"/>
        <v>...</v>
      </c>
      <c r="V15" s="45" t="str">
        <f t="shared" si="9"/>
        <v>...</v>
      </c>
      <c r="W15" s="12" t="str">
        <f t="shared" si="10"/>
        <v>...</v>
      </c>
      <c r="X15" s="10" t="str">
        <f t="shared" si="11"/>
        <v>...</v>
      </c>
      <c r="Y15" s="2"/>
      <c r="Z15" s="2"/>
      <c r="AA15" s="2"/>
      <c r="AB15" s="2"/>
      <c r="AC15" s="2"/>
      <c r="AD15" s="2"/>
    </row>
    <row r="16" ht="29.25" customHeight="1">
      <c r="A16" s="4"/>
      <c r="B16" s="30"/>
      <c r="C16" s="5"/>
      <c r="D16" s="31"/>
      <c r="E16" s="7"/>
      <c r="F16" s="8" t="str">
        <f t="shared" si="1"/>
        <v>...</v>
      </c>
      <c r="G16" s="97"/>
      <c r="H16" s="98"/>
      <c r="I16" s="15" t="str">
        <f t="shared" si="12"/>
        <v>...</v>
      </c>
      <c r="J16" s="10"/>
      <c r="K16" s="11" t="str">
        <f>IFERROR(__xludf.DUMMYFUNCTION("if(B16=0,""..."",IMPORTXML(""https://www.rava.com/empresas/perfil.php?e=""&amp;B16,""//span[@class='fontsize6']""))"),"...")</f>
        <v>...</v>
      </c>
      <c r="L16" s="10" t="str">
        <f>if(B16=0,"...",K16*(1-VLOOKUP(A16,Config!$B$3:$C$22,2,FALSE)))</f>
        <v>...</v>
      </c>
      <c r="M16" s="15" t="str">
        <f t="shared" si="14"/>
        <v>...</v>
      </c>
      <c r="N16" s="12"/>
      <c r="O16" s="12" t="str">
        <f t="shared" si="4"/>
        <v>...</v>
      </c>
      <c r="P16" s="13" t="str">
        <f t="shared" si="5"/>
        <v>...</v>
      </c>
      <c r="Q16" s="2"/>
      <c r="R16" s="10"/>
      <c r="S16" s="10" t="str">
        <f t="shared" si="6"/>
        <v>...</v>
      </c>
      <c r="T16" s="12" t="str">
        <f t="shared" si="7"/>
        <v/>
      </c>
      <c r="U16" s="10" t="str">
        <f t="shared" si="8"/>
        <v>...</v>
      </c>
      <c r="V16" s="45" t="str">
        <f t="shared" si="9"/>
        <v>...</v>
      </c>
      <c r="W16" s="12" t="str">
        <f t="shared" si="10"/>
        <v>...</v>
      </c>
      <c r="X16" s="10" t="str">
        <f t="shared" si="11"/>
        <v>...</v>
      </c>
      <c r="Y16" s="2"/>
      <c r="Z16" s="2"/>
      <c r="AA16" s="2"/>
      <c r="AB16" s="2"/>
      <c r="AC16" s="2"/>
      <c r="AD16" s="2"/>
    </row>
    <row r="17" ht="29.25" customHeight="1">
      <c r="A17" s="4"/>
      <c r="B17" s="30"/>
      <c r="C17" s="5"/>
      <c r="D17" s="31"/>
      <c r="E17" s="7"/>
      <c r="F17" s="8" t="str">
        <f t="shared" si="1"/>
        <v>...</v>
      </c>
      <c r="G17" s="97"/>
      <c r="H17" s="98"/>
      <c r="I17" s="15" t="str">
        <f t="shared" si="12"/>
        <v>...</v>
      </c>
      <c r="J17" s="10"/>
      <c r="K17" s="11" t="str">
        <f>IFERROR(__xludf.DUMMYFUNCTION("if(B17=0,""..."",IMPORTXML(""https://www.rava.com/empresas/perfil.php?e=""&amp;B17,""//span[@class='fontsize6']""))"),"...")</f>
        <v>...</v>
      </c>
      <c r="L17" s="10" t="str">
        <f>if(B17=0,"...",K17*(1-VLOOKUP(A17,Config!$B$3:$C$22,2,FALSE)))</f>
        <v>...</v>
      </c>
      <c r="M17" s="15" t="str">
        <f t="shared" si="14"/>
        <v>...</v>
      </c>
      <c r="N17" s="12"/>
      <c r="O17" s="12" t="str">
        <f t="shared" si="4"/>
        <v>...</v>
      </c>
      <c r="P17" s="13" t="str">
        <f t="shared" si="5"/>
        <v>...</v>
      </c>
      <c r="Q17" s="2"/>
      <c r="R17" s="10"/>
      <c r="S17" s="10" t="str">
        <f t="shared" si="6"/>
        <v>...</v>
      </c>
      <c r="T17" s="12" t="str">
        <f t="shared" si="7"/>
        <v/>
      </c>
      <c r="U17" s="10" t="str">
        <f t="shared" si="8"/>
        <v>...</v>
      </c>
      <c r="V17" s="45" t="str">
        <f t="shared" si="9"/>
        <v>...</v>
      </c>
      <c r="W17" s="12" t="str">
        <f t="shared" si="10"/>
        <v>...</v>
      </c>
      <c r="X17" s="10" t="str">
        <f t="shared" si="11"/>
        <v>...</v>
      </c>
      <c r="Y17" s="2"/>
      <c r="Z17" s="2"/>
      <c r="AA17" s="2"/>
      <c r="AB17" s="2"/>
      <c r="AC17" s="2"/>
      <c r="AD17" s="2"/>
    </row>
    <row r="18" ht="29.25" customHeight="1">
      <c r="A18" s="4"/>
      <c r="B18" s="30"/>
      <c r="C18" s="5"/>
      <c r="D18" s="31"/>
      <c r="E18" s="7"/>
      <c r="F18" s="8" t="str">
        <f t="shared" si="1"/>
        <v>...</v>
      </c>
      <c r="G18" s="97"/>
      <c r="H18" s="98"/>
      <c r="I18" s="15" t="str">
        <f t="shared" si="12"/>
        <v>...</v>
      </c>
      <c r="J18" s="10"/>
      <c r="K18" s="11" t="str">
        <f>IFERROR(__xludf.DUMMYFUNCTION("if(B18=0,""..."",IMPORTXML(""https://www.rava.com/empresas/perfil.php?e=""&amp;B18,""//span[@class='fontsize6']""))"),"...")</f>
        <v>...</v>
      </c>
      <c r="L18" s="10" t="str">
        <f>if(B18=0,"...",K18*(1-VLOOKUP(A18,Config!$B$3:$C$22,2,FALSE)))</f>
        <v>...</v>
      </c>
      <c r="M18" s="15" t="str">
        <f t="shared" si="14"/>
        <v>...</v>
      </c>
      <c r="N18" s="12"/>
      <c r="O18" s="12" t="str">
        <f t="shared" si="4"/>
        <v>...</v>
      </c>
      <c r="P18" s="13" t="str">
        <f t="shared" si="5"/>
        <v>...</v>
      </c>
      <c r="Q18" s="2"/>
      <c r="R18" s="10"/>
      <c r="S18" s="10" t="str">
        <f t="shared" si="6"/>
        <v>...</v>
      </c>
      <c r="T18" s="12" t="str">
        <f t="shared" si="7"/>
        <v/>
      </c>
      <c r="U18" s="10" t="str">
        <f t="shared" si="8"/>
        <v>...</v>
      </c>
      <c r="V18" s="45" t="str">
        <f t="shared" si="9"/>
        <v>...</v>
      </c>
      <c r="W18" s="12" t="str">
        <f t="shared" si="10"/>
        <v>...</v>
      </c>
      <c r="X18" s="10" t="str">
        <f t="shared" si="11"/>
        <v>...</v>
      </c>
      <c r="Y18" s="2"/>
      <c r="Z18" s="18" t="s">
        <v>96</v>
      </c>
      <c r="AA18" s="19">
        <f>sumifs(M2:M27,D2:D27,"ABIERTA")</f>
        <v>1940046.153</v>
      </c>
      <c r="AB18" s="18" t="s">
        <v>47</v>
      </c>
      <c r="AC18" s="19">
        <f>sum(M2:M27)</f>
        <v>3738202.164</v>
      </c>
      <c r="AD18" s="2"/>
    </row>
    <row r="19" ht="29.25" customHeight="1">
      <c r="A19" s="4"/>
      <c r="B19" s="30"/>
      <c r="C19" s="5"/>
      <c r="D19" s="31"/>
      <c r="E19" s="7"/>
      <c r="F19" s="8" t="str">
        <f t="shared" si="1"/>
        <v>...</v>
      </c>
      <c r="G19" s="97"/>
      <c r="H19" s="98"/>
      <c r="I19" s="15" t="str">
        <f t="shared" si="12"/>
        <v>...</v>
      </c>
      <c r="J19" s="10"/>
      <c r="K19" s="11" t="str">
        <f>IFERROR(__xludf.DUMMYFUNCTION("if(B19=0,""..."",IMPORTXML(""https://www.rava.com/empresas/perfil.php?e=""&amp;B19,""//span[@class='fontsize6']""))"),"...")</f>
        <v>...</v>
      </c>
      <c r="L19" s="10" t="str">
        <f>if(B19=0,"...",K19*(1-VLOOKUP(A19,Config!$B$3:$C$22,2,FALSE)))</f>
        <v>...</v>
      </c>
      <c r="M19" s="15" t="str">
        <f t="shared" si="14"/>
        <v>...</v>
      </c>
      <c r="N19" s="12"/>
      <c r="O19" s="12" t="str">
        <f t="shared" si="4"/>
        <v>...</v>
      </c>
      <c r="P19" s="13" t="str">
        <f t="shared" si="5"/>
        <v>...</v>
      </c>
      <c r="Q19" s="2"/>
      <c r="R19" s="10"/>
      <c r="S19" s="10" t="str">
        <f t="shared" si="6"/>
        <v>...</v>
      </c>
      <c r="T19" s="12" t="str">
        <f t="shared" si="7"/>
        <v/>
      </c>
      <c r="U19" s="10" t="str">
        <f t="shared" si="8"/>
        <v>...</v>
      </c>
      <c r="V19" s="45" t="str">
        <f t="shared" si="9"/>
        <v>...</v>
      </c>
      <c r="W19" s="12" t="str">
        <f t="shared" si="10"/>
        <v>...</v>
      </c>
      <c r="X19" s="10" t="str">
        <f t="shared" si="11"/>
        <v>...</v>
      </c>
      <c r="Y19" s="2"/>
      <c r="AD19" s="2"/>
    </row>
    <row r="20" ht="29.25" customHeight="1">
      <c r="A20" s="4"/>
      <c r="B20" s="30"/>
      <c r="C20" s="5"/>
      <c r="D20" s="31"/>
      <c r="E20" s="7"/>
      <c r="F20" s="8" t="str">
        <f t="shared" si="1"/>
        <v>...</v>
      </c>
      <c r="G20" s="97"/>
      <c r="H20" s="98"/>
      <c r="I20" s="15" t="str">
        <f t="shared" si="12"/>
        <v>...</v>
      </c>
      <c r="J20" s="10"/>
      <c r="K20" s="11" t="str">
        <f>IFERROR(__xludf.DUMMYFUNCTION("if(B20=0,""..."",IMPORTXML(""https://www.rava.com/empresas/perfil.php?e=""&amp;B20,""//span[@class='fontsize6']""))"),"...")</f>
        <v>...</v>
      </c>
      <c r="L20" s="10" t="str">
        <f>if(B20=0,"...",K20*(1-VLOOKUP(A20,Config!$B$3:$C$22,2,FALSE)))</f>
        <v>...</v>
      </c>
      <c r="M20" s="15" t="str">
        <f t="shared" si="14"/>
        <v>...</v>
      </c>
      <c r="N20" s="12"/>
      <c r="O20" s="12" t="str">
        <f t="shared" si="4"/>
        <v>...</v>
      </c>
      <c r="P20" s="13" t="str">
        <f t="shared" si="5"/>
        <v>...</v>
      </c>
      <c r="Q20" s="2"/>
      <c r="R20" s="10"/>
      <c r="S20" s="10" t="str">
        <f t="shared" si="6"/>
        <v>...</v>
      </c>
      <c r="T20" s="12" t="str">
        <f t="shared" si="7"/>
        <v/>
      </c>
      <c r="U20" s="10" t="str">
        <f t="shared" si="8"/>
        <v>...</v>
      </c>
      <c r="V20" s="45" t="str">
        <f t="shared" si="9"/>
        <v>...</v>
      </c>
      <c r="W20" s="12" t="str">
        <f t="shared" si="10"/>
        <v>...</v>
      </c>
      <c r="X20" s="10" t="str">
        <f t="shared" si="11"/>
        <v>...</v>
      </c>
      <c r="Y20" s="2"/>
      <c r="Z20" s="18" t="s">
        <v>49</v>
      </c>
      <c r="AA20" s="19">
        <f>sumifs(P2:P27,D2:D27,"ABIERTA")</f>
        <v>-19838.50351</v>
      </c>
      <c r="AB20" s="18" t="s">
        <v>50</v>
      </c>
      <c r="AC20" s="19">
        <f>sum(P2:P27)</f>
        <v>-19934.785</v>
      </c>
      <c r="AD20" s="2"/>
    </row>
    <row r="21" ht="29.25" customHeight="1">
      <c r="A21" s="4"/>
      <c r="B21" s="30"/>
      <c r="C21" s="5"/>
      <c r="D21" s="31"/>
      <c r="E21" s="7"/>
      <c r="F21" s="8" t="str">
        <f t="shared" si="1"/>
        <v>...</v>
      </c>
      <c r="G21" s="97"/>
      <c r="H21" s="98"/>
      <c r="I21" s="15" t="str">
        <f t="shared" si="12"/>
        <v>...</v>
      </c>
      <c r="J21" s="10"/>
      <c r="K21" s="11" t="str">
        <f>IFERROR(__xludf.DUMMYFUNCTION("if(B21=0,""..."",IMPORTXML(""https://www.rava.com/empresas/perfil.php?e=""&amp;B21,""//span[@class='fontsize6']""))"),"...")</f>
        <v>...</v>
      </c>
      <c r="L21" s="10" t="str">
        <f>if(B21=0,"...",K21*(1-VLOOKUP(A21,Config!$B$3:$C$22,2,FALSE)))</f>
        <v>...</v>
      </c>
      <c r="M21" s="15" t="str">
        <f t="shared" si="14"/>
        <v>...</v>
      </c>
      <c r="N21" s="12"/>
      <c r="O21" s="12" t="str">
        <f t="shared" si="4"/>
        <v>...</v>
      </c>
      <c r="P21" s="13" t="str">
        <f t="shared" si="5"/>
        <v>...</v>
      </c>
      <c r="Q21" s="2"/>
      <c r="R21" s="10"/>
      <c r="S21" s="10" t="str">
        <f t="shared" si="6"/>
        <v>...</v>
      </c>
      <c r="T21" s="12" t="str">
        <f t="shared" si="7"/>
        <v/>
      </c>
      <c r="U21" s="10" t="str">
        <f t="shared" si="8"/>
        <v>...</v>
      </c>
      <c r="V21" s="45" t="str">
        <f t="shared" si="9"/>
        <v>...</v>
      </c>
      <c r="W21" s="12" t="str">
        <f t="shared" si="10"/>
        <v>...</v>
      </c>
      <c r="X21" s="10" t="str">
        <f t="shared" si="11"/>
        <v>...</v>
      </c>
      <c r="Y21" s="2"/>
      <c r="AD21" s="2"/>
    </row>
    <row r="22" ht="29.25" customHeight="1">
      <c r="A22" s="4"/>
      <c r="B22" s="30"/>
      <c r="C22" s="5"/>
      <c r="D22" s="31"/>
      <c r="E22" s="7"/>
      <c r="F22" s="8" t="str">
        <f t="shared" si="1"/>
        <v>...</v>
      </c>
      <c r="G22" s="97"/>
      <c r="H22" s="98"/>
      <c r="I22" s="15" t="str">
        <f t="shared" si="12"/>
        <v>...</v>
      </c>
      <c r="J22" s="10"/>
      <c r="K22" s="11" t="str">
        <f>IFERROR(__xludf.DUMMYFUNCTION("if(B22=0,""..."",IMPORTXML(""https://www.rava.com/empresas/perfil.php?e=""&amp;B22,""//span[@class='fontsize6']""))"),"...")</f>
        <v>...</v>
      </c>
      <c r="L22" s="10" t="str">
        <f>if(B22=0,"...",K22*(1-VLOOKUP(A22,Config!$B$3:$C$22,2,FALSE)))</f>
        <v>...</v>
      </c>
      <c r="M22" s="15" t="str">
        <f t="shared" si="14"/>
        <v>...</v>
      </c>
      <c r="N22" s="12"/>
      <c r="O22" s="12" t="str">
        <f t="shared" si="4"/>
        <v>...</v>
      </c>
      <c r="P22" s="13" t="str">
        <f t="shared" si="5"/>
        <v>...</v>
      </c>
      <c r="Q22" s="2"/>
      <c r="R22" s="10"/>
      <c r="S22" s="10" t="str">
        <f t="shared" si="6"/>
        <v>...</v>
      </c>
      <c r="T22" s="12" t="str">
        <f t="shared" si="7"/>
        <v/>
      </c>
      <c r="U22" s="10" t="str">
        <f t="shared" si="8"/>
        <v>...</v>
      </c>
      <c r="V22" s="45" t="str">
        <f t="shared" si="9"/>
        <v>...</v>
      </c>
      <c r="W22" s="12" t="str">
        <f t="shared" si="10"/>
        <v>...</v>
      </c>
      <c r="X22" s="10" t="str">
        <f t="shared" si="11"/>
        <v>...</v>
      </c>
      <c r="Y22" s="2"/>
      <c r="Z22" s="18" t="s">
        <v>53</v>
      </c>
      <c r="AA22" s="22">
        <f>AA20/(AA18-AA20)</f>
        <v>-0.01012228115</v>
      </c>
      <c r="AB22" s="18" t="s">
        <v>53</v>
      </c>
      <c r="AC22" s="22">
        <f>AC20/(AC18-AC20)</f>
        <v>-0.005304432826</v>
      </c>
      <c r="AD22" s="2"/>
    </row>
    <row r="23" ht="29.25" customHeight="1">
      <c r="A23" s="4"/>
      <c r="B23" s="30"/>
      <c r="C23" s="5"/>
      <c r="D23" s="31"/>
      <c r="E23" s="7"/>
      <c r="F23" s="8" t="str">
        <f t="shared" si="1"/>
        <v>...</v>
      </c>
      <c r="G23" s="97"/>
      <c r="H23" s="98"/>
      <c r="I23" s="15" t="str">
        <f t="shared" si="12"/>
        <v>...</v>
      </c>
      <c r="J23" s="10"/>
      <c r="K23" s="11" t="str">
        <f>IFERROR(__xludf.DUMMYFUNCTION("if(B23=0,""..."",IMPORTXML(""https://www.rava.com/empresas/perfil.php?e=""&amp;B23,""//span[@class='fontsize6']""))"),"...")</f>
        <v>...</v>
      </c>
      <c r="L23" s="10" t="str">
        <f>if(B23=0,"...",K23*(1-VLOOKUP(A23,Config!$B$3:$C$22,2,FALSE)))</f>
        <v>...</v>
      </c>
      <c r="M23" s="15" t="str">
        <f t="shared" si="14"/>
        <v>...</v>
      </c>
      <c r="N23" s="12"/>
      <c r="O23" s="12" t="str">
        <f t="shared" si="4"/>
        <v>...</v>
      </c>
      <c r="P23" s="13" t="str">
        <f t="shared" si="5"/>
        <v>...</v>
      </c>
      <c r="Q23" s="2"/>
      <c r="R23" s="10"/>
      <c r="S23" s="10" t="str">
        <f t="shared" si="6"/>
        <v>...</v>
      </c>
      <c r="T23" s="12" t="str">
        <f t="shared" si="7"/>
        <v/>
      </c>
      <c r="U23" s="10" t="str">
        <f t="shared" si="8"/>
        <v>...</v>
      </c>
      <c r="V23" s="45" t="str">
        <f t="shared" si="9"/>
        <v>...</v>
      </c>
      <c r="W23" s="12" t="str">
        <f t="shared" si="10"/>
        <v>...</v>
      </c>
      <c r="X23" s="10" t="str">
        <f t="shared" si="11"/>
        <v>...</v>
      </c>
      <c r="Y23" s="2"/>
      <c r="AD23" s="2"/>
    </row>
    <row r="24" ht="29.25" customHeight="1">
      <c r="A24" s="4"/>
      <c r="B24" s="30"/>
      <c r="C24" s="5"/>
      <c r="D24" s="31"/>
      <c r="E24" s="7"/>
      <c r="F24" s="8" t="str">
        <f t="shared" si="1"/>
        <v>...</v>
      </c>
      <c r="G24" s="97"/>
      <c r="H24" s="98"/>
      <c r="I24" s="15" t="str">
        <f t="shared" si="12"/>
        <v>...</v>
      </c>
      <c r="J24" s="10"/>
      <c r="K24" s="11" t="str">
        <f>IFERROR(__xludf.DUMMYFUNCTION("if(B24=0,""..."",IMPORTXML(""https://www.rava.com/empresas/perfil.php?e=""&amp;B24,""//span[@class='fontsize6']""))"),"...")</f>
        <v>...</v>
      </c>
      <c r="L24" s="10" t="str">
        <f>if(B24=0,"...",K24*(1-VLOOKUP(A24,Config!$B$3:$C$22,2,FALSE)))</f>
        <v>...</v>
      </c>
      <c r="M24" s="15" t="str">
        <f t="shared" si="14"/>
        <v>...</v>
      </c>
      <c r="N24" s="12"/>
      <c r="O24" s="12" t="str">
        <f t="shared" si="4"/>
        <v>...</v>
      </c>
      <c r="P24" s="13" t="str">
        <f t="shared" si="5"/>
        <v>...</v>
      </c>
      <c r="Q24" s="2"/>
      <c r="R24" s="10"/>
      <c r="S24" s="10" t="str">
        <f t="shared" si="6"/>
        <v>...</v>
      </c>
      <c r="T24" s="12" t="str">
        <f t="shared" si="7"/>
        <v/>
      </c>
      <c r="U24" s="10" t="str">
        <f t="shared" si="8"/>
        <v>...</v>
      </c>
      <c r="V24" s="45" t="str">
        <f t="shared" si="9"/>
        <v>...</v>
      </c>
      <c r="W24" s="12" t="str">
        <f t="shared" si="10"/>
        <v>...</v>
      </c>
      <c r="X24" s="10" t="str">
        <f t="shared" si="11"/>
        <v>...</v>
      </c>
      <c r="Y24" s="2"/>
      <c r="Z24" s="2"/>
      <c r="AA24" s="2"/>
      <c r="AB24" s="2"/>
      <c r="AC24" s="2"/>
      <c r="AD24" s="2"/>
    </row>
    <row r="25" ht="29.25" customHeight="1">
      <c r="A25" s="4"/>
      <c r="B25" s="30"/>
      <c r="C25" s="5"/>
      <c r="D25" s="31"/>
      <c r="E25" s="7"/>
      <c r="F25" s="8" t="str">
        <f t="shared" si="1"/>
        <v>...</v>
      </c>
      <c r="G25" s="97"/>
      <c r="H25" s="98"/>
      <c r="I25" s="15" t="str">
        <f t="shared" si="12"/>
        <v>...</v>
      </c>
      <c r="J25" s="10"/>
      <c r="K25" s="11" t="str">
        <f>IFERROR(__xludf.DUMMYFUNCTION("if(B25=0,""..."",IMPORTXML(""https://www.rava.com/empresas/perfil.php?e=""&amp;B25,""//span[@class='fontsize6']""))"),"...")</f>
        <v>...</v>
      </c>
      <c r="L25" s="10" t="str">
        <f>if(B25=0,"...",K25*(1-VLOOKUP(A25,Config!$B$3:$C$22,2,FALSE)))</f>
        <v>...</v>
      </c>
      <c r="M25" s="15" t="str">
        <f t="shared" si="14"/>
        <v>...</v>
      </c>
      <c r="N25" s="12"/>
      <c r="O25" s="12" t="str">
        <f t="shared" si="4"/>
        <v>...</v>
      </c>
      <c r="P25" s="13" t="str">
        <f t="shared" si="5"/>
        <v>...</v>
      </c>
      <c r="Q25" s="2"/>
      <c r="R25" s="10"/>
      <c r="S25" s="10" t="str">
        <f t="shared" si="6"/>
        <v>...</v>
      </c>
      <c r="T25" s="12" t="str">
        <f t="shared" si="7"/>
        <v/>
      </c>
      <c r="U25" s="10" t="str">
        <f t="shared" si="8"/>
        <v>...</v>
      </c>
      <c r="V25" s="45" t="str">
        <f t="shared" si="9"/>
        <v>...</v>
      </c>
      <c r="W25" s="12" t="str">
        <f t="shared" si="10"/>
        <v>...</v>
      </c>
      <c r="X25" s="10" t="str">
        <f t="shared" si="11"/>
        <v>...</v>
      </c>
      <c r="Y25" s="2"/>
      <c r="Z25" s="2"/>
      <c r="AA25" s="2"/>
      <c r="AB25" s="2"/>
      <c r="AC25" s="2"/>
      <c r="AD25" s="2"/>
    </row>
    <row r="26" ht="29.25" customHeight="1">
      <c r="A26" s="4"/>
      <c r="B26" s="30"/>
      <c r="C26" s="5"/>
      <c r="D26" s="31"/>
      <c r="E26" s="7"/>
      <c r="F26" s="8" t="str">
        <f t="shared" si="1"/>
        <v>...</v>
      </c>
      <c r="G26" s="97"/>
      <c r="H26" s="98"/>
      <c r="I26" s="15" t="str">
        <f t="shared" si="12"/>
        <v>...</v>
      </c>
      <c r="J26" s="10"/>
      <c r="K26" s="11" t="str">
        <f>IFERROR(__xludf.DUMMYFUNCTION("if(B26=0,""..."",IMPORTXML(""https://www.rava.com/empresas/perfil.php?e=""&amp;B26,""//span[@class='fontsize6']""))"),"...")</f>
        <v>...</v>
      </c>
      <c r="L26" s="10" t="str">
        <f>if(B26=0,"...",K26*(1-VLOOKUP(A26,Config!$B$3:$C$22,2,FALSE)))</f>
        <v>...</v>
      </c>
      <c r="M26" s="15" t="str">
        <f t="shared" si="14"/>
        <v>...</v>
      </c>
      <c r="N26" s="12"/>
      <c r="O26" s="12" t="str">
        <f t="shared" si="4"/>
        <v>...</v>
      </c>
      <c r="P26" s="13" t="str">
        <f t="shared" si="5"/>
        <v>...</v>
      </c>
      <c r="Q26" s="2"/>
      <c r="R26" s="10"/>
      <c r="S26" s="10" t="str">
        <f t="shared" si="6"/>
        <v>...</v>
      </c>
      <c r="T26" s="12" t="str">
        <f t="shared" si="7"/>
        <v/>
      </c>
      <c r="U26" s="10" t="str">
        <f t="shared" si="8"/>
        <v>...</v>
      </c>
      <c r="V26" s="45" t="str">
        <f t="shared" si="9"/>
        <v>...</v>
      </c>
      <c r="W26" s="12" t="str">
        <f t="shared" si="10"/>
        <v>...</v>
      </c>
      <c r="X26" s="10" t="str">
        <f t="shared" si="11"/>
        <v>...</v>
      </c>
      <c r="Y26" s="2"/>
      <c r="Z26" s="23" t="s">
        <v>56</v>
      </c>
      <c r="AA26" s="24" t="s">
        <v>57</v>
      </c>
      <c r="AB26" s="25" t="s">
        <v>58</v>
      </c>
      <c r="AC26" s="2"/>
      <c r="AD26" s="2"/>
    </row>
    <row r="27" ht="29.25" customHeight="1">
      <c r="A27" s="4"/>
      <c r="B27" s="30"/>
      <c r="C27" s="5"/>
      <c r="D27" s="31"/>
      <c r="E27" s="7"/>
      <c r="F27" s="8" t="str">
        <f t="shared" si="1"/>
        <v>...</v>
      </c>
      <c r="G27" s="97"/>
      <c r="H27" s="98"/>
      <c r="I27" s="15" t="str">
        <f t="shared" si="12"/>
        <v>...</v>
      </c>
      <c r="J27" s="10"/>
      <c r="K27" s="11" t="str">
        <f>IFERROR(__xludf.DUMMYFUNCTION("if(B27=0,""..."",IMPORTXML(""https://www.rava.com/empresas/perfil.php?e=""&amp;B27,""//span[@class='fontsize6']""))"),"...")</f>
        <v>...</v>
      </c>
      <c r="L27" s="10" t="str">
        <f>if(B27=0,"...",K27*(1-VLOOKUP(A27,Config!$B$3:$C$22,2,FALSE)))</f>
        <v>...</v>
      </c>
      <c r="M27" s="15" t="str">
        <f t="shared" si="14"/>
        <v>...</v>
      </c>
      <c r="N27" s="12"/>
      <c r="O27" s="12" t="str">
        <f t="shared" si="4"/>
        <v>...</v>
      </c>
      <c r="P27" s="13" t="str">
        <f t="shared" si="5"/>
        <v>...</v>
      </c>
      <c r="Q27" s="2"/>
      <c r="R27" s="10"/>
      <c r="S27" s="10" t="str">
        <f t="shared" si="6"/>
        <v>...</v>
      </c>
      <c r="T27" s="12" t="str">
        <f t="shared" si="7"/>
        <v/>
      </c>
      <c r="U27" s="10" t="str">
        <f t="shared" si="8"/>
        <v>...</v>
      </c>
      <c r="V27" s="45" t="str">
        <f t="shared" si="9"/>
        <v>...</v>
      </c>
      <c r="W27" s="12" t="str">
        <f t="shared" si="10"/>
        <v>...</v>
      </c>
      <c r="X27" s="10" t="str">
        <f t="shared" si="11"/>
        <v>...</v>
      </c>
      <c r="Y27" s="2"/>
      <c r="Z27" s="26"/>
      <c r="AA27" s="24" t="s">
        <v>59</v>
      </c>
      <c r="AB27" s="25">
        <v>14.0</v>
      </c>
      <c r="AC27" s="2"/>
      <c r="AD27" s="2"/>
    </row>
    <row r="28" ht="29.25" customHeight="1">
      <c r="A28" s="2"/>
      <c r="B28" s="2"/>
      <c r="C28" s="2"/>
      <c r="D28" s="2"/>
      <c r="E28" s="2"/>
      <c r="F28" s="2"/>
      <c r="G28" s="99"/>
      <c r="H28" s="100"/>
      <c r="I28" s="100"/>
      <c r="J28" s="2"/>
      <c r="K28" s="2"/>
      <c r="L28" s="2"/>
      <c r="M28" s="100"/>
      <c r="N28" s="2"/>
      <c r="O28" s="2"/>
      <c r="P28" s="2"/>
      <c r="Q28" s="2"/>
      <c r="R28" s="2"/>
      <c r="S28" s="2"/>
      <c r="T28" s="2"/>
      <c r="U28" s="2"/>
      <c r="V28" s="53"/>
      <c r="W28" s="2"/>
      <c r="X28" s="2"/>
      <c r="Y28" s="2"/>
      <c r="Z28" s="2"/>
      <c r="AA28" s="2"/>
      <c r="AB28" s="2"/>
      <c r="AC28" s="2"/>
      <c r="AD28" s="2"/>
    </row>
  </sheetData>
  <mergeCells count="13">
    <mergeCell ref="Z20:Z21"/>
    <mergeCell ref="Z22:Z23"/>
    <mergeCell ref="AA22:AA23"/>
    <mergeCell ref="AB22:AB23"/>
    <mergeCell ref="AC22:AC23"/>
    <mergeCell ref="Z26:Z27"/>
    <mergeCell ref="Z18:Z19"/>
    <mergeCell ref="AA18:AA19"/>
    <mergeCell ref="AB18:AB19"/>
    <mergeCell ref="AC18:AC19"/>
    <mergeCell ref="AA20:AA21"/>
    <mergeCell ref="AB20:AB21"/>
    <mergeCell ref="AC20:AC21"/>
  </mergeCells>
  <conditionalFormatting sqref="O2:O27">
    <cfRule type="cellIs" dxfId="0" priority="1" operator="greaterThanOrEqual">
      <formula>"10%"</formula>
    </cfRule>
  </conditionalFormatting>
  <conditionalFormatting sqref="O2:O27">
    <cfRule type="cellIs" dxfId="1" priority="2" operator="between">
      <formula>"1%"</formula>
      <formula>"10%"</formula>
    </cfRule>
  </conditionalFormatting>
  <conditionalFormatting sqref="O2:O27">
    <cfRule type="cellIs" dxfId="2" priority="3" operator="lessThanOrEqual">
      <formula>"-10%"</formula>
    </cfRule>
  </conditionalFormatting>
  <conditionalFormatting sqref="O2:O27">
    <cfRule type="cellIs" dxfId="3" priority="4" operator="between">
      <formula>"-1%"</formula>
      <formula>"-10%"</formula>
    </cfRule>
  </conditionalFormatting>
  <conditionalFormatting sqref="O2:O27">
    <cfRule type="cellIs" dxfId="4" priority="5" operator="between">
      <formula>"-1%"</formula>
      <formula>"1%"</formula>
    </cfRule>
  </conditionalFormatting>
  <conditionalFormatting sqref="K2:K27">
    <cfRule type="expression" dxfId="5" priority="6">
      <formula>K2&gt;J2</formula>
    </cfRule>
  </conditionalFormatting>
  <conditionalFormatting sqref="K2:K27">
    <cfRule type="expression" dxfId="6" priority="7">
      <formula>K2&lt;J2</formula>
    </cfRule>
  </conditionalFormatting>
  <conditionalFormatting sqref="D2:D27">
    <cfRule type="containsText" dxfId="7" priority="8" operator="containsText" text="ABIERTA">
      <formula>NOT(ISERROR(SEARCH(("ABIERTA"),(D2))))</formula>
    </cfRule>
  </conditionalFormatting>
  <conditionalFormatting sqref="D2:D27">
    <cfRule type="containsText" dxfId="8" priority="9" operator="containsText" text="CERRADA">
      <formula>NOT(ISERROR(SEARCH(("CERRADA"),(D2))))</formula>
    </cfRule>
  </conditionalFormatting>
  <conditionalFormatting sqref="AA20:AA23 AC20:AC23">
    <cfRule type="cellIs" dxfId="9" priority="10" operator="greaterThanOrEqual">
      <formula>0</formula>
    </cfRule>
  </conditionalFormatting>
  <conditionalFormatting sqref="AA20:AA23 AC20:AC23">
    <cfRule type="cellIs" dxfId="10" priority="11" operator="lessThan">
      <formula>0</formula>
    </cfRule>
  </conditionalFormatting>
  <dataValidations>
    <dataValidation type="list" allowBlank="1" sqref="A2:A27">
      <formula1>Config!$B$3:$B$22</formula1>
    </dataValidation>
    <dataValidation type="list" allowBlank="1" sqref="D2:D27">
      <formula1>"ABIERTA,CERRADA"</formula1>
    </dataValidation>
    <dataValidation type="list" allowBlank="1" sqref="AB27">
      <formula1>"7,14,28,365"</formula1>
    </dataValidation>
    <dataValidation type="list" allowBlank="1" sqref="AB26">
      <formula1>"line,column"</formula1>
    </dataValidation>
    <dataValidation type="custom" allowBlank="1" showDropDown="1" sqref="C2:C27 E2:E27">
      <formula1>OR(NOT(ISERROR(DATEVALUE(C2))), AND(ISNUMBER(C2), LEFT(CELL("format", C2))="D"))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38"/>
    <col customWidth="1" min="3" max="3" width="18.0"/>
    <col customWidth="1" min="4" max="4" width="16.75"/>
    <col customWidth="1" min="5" max="6" width="16.13"/>
    <col customWidth="1" min="7" max="7" width="20.88"/>
  </cols>
  <sheetData>
    <row r="1" ht="23.25" customHeight="1">
      <c r="A1" s="101" t="s">
        <v>164</v>
      </c>
      <c r="B1" s="101" t="s">
        <v>165</v>
      </c>
      <c r="C1" s="101" t="s">
        <v>166</v>
      </c>
      <c r="D1" s="101" t="s">
        <v>167</v>
      </c>
      <c r="E1" s="102" t="s">
        <v>168</v>
      </c>
      <c r="F1" s="103" t="s">
        <v>169</v>
      </c>
      <c r="G1" s="101" t="s">
        <v>170</v>
      </c>
      <c r="M1" s="23" t="s">
        <v>56</v>
      </c>
      <c r="N1" s="24" t="s">
        <v>57</v>
      </c>
      <c r="O1" s="25" t="s">
        <v>58</v>
      </c>
    </row>
    <row r="2" ht="23.25" customHeight="1">
      <c r="A2" s="104" t="str">
        <f>IFERROR(__xludf.DUMMYFUNCTION("Unique(Filter({'Cartera corto plazo'!B2:B60;'Cartera Jubilación'!B2:B60},{'Cartera corto plazo'!E2:E60;'Cartera Jubilación'!E2:E60}=""ABIERTA""))"),"MSFT")</f>
        <v>MSFT</v>
      </c>
      <c r="C2" s="105">
        <f>IFERROR(__xludf.DUMMYFUNCTION("GOOGLEFINANCE(A2)"),373.46)</f>
        <v>373.46</v>
      </c>
      <c r="D2" s="106" t="str">
        <f>VLOOKUP(A2,'Info Cedears'!$A$3:$N$340,13,0)</f>
        <v>30:1</v>
      </c>
      <c r="E2" s="104">
        <f>IFERROR(__xludf.DUMMYFUNCTION("IFERROR(INDEX(SPLIT(D2,"":""),1)/INDEX(SPLIT(D2,"":""),2),"""")"),30.0)</f>
        <v>30</v>
      </c>
      <c r="F2" s="107">
        <f>C2*CCL!$K$10/E2</f>
        <v>18628.04037</v>
      </c>
      <c r="G2" s="104" t="str">
        <f>IFERROR(__xludf.DUMMYFUNCTION("IF(A2=0,""..."", sparkline(query(GOOGLEFINANCE(A2,""price"",TODAY()-$O$2,TODAY()),""select Col2"",0),{""charttype"",$O$1}))"),"")</f>
        <v/>
      </c>
      <c r="M2" s="26"/>
      <c r="N2" s="24" t="s">
        <v>59</v>
      </c>
      <c r="O2" s="25">
        <v>28.0</v>
      </c>
    </row>
    <row r="3" ht="23.25" customHeight="1">
      <c r="A3" s="104" t="str">
        <f>IFERROR(__xludf.DUMMYFUNCTION("""COMPUTED_VALUE"""),"EWZ")</f>
        <v>EWZ</v>
      </c>
      <c r="C3" s="105">
        <f>IFERROR(__xludf.DUMMYFUNCTION("GOOGLEFINANCE(A3)"),38.35)</f>
        <v>38.35</v>
      </c>
      <c r="D3" s="106" t="str">
        <f>VLOOKUP(A3,'Info Cedears'!$A$3:$N$340,13,0)</f>
        <v>2:1</v>
      </c>
      <c r="E3" s="104">
        <f>IFERROR(__xludf.DUMMYFUNCTION("IFERROR(INDEX(SPLIT(D3,"":""),1)/INDEX(SPLIT(D3,"":""),2),"""")"),2.0)</f>
        <v>2</v>
      </c>
      <c r="F3" s="107">
        <f>C3*CCL!$K$10/E3</f>
        <v>28693.24754</v>
      </c>
      <c r="G3" s="104" t="str">
        <f>IFERROR(__xludf.DUMMYFUNCTION("IF(A3=0,""..."", sparkline(query(GOOGLEFINANCE(A3,""price"",TODAY()-$O$2,TODAY()),""select Col2"",0),{""charttype"",$O$1}))"),"")</f>
        <v/>
      </c>
    </row>
    <row r="4" ht="23.25" customHeight="1">
      <c r="A4" s="104" t="str">
        <f>IFERROR(__xludf.DUMMYFUNCTION("""COMPUTED_VALUE"""),"JPM")</f>
        <v>JPM</v>
      </c>
      <c r="C4" s="105">
        <f>IFERROR(__xludf.DUMMYFUNCTION("GOOGLEFINANCE(A4)"),294.6)</f>
        <v>294.6</v>
      </c>
      <c r="D4" s="106" t="str">
        <f>VLOOKUP(A4,'Info Cedears'!$A$3:$N$340,13,0)</f>
        <v>15:1</v>
      </c>
      <c r="E4" s="104">
        <f>IFERROR(__xludf.DUMMYFUNCTION("IFERROR(INDEX(SPLIT(D4,"":""),1)/INDEX(SPLIT(D4,"":""),2),"""")"),15.0)</f>
        <v>15</v>
      </c>
      <c r="F4" s="107">
        <f>C4*CCL!$K$10/E4</f>
        <v>29389.06814</v>
      </c>
      <c r="G4" s="104" t="str">
        <f>IFERROR(__xludf.DUMMYFUNCTION("IF(A4=0,""..."", sparkline(query(GOOGLEFINANCE(A4,""price"",TODAY()-$O$2,TODAY()),""select Col2"",0),{""charttype"",$O$1}))"),"")</f>
        <v/>
      </c>
    </row>
    <row r="5" ht="23.25" customHeight="1">
      <c r="A5" s="104" t="str">
        <f>IFERROR(__xludf.DUMMYFUNCTION("""COMPUTED_VALUE"""),"META")</f>
        <v>META</v>
      </c>
      <c r="C5" s="105">
        <f>IFERROR(__xludf.DUMMYFUNCTION("GOOGLEFINANCE(A5)"),574.46)</f>
        <v>574.46</v>
      </c>
      <c r="D5" s="106" t="str">
        <f>VLOOKUP(A5,'Info Cedears'!$A$3:$N$340,13,0)</f>
        <v>24:1</v>
      </c>
      <c r="E5" s="104">
        <f>IFERROR(__xludf.DUMMYFUNCTION("IFERROR(INDEX(SPLIT(D5,"":""),1)/INDEX(SPLIT(D5,"":""),2),"""")"),24.0)</f>
        <v>24</v>
      </c>
      <c r="F5" s="107">
        <f>C5*CCL!$K$10/E5</f>
        <v>35817.3033</v>
      </c>
      <c r="G5" s="104" t="str">
        <f>IFERROR(__xludf.DUMMYFUNCTION("IF(A5=0,""..."", sparkline(query(GOOGLEFINANCE(A5,""price"",TODAY()-$O$2,TODAY()),""select Col2"",0),{""charttype"",$O$1}))"),"")</f>
        <v/>
      </c>
    </row>
    <row r="6" ht="23.25" customHeight="1">
      <c r="A6" s="104" t="str">
        <f>IFERROR(__xludf.DUMMYFUNCTION("""COMPUTED_VALUE"""),"NVDA")</f>
        <v>NVDA</v>
      </c>
      <c r="C6" s="105">
        <f>IFERROR(__xludf.DUMMYFUNCTION("GOOGLEFINANCE(A6)"),177.39)</f>
        <v>177.39</v>
      </c>
      <c r="D6" s="106" t="str">
        <f>VLOOKUP(A6,'Info Cedears'!$A$3:$N$340,13,0)</f>
        <v>24:1</v>
      </c>
      <c r="E6" s="104">
        <f>IFERROR(__xludf.DUMMYFUNCTION("IFERROR(INDEX(SPLIT(D6,"":""),1)/INDEX(SPLIT(D6,"":""),2),"""")"),24.0)</f>
        <v>24</v>
      </c>
      <c r="F6" s="107">
        <f>C6*CCL!$K$10/E6</f>
        <v>11060.18075</v>
      </c>
      <c r="G6" s="104" t="str">
        <f>IFERROR(__xludf.DUMMYFUNCTION("IF(A6=0,""..."", sparkline(query(GOOGLEFINANCE(A6,""price"",TODAY()-$O$2,TODAY()),""select Col2"",0),{""charttype"",$O$1}))"),"")</f>
        <v/>
      </c>
    </row>
    <row r="7" ht="23.25" customHeight="1">
      <c r="A7" s="104" t="str">
        <f>IFERROR(__xludf.DUMMYFUNCTION("""COMPUTED_VALUE"""),"MELI")</f>
        <v>MELI</v>
      </c>
      <c r="C7" s="105">
        <f>IFERROR(__xludf.DUMMYFUNCTION("GOOGLEFINANCE(A7)"),1715.52)</f>
        <v>1715.52</v>
      </c>
      <c r="D7" s="106" t="str">
        <f>VLOOKUP(A7,'Info Cedears'!$A$3:$N$340,13,0)</f>
        <v>120:1</v>
      </c>
      <c r="E7" s="104">
        <f>IFERROR(__xludf.DUMMYFUNCTION("IFERROR(INDEX(SPLIT(D7,"":""),1)/INDEX(SPLIT(D7,"":""),2),"""")"),120.0)</f>
        <v>120</v>
      </c>
      <c r="F7" s="107">
        <f>C7*CCL!$K$10/E7</f>
        <v>21392.36854</v>
      </c>
      <c r="G7" s="104" t="str">
        <f>IFERROR(__xludf.DUMMYFUNCTION("IF(A7=0,""..."", sparkline(query(GOOGLEFINANCE(A7,""price"",TODAY()-$O$2,TODAY()),""select Col2"",0),{""charttype"",$O$1}))"),"")</f>
        <v/>
      </c>
    </row>
    <row r="8" ht="23.25" customHeight="1">
      <c r="A8" s="104" t="str">
        <f>IFERROR(__xludf.DUMMYFUNCTION("""COMPUTED_VALUE"""),"AAPL")</f>
        <v>AAPL</v>
      </c>
      <c r="C8" s="105">
        <f>IFERROR(__xludf.DUMMYFUNCTION("GOOGLEFINANCE(A8)"),255.92)</f>
        <v>255.92</v>
      </c>
      <c r="D8" s="106" t="str">
        <f>VLOOKUP(A8,'Info Cedears'!$A$3:$N$340,13,0)</f>
        <v>20:1</v>
      </c>
      <c r="E8" s="104">
        <f>IFERROR(__xludf.DUMMYFUNCTION("IFERROR(INDEX(SPLIT(D8,"":""),1)/INDEX(SPLIT(D8,"":""),2),"""")"),20.0)</f>
        <v>20</v>
      </c>
      <c r="F8" s="107">
        <f>C8*CCL!$K$10/E8</f>
        <v>19147.78595</v>
      </c>
      <c r="G8" s="104" t="str">
        <f>IFERROR(__xludf.DUMMYFUNCTION("IF(A8=0,""..."", sparkline(query(GOOGLEFINANCE(A8,""price"",TODAY()-$O$2,TODAY()),""select Col2"",0),{""charttype"",$O$1}))"),"")</f>
        <v/>
      </c>
    </row>
    <row r="9" ht="23.25" customHeight="1">
      <c r="A9" s="104" t="str">
        <f>IFERROR(__xludf.DUMMYFUNCTION("""COMPUTED_VALUE"""),"GLD")</f>
        <v>GLD</v>
      </c>
      <c r="C9" s="105">
        <f>IFERROR(__xludf.DUMMYFUNCTION("GOOGLEFINANCE(A9)"),429.41)</f>
        <v>429.41</v>
      </c>
      <c r="D9" s="106" t="str">
        <f>VLOOKUP(A9,'Info Cedears'!$A$3:$N$340,13,0)</f>
        <v>50:1</v>
      </c>
      <c r="E9" s="104">
        <f>IFERROR(__xludf.DUMMYFUNCTION("IFERROR(INDEX(SPLIT(D9,"":""),1)/INDEX(SPLIT(D9,"":""),2),"""")"),50.0)</f>
        <v>50</v>
      </c>
      <c r="F9" s="107">
        <f>C9*CCL!$K$10/E9</f>
        <v>12851.28284</v>
      </c>
      <c r="G9" s="104" t="str">
        <f>IFERROR(__xludf.DUMMYFUNCTION("IF(A9=0,""..."", sparkline(query(GOOGLEFINANCE(A9,""price"",TODAY()-$O$2,TODAY()),""select Col2"",0),{""charttype"",$O$1}))"),"")</f>
        <v/>
      </c>
    </row>
    <row r="10" ht="23.25" customHeight="1">
      <c r="A10" s="104" t="str">
        <f>IFERROR(__xludf.DUMMYFUNCTION("""COMPUTED_VALUE"""),"KO")</f>
        <v>KO</v>
      </c>
      <c r="C10" s="105">
        <f>IFERROR(__xludf.DUMMYFUNCTION("GOOGLEFINANCE(A10)"),76.72)</f>
        <v>76.72</v>
      </c>
      <c r="D10" s="106" t="str">
        <f>VLOOKUP(A10,'Info Cedears'!$A$3:$N$340,13,0)</f>
        <v>5:1</v>
      </c>
      <c r="E10" s="104">
        <f>IFERROR(__xludf.DUMMYFUNCTION("IFERROR(INDEX(SPLIT(D10,"":""),1)/INDEX(SPLIT(D10,"":""),2),"""")"),5.0)</f>
        <v>5</v>
      </c>
      <c r="F10" s="107">
        <f>C10*CCL!$K$10/E10</f>
        <v>22960.58358</v>
      </c>
      <c r="G10" s="104" t="str">
        <f>IFERROR(__xludf.DUMMYFUNCTION("IF(A10=0,""..."", sparkline(query(GOOGLEFINANCE(A10,""price"",TODAY()-$O$2,TODAY()),""select Col2"",0),{""charttype"",$O$1}))"),"")</f>
        <v/>
      </c>
    </row>
    <row r="11" ht="23.25" customHeight="1">
      <c r="A11" s="104" t="str">
        <f>IFERROR(__xludf.DUMMYFUNCTION("""COMPUTED_VALUE"""),"NFLX")</f>
        <v>NFLX</v>
      </c>
      <c r="C11" s="105">
        <f>IFERROR(__xludf.DUMMYFUNCTION("GOOGLEFINANCE(A11)"),98.66)</f>
        <v>98.66</v>
      </c>
      <c r="D11" s="106" t="str">
        <f>VLOOKUP(A11,'Info Cedears'!$A$3:$N$340,13,0)</f>
        <v>48:1</v>
      </c>
      <c r="E11" s="104">
        <f>IFERROR(__xludf.DUMMYFUNCTION("IFERROR(INDEX(SPLIT(D11,"":""),1)/INDEX(SPLIT(D11,"":""),2),"""")"),48.0)</f>
        <v>48</v>
      </c>
      <c r="F11" s="107">
        <f>C11*CCL!$K$10/E11</f>
        <v>3075.701654</v>
      </c>
      <c r="G11" s="104" t="str">
        <f>IFERROR(__xludf.DUMMYFUNCTION("IF(A11=0,""..."", sparkline(query(GOOGLEFINANCE(A11,""price"",TODAY()-$O$2,TODAY()),""select Col2"",0),{""charttype"",$O$1}))"),"")</f>
        <v/>
      </c>
    </row>
    <row r="12" ht="23.25" customHeight="1">
      <c r="A12" s="104" t="str">
        <f>IFERROR(__xludf.DUMMYFUNCTION("""COMPUTED_VALUE"""),"PFE")</f>
        <v>PFE</v>
      </c>
      <c r="C12" s="105">
        <f>IFERROR(__xludf.DUMMYFUNCTION("GOOGLEFINANCE(A12)"),28.32)</f>
        <v>28.32</v>
      </c>
      <c r="D12" s="106" t="str">
        <f>VLOOKUP(A12,'Info Cedears'!$A$3:$N$340,13,0)</f>
        <v>4:1</v>
      </c>
      <c r="E12" s="104">
        <f>IFERROR(__xludf.DUMMYFUNCTION("IFERROR(INDEX(SPLIT(D12,"":""),1)/INDEX(SPLIT(D12,"":""),2),"""")"),4.0)</f>
        <v>4</v>
      </c>
      <c r="F12" s="107">
        <f>C12*CCL!$K$10/E12</f>
        <v>10594.42986</v>
      </c>
      <c r="G12" s="104" t="str">
        <f>IFERROR(__xludf.DUMMYFUNCTION("IF(A12=0,""..."", sparkline(query(GOOGLEFINANCE(A12,""price"",TODAY()-$O$2,TODAY()),""select Col2"",0),{""charttype"",$O$1}))"),"")</f>
        <v/>
      </c>
    </row>
    <row r="13" ht="23.25" customHeight="1">
      <c r="A13" s="104" t="str">
        <f>IFERROR(__xludf.DUMMYFUNCTION("""COMPUTED_VALUE"""),"ADBE")</f>
        <v>ADBE</v>
      </c>
      <c r="C13" s="105">
        <f>IFERROR(__xludf.DUMMYFUNCTION("GOOGLEFINANCE(A13)"),242.92)</f>
        <v>242.92</v>
      </c>
      <c r="D13" s="106" t="str">
        <f>VLOOKUP(A13,'Info Cedears'!$A$3:$N$340,13,0)</f>
        <v>44:1</v>
      </c>
      <c r="E13" s="104">
        <f>IFERROR(__xludf.DUMMYFUNCTION("IFERROR(INDEX(SPLIT(D13,"":""),1)/INDEX(SPLIT(D13,"":""),2),"""")"),44.0)</f>
        <v>44</v>
      </c>
      <c r="F13" s="107">
        <f>C13*CCL!$K$10/E13</f>
        <v>8261.424312</v>
      </c>
      <c r="G13" s="104" t="str">
        <f>IFERROR(__xludf.DUMMYFUNCTION("IF(A13=0,""..."", sparkline(query(GOOGLEFINANCE(A13,""price"",TODAY()-$O$2,TODAY()),""select Col2"",0),{""charttype"",$O$1}))"),"")</f>
        <v/>
      </c>
    </row>
    <row r="14" ht="23.25" customHeight="1">
      <c r="A14" s="104" t="str">
        <f>IFERROR(__xludf.DUMMYFUNCTION("""COMPUTED_VALUE"""),"INTC")</f>
        <v>INTC</v>
      </c>
      <c r="C14" s="105">
        <f>IFERROR(__xludf.DUMMYFUNCTION("GOOGLEFINANCE(A14)"),50.38)</f>
        <v>50.38</v>
      </c>
      <c r="D14" s="106" t="str">
        <f>VLOOKUP(A14,'Info Cedears'!$A$3:$N$340,13,0)</f>
        <v>5:1</v>
      </c>
      <c r="E14" s="104">
        <f>IFERROR(__xludf.DUMMYFUNCTION("IFERROR(INDEX(SPLIT(D14,"":""),1)/INDEX(SPLIT(D14,"":""),2),"""")"),5.0)</f>
        <v>5</v>
      </c>
      <c r="F14" s="107">
        <f>C14*CCL!$K$10/E14</f>
        <v>15077.6095</v>
      </c>
      <c r="G14" s="104" t="str">
        <f>IFERROR(__xludf.DUMMYFUNCTION("IF(A14=0,""..."", sparkline(query(GOOGLEFINANCE(A14,""price"",TODAY()-$O$2,TODAY()),""select Col2"",0),{""charttype"",$O$1}))"),"")</f>
        <v/>
      </c>
    </row>
    <row r="15" ht="23.25" customHeight="1">
      <c r="A15" s="104" t="str">
        <f>IFERROR(__xludf.DUMMYFUNCTION("""COMPUTED_VALUE"""),"SPXL")</f>
        <v>SPXL</v>
      </c>
      <c r="C15" s="105">
        <f>IFERROR(__xludf.DUMMYFUNCTION("GOOGLEFINANCE(A15)"),189.6)</f>
        <v>189.6</v>
      </c>
      <c r="D15" s="106" t="str">
        <f>VLOOKUP(A15,'Info Cedears'!$A$3:$N$340,13,0)</f>
        <v>#N/A</v>
      </c>
      <c r="E15" s="104" t="str">
        <f>IFERROR(__xludf.DUMMYFUNCTION("IFERROR(INDEX(SPLIT(D15,"":""),1)/INDEX(SPLIT(D15,"":""),2),"""")"),"")</f>
        <v/>
      </c>
      <c r="F15" s="107" t="str">
        <f>C15*CCL!$K$10/E15</f>
        <v>#DIV/0!</v>
      </c>
      <c r="G15" s="104" t="str">
        <f>IFERROR(__xludf.DUMMYFUNCTION("IF(A15=0,""..."", sparkline(query(GOOGLEFINANCE(A15,""price"",TODAY()-$O$2,TODAY()),""select Col2"",0),{""charttype"",$O$1}))"),"")</f>
        <v/>
      </c>
    </row>
    <row r="16" ht="23.25" customHeight="1">
      <c r="A16" s="104" t="str">
        <f>IFERROR(__xludf.DUMMYFUNCTION("""COMPUTED_VALUE"""),"SPY")</f>
        <v>SPY</v>
      </c>
      <c r="C16" s="105">
        <f>IFERROR(__xludf.DUMMYFUNCTION("GOOGLEFINANCE(A16)"),655.83)</f>
        <v>655.83</v>
      </c>
      <c r="D16" s="106" t="str">
        <f>VLOOKUP(A16,'Info Cedears'!$A$3:$N$340,13,0)</f>
        <v>20:1</v>
      </c>
      <c r="E16" s="104">
        <f>IFERROR(__xludf.DUMMYFUNCTION("IFERROR(INDEX(SPLIT(D16,"":""),1)/INDEX(SPLIT(D16,"":""),2),"""")"),20.0)</f>
        <v>20</v>
      </c>
      <c r="F16" s="107">
        <f>C16*CCL!$K$10/E16</f>
        <v>49068.82016</v>
      </c>
      <c r="G16" s="104" t="str">
        <f>IFERROR(__xludf.DUMMYFUNCTION("IF(A16=0,""..."", sparkline(query(GOOGLEFINANCE(A16,""price"",TODAY()-$O$2,TODAY()),""select Col2"",0),{""charttype"",$O$1}))"),"")</f>
        <v/>
      </c>
    </row>
    <row r="17" ht="23.25" customHeight="1">
      <c r="A17" s="104" t="str">
        <f>IFERROR(__xludf.DUMMYFUNCTION("""COMPUTED_VALUE"""),"TSLA")</f>
        <v>TSLA</v>
      </c>
      <c r="C17" s="105">
        <f>IFERROR(__xludf.DUMMYFUNCTION("GOOGLEFINANCE(A17)"),360.59)</f>
        <v>360.59</v>
      </c>
      <c r="D17" s="106" t="str">
        <f>VLOOKUP(A17,'Info Cedears'!$A$3:$N$340,13,0)</f>
        <v>15:1</v>
      </c>
      <c r="E17" s="104">
        <f>IFERROR(__xludf.DUMMYFUNCTION("IFERROR(INDEX(SPLIT(D17,"":""),1)/INDEX(SPLIT(D17,"":""),2),"""")"),15.0)</f>
        <v>15</v>
      </c>
      <c r="F17" s="107">
        <f>C17*CCL!$K$10/E17</f>
        <v>35972.1795</v>
      </c>
      <c r="G17" s="104" t="str">
        <f>IFERROR(__xludf.DUMMYFUNCTION("IF(A17=0,""..."", sparkline(query(GOOGLEFINANCE(A17,""price"",TODAY()-$O$2,TODAY()),""select Col2"",0),{""charttype"",$O$1}))"),"")</f>
        <v/>
      </c>
    </row>
    <row r="18" ht="23.25" customHeight="1">
      <c r="A18" s="104" t="str">
        <f>IFERROR(__xludf.DUMMYFUNCTION("""COMPUTED_VALUE"""),"DIA")</f>
        <v>DIA</v>
      </c>
      <c r="C18" s="105">
        <f>IFERROR(__xludf.DUMMYFUNCTION("GOOGLEFINANCE(A18)"),465.06)</f>
        <v>465.06</v>
      </c>
      <c r="D18" s="106" t="str">
        <f>VLOOKUP(A18,'Info Cedears'!$A$3:$N$340,13,0)</f>
        <v>20:1</v>
      </c>
      <c r="E18" s="104">
        <f>IFERROR(__xludf.DUMMYFUNCTION("IFERROR(INDEX(SPLIT(D18,"":""),1)/INDEX(SPLIT(D18,"":""),2),"""")"),20.0)</f>
        <v>20</v>
      </c>
      <c r="F18" s="107">
        <f>C18*CCL!$K$10/E18</f>
        <v>34795.51943</v>
      </c>
      <c r="G18" s="104" t="str">
        <f>IFERROR(__xludf.DUMMYFUNCTION("IF(A18=0,""..."", sparkline(query(GOOGLEFINANCE(A18,""price"",TODAY()-$O$2,TODAY()),""select Col2"",0),{""charttype"",$O$1}))"),"")</f>
        <v/>
      </c>
    </row>
    <row r="19" ht="23.25" customHeight="1">
      <c r="A19" s="104" t="str">
        <f>IFERROR(__xludf.DUMMYFUNCTION("""COMPUTED_VALUE"""),"AMZN")</f>
        <v>AMZN</v>
      </c>
      <c r="C19" s="105">
        <f>IFERROR(__xludf.DUMMYFUNCTION("GOOGLEFINANCE(A19)"),209.77)</f>
        <v>209.77</v>
      </c>
      <c r="D19" s="106" t="str">
        <f>VLOOKUP(A19,'Info Cedears'!$A$3:$N$340,13,0)</f>
        <v>144:1</v>
      </c>
      <c r="E19" s="104">
        <f>IFERROR(__xludf.DUMMYFUNCTION("IFERROR(INDEX(SPLIT(D19,"":""),1)/INDEX(SPLIT(D19,"":""),2),"""")"),144.0)</f>
        <v>144</v>
      </c>
      <c r="F19" s="107">
        <f>C19*CCL!$K$10/E19</f>
        <v>2179.843016</v>
      </c>
      <c r="G19" s="104" t="str">
        <f>IFERROR(__xludf.DUMMYFUNCTION("IF(A19=0,""..."", sparkline(query(GOOGLEFINANCE(A19,""price"",TODAY()-$O$2,TODAY()),""select Col2"",0),{""charttype"",$O$1}))"),"")</f>
        <v/>
      </c>
    </row>
    <row r="20" ht="23.25" customHeight="1">
      <c r="A20" s="104" t="str">
        <f>IFERROR(__xludf.DUMMYFUNCTION("""COMPUTED_VALUE"""),"NIO")</f>
        <v>NIO</v>
      </c>
      <c r="C20" s="105">
        <f>IFERROR(__xludf.DUMMYFUNCTION("GOOGLEFINANCE(A20)"),6.3)</f>
        <v>6.3</v>
      </c>
      <c r="D20" s="106" t="str">
        <f>VLOOKUP(A20,'Info Cedears'!$A$3:$N$340,13,0)</f>
        <v>4:1</v>
      </c>
      <c r="E20" s="104">
        <f>IFERROR(__xludf.DUMMYFUNCTION("IFERROR(INDEX(SPLIT(D20,"":""),1)/INDEX(SPLIT(D20,"":""),2),"""")"),4.0)</f>
        <v>4</v>
      </c>
      <c r="F20" s="107">
        <f>C20*CCL!$K$10/E20</f>
        <v>2356.811727</v>
      </c>
      <c r="G20" s="104" t="str">
        <f>IFERROR(__xludf.DUMMYFUNCTION("IF(A20=0,""..."", sparkline(query(GOOGLEFINANCE(A20,""price"",TODAY()-$O$2,TODAY()),""select Col2"",0),{""charttype"",$O$1}))"),"")</f>
        <v/>
      </c>
    </row>
    <row r="21" ht="23.25" customHeight="1">
      <c r="A21" s="104" t="str">
        <f>IFERROR(__xludf.DUMMYFUNCTION("""COMPUTED_VALUE"""),"QQQ")</f>
        <v>QQQ</v>
      </c>
      <c r="C21" s="105">
        <f>IFERROR(__xludf.DUMMYFUNCTION("GOOGLEFINANCE(A21)"),584.98)</f>
        <v>584.98</v>
      </c>
      <c r="D21" s="106" t="str">
        <f>VLOOKUP(A21,'Info Cedears'!$A$3:$N$340,13,0)</f>
        <v>20:1</v>
      </c>
      <c r="E21" s="104">
        <f>IFERROR(__xludf.DUMMYFUNCTION("IFERROR(INDEX(SPLIT(D21,"":""),1)/INDEX(SPLIT(D21,"":""),2),"""")"),20.0)</f>
        <v>20</v>
      </c>
      <c r="F21" s="107">
        <f>C21*CCL!$K$10/E21</f>
        <v>43767.86426</v>
      </c>
      <c r="G21" s="104" t="str">
        <f>IFERROR(__xludf.DUMMYFUNCTION("IF(A21=0,""..."", sparkline(query(GOOGLEFINANCE(A21,""price"",TODAY()-$O$2,TODAY()),""select Col2"",0),{""charttype"",$O$1}))"),"")</f>
        <v/>
      </c>
    </row>
    <row r="22" ht="23.25" customHeight="1">
      <c r="F22" s="108"/>
    </row>
    <row r="23" ht="23.25" customHeight="1">
      <c r="F23" s="108"/>
    </row>
    <row r="24" ht="23.25" customHeight="1">
      <c r="F24" s="108"/>
    </row>
    <row r="25" ht="23.25" customHeight="1">
      <c r="F25" s="108"/>
    </row>
    <row r="26" ht="23.25" customHeight="1">
      <c r="F26" s="108"/>
    </row>
    <row r="27" ht="23.25" customHeight="1">
      <c r="F27" s="108"/>
    </row>
    <row r="28" ht="23.25" customHeight="1">
      <c r="F28" s="108"/>
    </row>
    <row r="29" ht="23.25" customHeight="1">
      <c r="F29" s="108"/>
    </row>
    <row r="30" ht="23.25" customHeight="1">
      <c r="F30" s="108"/>
    </row>
    <row r="31" ht="23.25" customHeight="1">
      <c r="F31" s="108"/>
    </row>
    <row r="32" ht="23.25" customHeight="1">
      <c r="F32" s="108"/>
    </row>
    <row r="33" ht="23.25" customHeight="1">
      <c r="F33" s="108"/>
    </row>
    <row r="34" ht="23.25" customHeight="1">
      <c r="F34" s="108"/>
    </row>
    <row r="35" ht="23.25" customHeight="1">
      <c r="F35" s="108"/>
    </row>
    <row r="36" ht="23.25" customHeight="1">
      <c r="F36" s="108"/>
    </row>
    <row r="37" ht="23.25" customHeight="1">
      <c r="F37" s="108"/>
    </row>
    <row r="38">
      <c r="F38" s="108"/>
    </row>
    <row r="39">
      <c r="F39" s="108"/>
    </row>
    <row r="40">
      <c r="F40" s="108"/>
    </row>
    <row r="41">
      <c r="F41" s="108"/>
    </row>
    <row r="42">
      <c r="F42" s="108"/>
    </row>
    <row r="43">
      <c r="F43" s="108"/>
    </row>
    <row r="44">
      <c r="F44" s="108"/>
    </row>
    <row r="45">
      <c r="F45" s="108"/>
    </row>
    <row r="46">
      <c r="F46" s="108"/>
    </row>
    <row r="47">
      <c r="F47" s="108"/>
    </row>
    <row r="48">
      <c r="F48" s="108"/>
    </row>
    <row r="49">
      <c r="F49" s="108"/>
    </row>
    <row r="50">
      <c r="F50" s="108"/>
    </row>
    <row r="51">
      <c r="F51" s="108"/>
    </row>
    <row r="52">
      <c r="F52" s="108"/>
    </row>
    <row r="53">
      <c r="F53" s="108"/>
    </row>
    <row r="54">
      <c r="F54" s="108"/>
    </row>
    <row r="55">
      <c r="F55" s="108"/>
    </row>
    <row r="56">
      <c r="F56" s="108"/>
    </row>
    <row r="57">
      <c r="F57" s="108"/>
    </row>
    <row r="58">
      <c r="F58" s="108"/>
    </row>
    <row r="59">
      <c r="F59" s="108"/>
    </row>
    <row r="60">
      <c r="F60" s="108"/>
    </row>
    <row r="61">
      <c r="F61" s="108"/>
    </row>
    <row r="62">
      <c r="F62" s="108"/>
    </row>
    <row r="63">
      <c r="F63" s="108"/>
    </row>
    <row r="64">
      <c r="F64" s="108"/>
    </row>
    <row r="65">
      <c r="F65" s="108"/>
    </row>
    <row r="66">
      <c r="F66" s="108"/>
    </row>
    <row r="67">
      <c r="F67" s="108"/>
    </row>
    <row r="68">
      <c r="F68" s="108"/>
    </row>
    <row r="69">
      <c r="F69" s="108"/>
    </row>
    <row r="70">
      <c r="F70" s="108"/>
    </row>
    <row r="71">
      <c r="F71" s="108"/>
    </row>
    <row r="72">
      <c r="F72" s="108"/>
    </row>
    <row r="73">
      <c r="F73" s="108"/>
    </row>
    <row r="74">
      <c r="F74" s="108"/>
    </row>
    <row r="75">
      <c r="F75" s="108"/>
    </row>
    <row r="76">
      <c r="F76" s="108"/>
    </row>
    <row r="77">
      <c r="F77" s="108"/>
    </row>
    <row r="78">
      <c r="F78" s="108"/>
    </row>
    <row r="79">
      <c r="F79" s="108"/>
    </row>
    <row r="80">
      <c r="F80" s="108"/>
    </row>
    <row r="81">
      <c r="F81" s="108"/>
    </row>
    <row r="82">
      <c r="F82" s="108"/>
    </row>
    <row r="83">
      <c r="F83" s="108"/>
    </row>
    <row r="84">
      <c r="F84" s="108"/>
    </row>
    <row r="85">
      <c r="F85" s="108"/>
    </row>
    <row r="86">
      <c r="F86" s="108"/>
    </row>
    <row r="87">
      <c r="F87" s="108"/>
    </row>
    <row r="88">
      <c r="F88" s="108"/>
    </row>
    <row r="89">
      <c r="F89" s="108"/>
    </row>
    <row r="90">
      <c r="F90" s="108"/>
    </row>
    <row r="91">
      <c r="F91" s="108"/>
    </row>
    <row r="92">
      <c r="F92" s="108"/>
    </row>
    <row r="93">
      <c r="F93" s="108"/>
    </row>
    <row r="94">
      <c r="F94" s="108"/>
    </row>
    <row r="95">
      <c r="F95" s="108"/>
    </row>
    <row r="96">
      <c r="F96" s="108"/>
    </row>
    <row r="97">
      <c r="F97" s="108"/>
    </row>
    <row r="98">
      <c r="F98" s="108"/>
    </row>
    <row r="99">
      <c r="F99" s="108"/>
    </row>
    <row r="100">
      <c r="F100" s="108"/>
    </row>
    <row r="101">
      <c r="F101" s="108"/>
    </row>
    <row r="102">
      <c r="F102" s="108"/>
    </row>
    <row r="103">
      <c r="F103" s="108"/>
    </row>
    <row r="104">
      <c r="F104" s="108"/>
    </row>
    <row r="105">
      <c r="F105" s="108"/>
    </row>
    <row r="106">
      <c r="F106" s="108"/>
    </row>
    <row r="107">
      <c r="F107" s="108"/>
    </row>
    <row r="108">
      <c r="F108" s="108"/>
    </row>
    <row r="109">
      <c r="F109" s="108"/>
    </row>
    <row r="110">
      <c r="F110" s="108"/>
    </row>
    <row r="111">
      <c r="F111" s="108"/>
    </row>
    <row r="112">
      <c r="F112" s="108"/>
    </row>
    <row r="113">
      <c r="F113" s="108"/>
    </row>
    <row r="114">
      <c r="F114" s="108"/>
    </row>
    <row r="115">
      <c r="F115" s="108"/>
    </row>
    <row r="116">
      <c r="F116" s="108"/>
    </row>
    <row r="117">
      <c r="F117" s="108"/>
    </row>
    <row r="118">
      <c r="F118" s="108"/>
    </row>
    <row r="119">
      <c r="F119" s="108"/>
    </row>
    <row r="120">
      <c r="F120" s="108"/>
    </row>
    <row r="121">
      <c r="F121" s="108"/>
    </row>
    <row r="122">
      <c r="F122" s="108"/>
    </row>
    <row r="123">
      <c r="F123" s="108"/>
    </row>
    <row r="124">
      <c r="F124" s="108"/>
    </row>
    <row r="125">
      <c r="F125" s="108"/>
    </row>
    <row r="126">
      <c r="F126" s="108"/>
    </row>
    <row r="127">
      <c r="F127" s="108"/>
    </row>
    <row r="128">
      <c r="F128" s="108"/>
    </row>
    <row r="129">
      <c r="F129" s="108"/>
    </row>
    <row r="130">
      <c r="F130" s="108"/>
    </row>
    <row r="131">
      <c r="F131" s="108"/>
    </row>
    <row r="132">
      <c r="F132" s="108"/>
    </row>
    <row r="133">
      <c r="F133" s="108"/>
    </row>
    <row r="134">
      <c r="F134" s="108"/>
    </row>
    <row r="135">
      <c r="F135" s="108"/>
    </row>
    <row r="136">
      <c r="F136" s="108"/>
    </row>
    <row r="137">
      <c r="F137" s="108"/>
    </row>
    <row r="138">
      <c r="F138" s="108"/>
    </row>
    <row r="139">
      <c r="F139" s="108"/>
    </row>
    <row r="140">
      <c r="F140" s="108"/>
    </row>
    <row r="141">
      <c r="F141" s="108"/>
    </row>
    <row r="142">
      <c r="F142" s="108"/>
    </row>
    <row r="143">
      <c r="F143" s="108"/>
    </row>
    <row r="144">
      <c r="F144" s="108"/>
    </row>
    <row r="145">
      <c r="F145" s="108"/>
    </row>
    <row r="146">
      <c r="F146" s="108"/>
    </row>
    <row r="147">
      <c r="F147" s="108"/>
    </row>
    <row r="148">
      <c r="F148" s="108"/>
    </row>
    <row r="149">
      <c r="F149" s="108"/>
    </row>
    <row r="150">
      <c r="F150" s="108"/>
    </row>
    <row r="151">
      <c r="F151" s="108"/>
    </row>
    <row r="152">
      <c r="F152" s="108"/>
    </row>
    <row r="153">
      <c r="F153" s="108"/>
    </row>
    <row r="154">
      <c r="F154" s="108"/>
    </row>
    <row r="155">
      <c r="F155" s="108"/>
    </row>
    <row r="156">
      <c r="F156" s="108"/>
    </row>
    <row r="157">
      <c r="F157" s="108"/>
    </row>
    <row r="158">
      <c r="F158" s="108"/>
    </row>
    <row r="159">
      <c r="F159" s="108"/>
    </row>
    <row r="160">
      <c r="F160" s="108"/>
    </row>
    <row r="161">
      <c r="F161" s="108"/>
    </row>
    <row r="162">
      <c r="F162" s="108"/>
    </row>
    <row r="163">
      <c r="F163" s="108"/>
    </row>
    <row r="164">
      <c r="F164" s="108"/>
    </row>
    <row r="165">
      <c r="F165" s="108"/>
    </row>
    <row r="166">
      <c r="F166" s="108"/>
    </row>
    <row r="167">
      <c r="F167" s="108"/>
    </row>
    <row r="168">
      <c r="F168" s="108"/>
    </row>
    <row r="169">
      <c r="F169" s="108"/>
    </row>
    <row r="170">
      <c r="F170" s="108"/>
    </row>
    <row r="171">
      <c r="F171" s="108"/>
    </row>
    <row r="172">
      <c r="F172" s="108"/>
    </row>
    <row r="173">
      <c r="F173" s="108"/>
    </row>
    <row r="174">
      <c r="F174" s="108"/>
    </row>
    <row r="175">
      <c r="F175" s="108"/>
    </row>
    <row r="176">
      <c r="F176" s="108"/>
    </row>
    <row r="177">
      <c r="F177" s="108"/>
    </row>
    <row r="178">
      <c r="F178" s="108"/>
    </row>
    <row r="179">
      <c r="F179" s="108"/>
    </row>
    <row r="180">
      <c r="F180" s="108"/>
    </row>
    <row r="181">
      <c r="F181" s="108"/>
    </row>
    <row r="182">
      <c r="F182" s="108"/>
    </row>
    <row r="183">
      <c r="F183" s="108"/>
    </row>
    <row r="184">
      <c r="F184" s="108"/>
    </row>
    <row r="185">
      <c r="F185" s="108"/>
    </row>
    <row r="186">
      <c r="F186" s="108"/>
    </row>
    <row r="187">
      <c r="F187" s="108"/>
    </row>
    <row r="188">
      <c r="F188" s="108"/>
    </row>
    <row r="189">
      <c r="F189" s="108"/>
    </row>
    <row r="190">
      <c r="F190" s="108"/>
    </row>
    <row r="191">
      <c r="F191" s="108"/>
    </row>
    <row r="192">
      <c r="F192" s="108"/>
    </row>
    <row r="193">
      <c r="F193" s="108"/>
    </row>
    <row r="194">
      <c r="F194" s="108"/>
    </row>
    <row r="195">
      <c r="F195" s="108"/>
    </row>
    <row r="196">
      <c r="F196" s="108"/>
    </row>
    <row r="197">
      <c r="F197" s="108"/>
    </row>
    <row r="198">
      <c r="F198" s="108"/>
    </row>
    <row r="199">
      <c r="F199" s="108"/>
    </row>
    <row r="200">
      <c r="F200" s="108"/>
    </row>
    <row r="201">
      <c r="F201" s="108"/>
    </row>
    <row r="202">
      <c r="F202" s="108"/>
    </row>
    <row r="203">
      <c r="F203" s="108"/>
    </row>
    <row r="204">
      <c r="F204" s="108"/>
    </row>
    <row r="205">
      <c r="F205" s="108"/>
    </row>
    <row r="206">
      <c r="F206" s="108"/>
    </row>
    <row r="207">
      <c r="F207" s="108"/>
    </row>
    <row r="208">
      <c r="F208" s="108"/>
    </row>
    <row r="209">
      <c r="F209" s="108"/>
    </row>
    <row r="210">
      <c r="F210" s="108"/>
    </row>
    <row r="211">
      <c r="F211" s="108"/>
    </row>
    <row r="212">
      <c r="F212" s="108"/>
    </row>
    <row r="213">
      <c r="F213" s="108"/>
    </row>
    <row r="214">
      <c r="F214" s="108"/>
    </row>
    <row r="215">
      <c r="F215" s="108"/>
    </row>
    <row r="216">
      <c r="F216" s="108"/>
    </row>
    <row r="217">
      <c r="F217" s="108"/>
    </row>
    <row r="218">
      <c r="F218" s="108"/>
    </row>
    <row r="219">
      <c r="F219" s="108"/>
    </row>
    <row r="220">
      <c r="F220" s="108"/>
    </row>
    <row r="221">
      <c r="F221" s="108"/>
    </row>
    <row r="222">
      <c r="F222" s="108"/>
    </row>
    <row r="223">
      <c r="F223" s="108"/>
    </row>
    <row r="224">
      <c r="F224" s="108"/>
    </row>
    <row r="225">
      <c r="F225" s="108"/>
    </row>
    <row r="226">
      <c r="F226" s="108"/>
    </row>
    <row r="227">
      <c r="F227" s="108"/>
    </row>
    <row r="228">
      <c r="F228" s="108"/>
    </row>
    <row r="229">
      <c r="F229" s="108"/>
    </row>
    <row r="230">
      <c r="F230" s="108"/>
    </row>
    <row r="231">
      <c r="F231" s="108"/>
    </row>
    <row r="232">
      <c r="F232" s="108"/>
    </row>
    <row r="233">
      <c r="F233" s="108"/>
    </row>
    <row r="234">
      <c r="F234" s="108"/>
    </row>
    <row r="235">
      <c r="F235" s="108"/>
    </row>
    <row r="236">
      <c r="F236" s="108"/>
    </row>
    <row r="237">
      <c r="F237" s="108"/>
    </row>
    <row r="238">
      <c r="F238" s="108"/>
    </row>
    <row r="239">
      <c r="F239" s="108"/>
    </row>
    <row r="240">
      <c r="F240" s="108"/>
    </row>
    <row r="241">
      <c r="F241" s="108"/>
    </row>
    <row r="242">
      <c r="F242" s="108"/>
    </row>
    <row r="243">
      <c r="F243" s="108"/>
    </row>
    <row r="244">
      <c r="F244" s="108"/>
    </row>
    <row r="245">
      <c r="F245" s="108"/>
    </row>
    <row r="246">
      <c r="F246" s="108"/>
    </row>
    <row r="247">
      <c r="F247" s="108"/>
    </row>
    <row r="248">
      <c r="F248" s="108"/>
    </row>
    <row r="249">
      <c r="F249" s="108"/>
    </row>
    <row r="250">
      <c r="F250" s="108"/>
    </row>
    <row r="251">
      <c r="F251" s="108"/>
    </row>
    <row r="252">
      <c r="F252" s="108"/>
    </row>
    <row r="253">
      <c r="F253" s="108"/>
    </row>
    <row r="254">
      <c r="F254" s="108"/>
    </row>
    <row r="255">
      <c r="F255" s="108"/>
    </row>
    <row r="256">
      <c r="F256" s="108"/>
    </row>
    <row r="257">
      <c r="F257" s="108"/>
    </row>
    <row r="258">
      <c r="F258" s="108"/>
    </row>
    <row r="259">
      <c r="F259" s="108"/>
    </row>
    <row r="260">
      <c r="F260" s="108"/>
    </row>
    <row r="261">
      <c r="F261" s="108"/>
    </row>
    <row r="262">
      <c r="F262" s="108"/>
    </row>
    <row r="263">
      <c r="F263" s="108"/>
    </row>
    <row r="264">
      <c r="F264" s="108"/>
    </row>
    <row r="265">
      <c r="F265" s="108"/>
    </row>
    <row r="266">
      <c r="F266" s="108"/>
    </row>
    <row r="267">
      <c r="F267" s="108"/>
    </row>
    <row r="268">
      <c r="F268" s="108"/>
    </row>
    <row r="269">
      <c r="F269" s="108"/>
    </row>
    <row r="270">
      <c r="F270" s="108"/>
    </row>
    <row r="271">
      <c r="F271" s="108"/>
    </row>
    <row r="272">
      <c r="F272" s="108"/>
    </row>
    <row r="273">
      <c r="F273" s="108"/>
    </row>
    <row r="274">
      <c r="F274" s="108"/>
    </row>
    <row r="275">
      <c r="F275" s="108"/>
    </row>
    <row r="276">
      <c r="F276" s="108"/>
    </row>
    <row r="277">
      <c r="F277" s="108"/>
    </row>
    <row r="278">
      <c r="F278" s="108"/>
    </row>
    <row r="279">
      <c r="F279" s="108"/>
    </row>
    <row r="280">
      <c r="F280" s="108"/>
    </row>
    <row r="281">
      <c r="F281" s="108"/>
    </row>
    <row r="282">
      <c r="F282" s="108"/>
    </row>
    <row r="283">
      <c r="F283" s="108"/>
    </row>
    <row r="284">
      <c r="F284" s="108"/>
    </row>
    <row r="285">
      <c r="F285" s="108"/>
    </row>
    <row r="286">
      <c r="F286" s="108"/>
    </row>
    <row r="287">
      <c r="F287" s="108"/>
    </row>
    <row r="288">
      <c r="F288" s="108"/>
    </row>
    <row r="289">
      <c r="F289" s="108"/>
    </row>
    <row r="290">
      <c r="F290" s="108"/>
    </row>
    <row r="291">
      <c r="F291" s="108"/>
    </row>
    <row r="292">
      <c r="F292" s="108"/>
    </row>
    <row r="293">
      <c r="F293" s="108"/>
    </row>
    <row r="294">
      <c r="F294" s="108"/>
    </row>
    <row r="295">
      <c r="F295" s="108"/>
    </row>
    <row r="296">
      <c r="F296" s="108"/>
    </row>
    <row r="297">
      <c r="F297" s="108"/>
    </row>
    <row r="298">
      <c r="F298" s="108"/>
    </row>
    <row r="299">
      <c r="F299" s="108"/>
    </row>
    <row r="300">
      <c r="F300" s="108"/>
    </row>
    <row r="301">
      <c r="F301" s="108"/>
    </row>
    <row r="302">
      <c r="F302" s="108"/>
    </row>
    <row r="303">
      <c r="F303" s="108"/>
    </row>
    <row r="304">
      <c r="F304" s="108"/>
    </row>
    <row r="305">
      <c r="F305" s="108"/>
    </row>
    <row r="306">
      <c r="F306" s="108"/>
    </row>
    <row r="307">
      <c r="F307" s="108"/>
    </row>
    <row r="308">
      <c r="F308" s="108"/>
    </row>
    <row r="309">
      <c r="F309" s="108"/>
    </row>
    <row r="310">
      <c r="F310" s="108"/>
    </row>
    <row r="311">
      <c r="F311" s="108"/>
    </row>
    <row r="312">
      <c r="F312" s="108"/>
    </row>
    <row r="313">
      <c r="F313" s="108"/>
    </row>
    <row r="314">
      <c r="F314" s="108"/>
    </row>
    <row r="315">
      <c r="F315" s="108"/>
    </row>
    <row r="316">
      <c r="F316" s="108"/>
    </row>
    <row r="317">
      <c r="F317" s="108"/>
    </row>
    <row r="318">
      <c r="F318" s="108"/>
    </row>
    <row r="319">
      <c r="F319" s="108"/>
    </row>
    <row r="320">
      <c r="F320" s="108"/>
    </row>
    <row r="321">
      <c r="F321" s="108"/>
    </row>
    <row r="322">
      <c r="F322" s="108"/>
    </row>
    <row r="323">
      <c r="F323" s="108"/>
    </row>
    <row r="324">
      <c r="F324" s="108"/>
    </row>
    <row r="325">
      <c r="F325" s="108"/>
    </row>
    <row r="326">
      <c r="F326" s="108"/>
    </row>
    <row r="327">
      <c r="F327" s="108"/>
    </row>
    <row r="328">
      <c r="F328" s="108"/>
    </row>
    <row r="329">
      <c r="F329" s="108"/>
    </row>
    <row r="330">
      <c r="F330" s="108"/>
    </row>
    <row r="331">
      <c r="F331" s="108"/>
    </row>
    <row r="332">
      <c r="F332" s="108"/>
    </row>
    <row r="333">
      <c r="F333" s="108"/>
    </row>
    <row r="334">
      <c r="F334" s="108"/>
    </row>
    <row r="335">
      <c r="F335" s="108"/>
    </row>
    <row r="336">
      <c r="F336" s="108"/>
    </row>
    <row r="337">
      <c r="F337" s="108"/>
    </row>
    <row r="338">
      <c r="F338" s="108"/>
    </row>
    <row r="339">
      <c r="F339" s="108"/>
    </row>
    <row r="340">
      <c r="F340" s="108"/>
    </row>
    <row r="341">
      <c r="F341" s="108"/>
    </row>
    <row r="342">
      <c r="F342" s="108"/>
    </row>
    <row r="343">
      <c r="F343" s="108"/>
    </row>
    <row r="344">
      <c r="F344" s="108"/>
    </row>
    <row r="345">
      <c r="F345" s="108"/>
    </row>
    <row r="346">
      <c r="F346" s="108"/>
    </row>
    <row r="347">
      <c r="F347" s="108"/>
    </row>
    <row r="348">
      <c r="F348" s="108"/>
    </row>
    <row r="349">
      <c r="F349" s="108"/>
    </row>
    <row r="350">
      <c r="F350" s="108"/>
    </row>
    <row r="351">
      <c r="F351" s="108"/>
    </row>
    <row r="352">
      <c r="F352" s="108"/>
    </row>
    <row r="353">
      <c r="F353" s="108"/>
    </row>
    <row r="354">
      <c r="F354" s="108"/>
    </row>
    <row r="355">
      <c r="F355" s="108"/>
    </row>
    <row r="356">
      <c r="F356" s="108"/>
    </row>
    <row r="357">
      <c r="F357" s="108"/>
    </row>
    <row r="358">
      <c r="F358" s="108"/>
    </row>
    <row r="359">
      <c r="F359" s="108"/>
    </row>
    <row r="360">
      <c r="F360" s="108"/>
    </row>
    <row r="361">
      <c r="F361" s="108"/>
    </row>
    <row r="362">
      <c r="F362" s="108"/>
    </row>
    <row r="363">
      <c r="F363" s="108"/>
    </row>
    <row r="364">
      <c r="F364" s="108"/>
    </row>
    <row r="365">
      <c r="F365" s="108"/>
    </row>
    <row r="366">
      <c r="F366" s="108"/>
    </row>
    <row r="367">
      <c r="F367" s="108"/>
    </row>
    <row r="368">
      <c r="F368" s="108"/>
    </row>
    <row r="369">
      <c r="F369" s="108"/>
    </row>
    <row r="370">
      <c r="F370" s="108"/>
    </row>
    <row r="371">
      <c r="F371" s="108"/>
    </row>
    <row r="372">
      <c r="F372" s="108"/>
    </row>
    <row r="373">
      <c r="F373" s="108"/>
    </row>
    <row r="374">
      <c r="F374" s="108"/>
    </row>
    <row r="375">
      <c r="F375" s="108"/>
    </row>
    <row r="376">
      <c r="F376" s="108"/>
    </row>
    <row r="377">
      <c r="F377" s="108"/>
    </row>
    <row r="378">
      <c r="F378" s="108"/>
    </row>
    <row r="379">
      <c r="F379" s="108"/>
    </row>
    <row r="380">
      <c r="F380" s="108"/>
    </row>
    <row r="381">
      <c r="F381" s="108"/>
    </row>
    <row r="382">
      <c r="F382" s="108"/>
    </row>
    <row r="383">
      <c r="F383" s="108"/>
    </row>
    <row r="384">
      <c r="F384" s="108"/>
    </row>
    <row r="385">
      <c r="F385" s="108"/>
    </row>
    <row r="386">
      <c r="F386" s="108"/>
    </row>
    <row r="387">
      <c r="F387" s="108"/>
    </row>
    <row r="388">
      <c r="F388" s="108"/>
    </row>
    <row r="389">
      <c r="F389" s="108"/>
    </row>
    <row r="390">
      <c r="F390" s="108"/>
    </row>
    <row r="391">
      <c r="F391" s="108"/>
    </row>
    <row r="392">
      <c r="F392" s="108"/>
    </row>
    <row r="393">
      <c r="F393" s="108"/>
    </row>
    <row r="394">
      <c r="F394" s="108"/>
    </row>
    <row r="395">
      <c r="F395" s="108"/>
    </row>
    <row r="396">
      <c r="F396" s="108"/>
    </row>
    <row r="397">
      <c r="F397" s="108"/>
    </row>
    <row r="398">
      <c r="F398" s="108"/>
    </row>
    <row r="399">
      <c r="F399" s="108"/>
    </row>
    <row r="400">
      <c r="F400" s="108"/>
    </row>
    <row r="401">
      <c r="F401" s="108"/>
    </row>
    <row r="402">
      <c r="F402" s="108"/>
    </row>
    <row r="403">
      <c r="F403" s="108"/>
    </row>
    <row r="404">
      <c r="F404" s="108"/>
    </row>
    <row r="405">
      <c r="F405" s="108"/>
    </row>
    <row r="406">
      <c r="F406" s="108"/>
    </row>
    <row r="407">
      <c r="F407" s="108"/>
    </row>
    <row r="408">
      <c r="F408" s="108"/>
    </row>
    <row r="409">
      <c r="F409" s="108"/>
    </row>
    <row r="410">
      <c r="F410" s="108"/>
    </row>
    <row r="411">
      <c r="F411" s="108"/>
    </row>
    <row r="412">
      <c r="F412" s="108"/>
    </row>
    <row r="413">
      <c r="F413" s="108"/>
    </row>
    <row r="414">
      <c r="F414" s="108"/>
    </row>
    <row r="415">
      <c r="F415" s="108"/>
    </row>
    <row r="416">
      <c r="F416" s="108"/>
    </row>
    <row r="417">
      <c r="F417" s="108"/>
    </row>
    <row r="418">
      <c r="F418" s="108"/>
    </row>
    <row r="419">
      <c r="F419" s="108"/>
    </row>
    <row r="420">
      <c r="F420" s="108"/>
    </row>
    <row r="421">
      <c r="F421" s="108"/>
    </row>
    <row r="422">
      <c r="F422" s="108"/>
    </row>
    <row r="423">
      <c r="F423" s="108"/>
    </row>
    <row r="424">
      <c r="F424" s="108"/>
    </row>
    <row r="425">
      <c r="F425" s="108"/>
    </row>
    <row r="426">
      <c r="F426" s="108"/>
    </row>
    <row r="427">
      <c r="F427" s="108"/>
    </row>
    <row r="428">
      <c r="F428" s="108"/>
    </row>
    <row r="429">
      <c r="F429" s="108"/>
    </row>
    <row r="430">
      <c r="F430" s="108"/>
    </row>
    <row r="431">
      <c r="F431" s="108"/>
    </row>
    <row r="432">
      <c r="F432" s="108"/>
    </row>
    <row r="433">
      <c r="F433" s="108"/>
    </row>
    <row r="434">
      <c r="F434" s="108"/>
    </row>
    <row r="435">
      <c r="F435" s="108"/>
    </row>
    <row r="436">
      <c r="F436" s="108"/>
    </row>
    <row r="437">
      <c r="F437" s="108"/>
    </row>
    <row r="438">
      <c r="F438" s="108"/>
    </row>
    <row r="439">
      <c r="F439" s="108"/>
    </row>
    <row r="440">
      <c r="F440" s="108"/>
    </row>
    <row r="441">
      <c r="F441" s="108"/>
    </row>
    <row r="442">
      <c r="F442" s="108"/>
    </row>
    <row r="443">
      <c r="F443" s="108"/>
    </row>
    <row r="444">
      <c r="F444" s="108"/>
    </row>
    <row r="445">
      <c r="F445" s="108"/>
    </row>
    <row r="446">
      <c r="F446" s="108"/>
    </row>
    <row r="447">
      <c r="F447" s="108"/>
    </row>
    <row r="448">
      <c r="F448" s="108"/>
    </row>
    <row r="449">
      <c r="F449" s="108"/>
    </row>
    <row r="450">
      <c r="F450" s="108"/>
    </row>
    <row r="451">
      <c r="F451" s="108"/>
    </row>
    <row r="452">
      <c r="F452" s="108"/>
    </row>
    <row r="453">
      <c r="F453" s="108"/>
    </row>
    <row r="454">
      <c r="F454" s="108"/>
    </row>
    <row r="455">
      <c r="F455" s="108"/>
    </row>
    <row r="456">
      <c r="F456" s="108"/>
    </row>
    <row r="457">
      <c r="F457" s="108"/>
    </row>
    <row r="458">
      <c r="F458" s="108"/>
    </row>
    <row r="459">
      <c r="F459" s="108"/>
    </row>
    <row r="460">
      <c r="F460" s="108"/>
    </row>
    <row r="461">
      <c r="F461" s="108"/>
    </row>
    <row r="462">
      <c r="F462" s="108"/>
    </row>
    <row r="463">
      <c r="F463" s="108"/>
    </row>
    <row r="464">
      <c r="F464" s="108"/>
    </row>
    <row r="465">
      <c r="F465" s="108"/>
    </row>
    <row r="466">
      <c r="F466" s="108"/>
    </row>
    <row r="467">
      <c r="F467" s="108"/>
    </row>
    <row r="468">
      <c r="F468" s="108"/>
    </row>
    <row r="469">
      <c r="F469" s="108"/>
    </row>
    <row r="470">
      <c r="F470" s="108"/>
    </row>
    <row r="471">
      <c r="F471" s="108"/>
    </row>
    <row r="472">
      <c r="F472" s="108"/>
    </row>
    <row r="473">
      <c r="F473" s="108"/>
    </row>
    <row r="474">
      <c r="F474" s="108"/>
    </row>
    <row r="475">
      <c r="F475" s="108"/>
    </row>
    <row r="476">
      <c r="F476" s="108"/>
    </row>
    <row r="477">
      <c r="F477" s="108"/>
    </row>
    <row r="478">
      <c r="F478" s="108"/>
    </row>
    <row r="479">
      <c r="F479" s="108"/>
    </row>
    <row r="480">
      <c r="F480" s="108"/>
    </row>
    <row r="481">
      <c r="F481" s="108"/>
    </row>
    <row r="482">
      <c r="F482" s="108"/>
    </row>
    <row r="483">
      <c r="F483" s="108"/>
    </row>
    <row r="484">
      <c r="F484" s="108"/>
    </row>
    <row r="485">
      <c r="F485" s="108"/>
    </row>
    <row r="486">
      <c r="F486" s="108"/>
    </row>
    <row r="487">
      <c r="F487" s="108"/>
    </row>
    <row r="488">
      <c r="F488" s="108"/>
    </row>
    <row r="489">
      <c r="F489" s="108"/>
    </row>
    <row r="490">
      <c r="F490" s="108"/>
    </row>
    <row r="491">
      <c r="F491" s="108"/>
    </row>
    <row r="492">
      <c r="F492" s="108"/>
    </row>
    <row r="493">
      <c r="F493" s="108"/>
    </row>
    <row r="494">
      <c r="F494" s="108"/>
    </row>
    <row r="495">
      <c r="F495" s="108"/>
    </row>
    <row r="496">
      <c r="F496" s="108"/>
    </row>
    <row r="497">
      <c r="F497" s="108"/>
    </row>
    <row r="498">
      <c r="F498" s="108"/>
    </row>
    <row r="499">
      <c r="F499" s="108"/>
    </row>
    <row r="500">
      <c r="F500" s="108"/>
    </row>
    <row r="501">
      <c r="F501" s="108"/>
    </row>
    <row r="502">
      <c r="F502" s="108"/>
    </row>
    <row r="503">
      <c r="F503" s="108"/>
    </row>
    <row r="504">
      <c r="F504" s="108"/>
    </row>
    <row r="505">
      <c r="F505" s="108"/>
    </row>
    <row r="506">
      <c r="F506" s="108"/>
    </row>
    <row r="507">
      <c r="F507" s="108"/>
    </row>
    <row r="508">
      <c r="F508" s="108"/>
    </row>
    <row r="509">
      <c r="F509" s="108"/>
    </row>
    <row r="510">
      <c r="F510" s="108"/>
    </row>
    <row r="511">
      <c r="F511" s="108"/>
    </row>
    <row r="512">
      <c r="F512" s="108"/>
    </row>
    <row r="513">
      <c r="F513" s="108"/>
    </row>
    <row r="514">
      <c r="F514" s="108"/>
    </row>
    <row r="515">
      <c r="F515" s="108"/>
    </row>
    <row r="516">
      <c r="F516" s="108"/>
    </row>
    <row r="517">
      <c r="F517" s="108"/>
    </row>
    <row r="518">
      <c r="F518" s="108"/>
    </row>
    <row r="519">
      <c r="F519" s="108"/>
    </row>
    <row r="520">
      <c r="F520" s="108"/>
    </row>
    <row r="521">
      <c r="F521" s="108"/>
    </row>
    <row r="522">
      <c r="F522" s="108"/>
    </row>
    <row r="523">
      <c r="F523" s="108"/>
    </row>
    <row r="524">
      <c r="F524" s="108"/>
    </row>
    <row r="525">
      <c r="F525" s="108"/>
    </row>
    <row r="526">
      <c r="F526" s="108"/>
    </row>
    <row r="527">
      <c r="F527" s="108"/>
    </row>
    <row r="528">
      <c r="F528" s="108"/>
    </row>
    <row r="529">
      <c r="F529" s="108"/>
    </row>
    <row r="530">
      <c r="F530" s="108"/>
    </row>
    <row r="531">
      <c r="F531" s="108"/>
    </row>
    <row r="532">
      <c r="F532" s="108"/>
    </row>
    <row r="533">
      <c r="F533" s="108"/>
    </row>
    <row r="534">
      <c r="F534" s="108"/>
    </row>
    <row r="535">
      <c r="F535" s="108"/>
    </row>
    <row r="536">
      <c r="F536" s="108"/>
    </row>
    <row r="537">
      <c r="F537" s="108"/>
    </row>
    <row r="538">
      <c r="F538" s="108"/>
    </row>
    <row r="539">
      <c r="F539" s="108"/>
    </row>
    <row r="540">
      <c r="F540" s="108"/>
    </row>
    <row r="541">
      <c r="F541" s="108"/>
    </row>
    <row r="542">
      <c r="F542" s="108"/>
    </row>
    <row r="543">
      <c r="F543" s="108"/>
    </row>
    <row r="544">
      <c r="F544" s="108"/>
    </row>
    <row r="545">
      <c r="F545" s="108"/>
    </row>
    <row r="546">
      <c r="F546" s="108"/>
    </row>
    <row r="547">
      <c r="F547" s="108"/>
    </row>
    <row r="548">
      <c r="F548" s="108"/>
    </row>
    <row r="549">
      <c r="F549" s="108"/>
    </row>
    <row r="550">
      <c r="F550" s="108"/>
    </row>
    <row r="551">
      <c r="F551" s="108"/>
    </row>
    <row r="552">
      <c r="F552" s="108"/>
    </row>
    <row r="553">
      <c r="F553" s="108"/>
    </row>
    <row r="554">
      <c r="F554" s="108"/>
    </row>
    <row r="555">
      <c r="F555" s="108"/>
    </row>
    <row r="556">
      <c r="F556" s="108"/>
    </row>
    <row r="557">
      <c r="F557" s="108"/>
    </row>
    <row r="558">
      <c r="F558" s="108"/>
    </row>
    <row r="559">
      <c r="F559" s="108"/>
    </row>
    <row r="560">
      <c r="F560" s="108"/>
    </row>
    <row r="561">
      <c r="F561" s="108"/>
    </row>
    <row r="562">
      <c r="F562" s="108"/>
    </row>
    <row r="563">
      <c r="F563" s="108"/>
    </row>
    <row r="564">
      <c r="F564" s="108"/>
    </row>
    <row r="565">
      <c r="F565" s="108"/>
    </row>
    <row r="566">
      <c r="F566" s="108"/>
    </row>
    <row r="567">
      <c r="F567" s="108"/>
    </row>
    <row r="568">
      <c r="F568" s="108"/>
    </row>
    <row r="569">
      <c r="F569" s="108"/>
    </row>
    <row r="570">
      <c r="F570" s="108"/>
    </row>
    <row r="571">
      <c r="F571" s="108"/>
    </row>
    <row r="572">
      <c r="F572" s="108"/>
    </row>
    <row r="573">
      <c r="F573" s="108"/>
    </row>
    <row r="574">
      <c r="F574" s="108"/>
    </row>
    <row r="575">
      <c r="F575" s="108"/>
    </row>
    <row r="576">
      <c r="F576" s="108"/>
    </row>
    <row r="577">
      <c r="F577" s="108"/>
    </row>
    <row r="578">
      <c r="F578" s="108"/>
    </row>
    <row r="579">
      <c r="F579" s="108"/>
    </row>
    <row r="580">
      <c r="F580" s="108"/>
    </row>
    <row r="581">
      <c r="F581" s="108"/>
    </row>
    <row r="582">
      <c r="F582" s="108"/>
    </row>
    <row r="583">
      <c r="F583" s="108"/>
    </row>
    <row r="584">
      <c r="F584" s="108"/>
    </row>
    <row r="585">
      <c r="F585" s="108"/>
    </row>
    <row r="586">
      <c r="F586" s="108"/>
    </row>
    <row r="587">
      <c r="F587" s="108"/>
    </row>
    <row r="588">
      <c r="F588" s="108"/>
    </row>
    <row r="589">
      <c r="F589" s="108"/>
    </row>
    <row r="590">
      <c r="F590" s="108"/>
    </row>
    <row r="591">
      <c r="F591" s="108"/>
    </row>
    <row r="592">
      <c r="F592" s="108"/>
    </row>
    <row r="593">
      <c r="F593" s="108"/>
    </row>
    <row r="594">
      <c r="F594" s="108"/>
    </row>
    <row r="595">
      <c r="F595" s="108"/>
    </row>
    <row r="596">
      <c r="F596" s="108"/>
    </row>
    <row r="597">
      <c r="F597" s="108"/>
    </row>
    <row r="598">
      <c r="F598" s="108"/>
    </row>
    <row r="599">
      <c r="F599" s="108"/>
    </row>
    <row r="600">
      <c r="F600" s="108"/>
    </row>
    <row r="601">
      <c r="F601" s="108"/>
    </row>
    <row r="602">
      <c r="F602" s="108"/>
    </row>
    <row r="603">
      <c r="F603" s="108"/>
    </row>
    <row r="604">
      <c r="F604" s="108"/>
    </row>
    <row r="605">
      <c r="F605" s="108"/>
    </row>
    <row r="606">
      <c r="F606" s="108"/>
    </row>
    <row r="607">
      <c r="F607" s="108"/>
    </row>
    <row r="608">
      <c r="F608" s="108"/>
    </row>
    <row r="609">
      <c r="F609" s="108"/>
    </row>
    <row r="610">
      <c r="F610" s="108"/>
    </row>
    <row r="611">
      <c r="F611" s="108"/>
    </row>
    <row r="612">
      <c r="F612" s="108"/>
    </row>
    <row r="613">
      <c r="F613" s="108"/>
    </row>
    <row r="614">
      <c r="F614" s="108"/>
    </row>
    <row r="615">
      <c r="F615" s="108"/>
    </row>
    <row r="616">
      <c r="F616" s="108"/>
    </row>
    <row r="617">
      <c r="F617" s="108"/>
    </row>
    <row r="618">
      <c r="F618" s="108"/>
    </row>
    <row r="619">
      <c r="F619" s="108"/>
    </row>
    <row r="620">
      <c r="F620" s="108"/>
    </row>
    <row r="621">
      <c r="F621" s="108"/>
    </row>
    <row r="622">
      <c r="F622" s="108"/>
    </row>
    <row r="623">
      <c r="F623" s="108"/>
    </row>
    <row r="624">
      <c r="F624" s="108"/>
    </row>
    <row r="625">
      <c r="F625" s="108"/>
    </row>
    <row r="626">
      <c r="F626" s="108"/>
    </row>
    <row r="627">
      <c r="F627" s="108"/>
    </row>
    <row r="628">
      <c r="F628" s="108"/>
    </row>
    <row r="629">
      <c r="F629" s="108"/>
    </row>
    <row r="630">
      <c r="F630" s="108"/>
    </row>
    <row r="631">
      <c r="F631" s="108"/>
    </row>
    <row r="632">
      <c r="F632" s="108"/>
    </row>
    <row r="633">
      <c r="F633" s="108"/>
    </row>
    <row r="634">
      <c r="F634" s="108"/>
    </row>
    <row r="635">
      <c r="F635" s="108"/>
    </row>
    <row r="636">
      <c r="F636" s="108"/>
    </row>
    <row r="637">
      <c r="F637" s="108"/>
    </row>
    <row r="638">
      <c r="F638" s="108"/>
    </row>
    <row r="639">
      <c r="F639" s="108"/>
    </row>
    <row r="640">
      <c r="F640" s="108"/>
    </row>
    <row r="641">
      <c r="F641" s="108"/>
    </row>
    <row r="642">
      <c r="F642" s="108"/>
    </row>
    <row r="643">
      <c r="F643" s="108"/>
    </row>
    <row r="644">
      <c r="F644" s="108"/>
    </row>
    <row r="645">
      <c r="F645" s="108"/>
    </row>
    <row r="646">
      <c r="F646" s="108"/>
    </row>
    <row r="647">
      <c r="F647" s="108"/>
    </row>
    <row r="648">
      <c r="F648" s="108"/>
    </row>
    <row r="649">
      <c r="F649" s="108"/>
    </row>
    <row r="650">
      <c r="F650" s="108"/>
    </row>
    <row r="651">
      <c r="F651" s="108"/>
    </row>
    <row r="652">
      <c r="F652" s="108"/>
    </row>
    <row r="653">
      <c r="F653" s="108"/>
    </row>
    <row r="654">
      <c r="F654" s="108"/>
    </row>
    <row r="655">
      <c r="F655" s="108"/>
    </row>
    <row r="656">
      <c r="F656" s="108"/>
    </row>
    <row r="657">
      <c r="F657" s="108"/>
    </row>
    <row r="658">
      <c r="F658" s="108"/>
    </row>
    <row r="659">
      <c r="F659" s="108"/>
    </row>
    <row r="660">
      <c r="F660" s="108"/>
    </row>
    <row r="661">
      <c r="F661" s="108"/>
    </row>
    <row r="662">
      <c r="F662" s="108"/>
    </row>
    <row r="663">
      <c r="F663" s="108"/>
    </row>
    <row r="664">
      <c r="F664" s="108"/>
    </row>
    <row r="665">
      <c r="F665" s="108"/>
    </row>
    <row r="666">
      <c r="F666" s="108"/>
    </row>
    <row r="667">
      <c r="F667" s="108"/>
    </row>
    <row r="668">
      <c r="F668" s="108"/>
    </row>
    <row r="669">
      <c r="F669" s="108"/>
    </row>
    <row r="670">
      <c r="F670" s="108"/>
    </row>
    <row r="671">
      <c r="F671" s="108"/>
    </row>
    <row r="672">
      <c r="F672" s="108"/>
    </row>
    <row r="673">
      <c r="F673" s="108"/>
    </row>
    <row r="674">
      <c r="F674" s="108"/>
    </row>
    <row r="675">
      <c r="F675" s="108"/>
    </row>
    <row r="676">
      <c r="F676" s="108"/>
    </row>
    <row r="677">
      <c r="F677" s="108"/>
    </row>
    <row r="678">
      <c r="F678" s="108"/>
    </row>
    <row r="679">
      <c r="F679" s="108"/>
    </row>
    <row r="680">
      <c r="F680" s="108"/>
    </row>
    <row r="681">
      <c r="F681" s="108"/>
    </row>
    <row r="682">
      <c r="F682" s="108"/>
    </row>
    <row r="683">
      <c r="F683" s="108"/>
    </row>
    <row r="684">
      <c r="F684" s="108"/>
    </row>
    <row r="685">
      <c r="F685" s="108"/>
    </row>
    <row r="686">
      <c r="F686" s="108"/>
    </row>
    <row r="687">
      <c r="F687" s="108"/>
    </row>
    <row r="688">
      <c r="F688" s="108"/>
    </row>
    <row r="689">
      <c r="F689" s="108"/>
    </row>
    <row r="690">
      <c r="F690" s="108"/>
    </row>
    <row r="691">
      <c r="F691" s="108"/>
    </row>
    <row r="692">
      <c r="F692" s="108"/>
    </row>
    <row r="693">
      <c r="F693" s="108"/>
    </row>
    <row r="694">
      <c r="F694" s="108"/>
    </row>
    <row r="695">
      <c r="F695" s="108"/>
    </row>
    <row r="696">
      <c r="F696" s="108"/>
    </row>
    <row r="697">
      <c r="F697" s="108"/>
    </row>
    <row r="698">
      <c r="F698" s="108"/>
    </row>
    <row r="699">
      <c r="F699" s="108"/>
    </row>
    <row r="700">
      <c r="F700" s="108"/>
    </row>
    <row r="701">
      <c r="F701" s="108"/>
    </row>
    <row r="702">
      <c r="F702" s="108"/>
    </row>
    <row r="703">
      <c r="F703" s="108"/>
    </row>
    <row r="704">
      <c r="F704" s="108"/>
    </row>
    <row r="705">
      <c r="F705" s="108"/>
    </row>
    <row r="706">
      <c r="F706" s="108"/>
    </row>
    <row r="707">
      <c r="F707" s="108"/>
    </row>
    <row r="708">
      <c r="F708" s="108"/>
    </row>
    <row r="709">
      <c r="F709" s="108"/>
    </row>
    <row r="710">
      <c r="F710" s="108"/>
    </row>
    <row r="711">
      <c r="F711" s="108"/>
    </row>
    <row r="712">
      <c r="F712" s="108"/>
    </row>
    <row r="713">
      <c r="F713" s="108"/>
    </row>
    <row r="714">
      <c r="F714" s="108"/>
    </row>
    <row r="715">
      <c r="F715" s="108"/>
    </row>
    <row r="716">
      <c r="F716" s="108"/>
    </row>
    <row r="717">
      <c r="F717" s="108"/>
    </row>
    <row r="718">
      <c r="F718" s="108"/>
    </row>
    <row r="719">
      <c r="F719" s="108"/>
    </row>
    <row r="720">
      <c r="F720" s="108"/>
    </row>
    <row r="721">
      <c r="F721" s="108"/>
    </row>
    <row r="722">
      <c r="F722" s="108"/>
    </row>
    <row r="723">
      <c r="F723" s="108"/>
    </row>
    <row r="724">
      <c r="F724" s="108"/>
    </row>
    <row r="725">
      <c r="F725" s="108"/>
    </row>
    <row r="726">
      <c r="F726" s="108"/>
    </row>
    <row r="727">
      <c r="F727" s="108"/>
    </row>
    <row r="728">
      <c r="F728" s="108"/>
    </row>
    <row r="729">
      <c r="F729" s="108"/>
    </row>
    <row r="730">
      <c r="F730" s="108"/>
    </row>
    <row r="731">
      <c r="F731" s="108"/>
    </row>
    <row r="732">
      <c r="F732" s="108"/>
    </row>
    <row r="733">
      <c r="F733" s="108"/>
    </row>
    <row r="734">
      <c r="F734" s="108"/>
    </row>
    <row r="735">
      <c r="F735" s="108"/>
    </row>
    <row r="736">
      <c r="F736" s="108"/>
    </row>
    <row r="737">
      <c r="F737" s="108"/>
    </row>
    <row r="738">
      <c r="F738" s="108"/>
    </row>
    <row r="739">
      <c r="F739" s="108"/>
    </row>
    <row r="740">
      <c r="F740" s="108"/>
    </row>
    <row r="741">
      <c r="F741" s="108"/>
    </row>
    <row r="742">
      <c r="F742" s="108"/>
    </row>
    <row r="743">
      <c r="F743" s="108"/>
    </row>
    <row r="744">
      <c r="F744" s="108"/>
    </row>
    <row r="745">
      <c r="F745" s="108"/>
    </row>
    <row r="746">
      <c r="F746" s="108"/>
    </row>
    <row r="747">
      <c r="F747" s="108"/>
    </row>
    <row r="748">
      <c r="F748" s="108"/>
    </row>
    <row r="749">
      <c r="F749" s="108"/>
    </row>
    <row r="750">
      <c r="F750" s="108"/>
    </row>
    <row r="751">
      <c r="F751" s="108"/>
    </row>
    <row r="752">
      <c r="F752" s="108"/>
    </row>
    <row r="753">
      <c r="F753" s="108"/>
    </row>
    <row r="754">
      <c r="F754" s="108"/>
    </row>
    <row r="755">
      <c r="F755" s="108"/>
    </row>
    <row r="756">
      <c r="F756" s="108"/>
    </row>
    <row r="757">
      <c r="F757" s="108"/>
    </row>
    <row r="758">
      <c r="F758" s="108"/>
    </row>
    <row r="759">
      <c r="F759" s="108"/>
    </row>
    <row r="760">
      <c r="F760" s="108"/>
    </row>
    <row r="761">
      <c r="F761" s="108"/>
    </row>
    <row r="762">
      <c r="F762" s="108"/>
    </row>
    <row r="763">
      <c r="F763" s="108"/>
    </row>
    <row r="764">
      <c r="F764" s="108"/>
    </row>
    <row r="765">
      <c r="F765" s="108"/>
    </row>
    <row r="766">
      <c r="F766" s="108"/>
    </row>
    <row r="767">
      <c r="F767" s="108"/>
    </row>
    <row r="768">
      <c r="F768" s="108"/>
    </row>
    <row r="769">
      <c r="F769" s="108"/>
    </row>
    <row r="770">
      <c r="F770" s="108"/>
    </row>
    <row r="771">
      <c r="F771" s="108"/>
    </row>
    <row r="772">
      <c r="F772" s="108"/>
    </row>
    <row r="773">
      <c r="F773" s="108"/>
    </row>
    <row r="774">
      <c r="F774" s="108"/>
    </row>
    <row r="775">
      <c r="F775" s="108"/>
    </row>
    <row r="776">
      <c r="F776" s="108"/>
    </row>
    <row r="777">
      <c r="F777" s="108"/>
    </row>
    <row r="778">
      <c r="F778" s="108"/>
    </row>
    <row r="779">
      <c r="F779" s="108"/>
    </row>
    <row r="780">
      <c r="F780" s="108"/>
    </row>
    <row r="781">
      <c r="F781" s="108"/>
    </row>
    <row r="782">
      <c r="F782" s="108"/>
    </row>
    <row r="783">
      <c r="F783" s="108"/>
    </row>
    <row r="784">
      <c r="F784" s="108"/>
    </row>
    <row r="785">
      <c r="F785" s="108"/>
    </row>
    <row r="786">
      <c r="F786" s="108"/>
    </row>
    <row r="787">
      <c r="F787" s="108"/>
    </row>
    <row r="788">
      <c r="F788" s="108"/>
    </row>
    <row r="789">
      <c r="F789" s="108"/>
    </row>
    <row r="790">
      <c r="F790" s="108"/>
    </row>
    <row r="791">
      <c r="F791" s="108"/>
    </row>
    <row r="792">
      <c r="F792" s="108"/>
    </row>
    <row r="793">
      <c r="F793" s="108"/>
    </row>
    <row r="794">
      <c r="F794" s="108"/>
    </row>
    <row r="795">
      <c r="F795" s="108"/>
    </row>
    <row r="796">
      <c r="F796" s="108"/>
    </row>
    <row r="797">
      <c r="F797" s="108"/>
    </row>
    <row r="798">
      <c r="F798" s="108"/>
    </row>
    <row r="799">
      <c r="F799" s="108"/>
    </row>
    <row r="800">
      <c r="F800" s="108"/>
    </row>
    <row r="801">
      <c r="F801" s="108"/>
    </row>
    <row r="802">
      <c r="F802" s="108"/>
    </row>
    <row r="803">
      <c r="F803" s="108"/>
    </row>
    <row r="804">
      <c r="F804" s="108"/>
    </row>
    <row r="805">
      <c r="F805" s="108"/>
    </row>
    <row r="806">
      <c r="F806" s="108"/>
    </row>
    <row r="807">
      <c r="F807" s="108"/>
    </row>
    <row r="808">
      <c r="F808" s="108"/>
    </row>
    <row r="809">
      <c r="F809" s="108"/>
    </row>
    <row r="810">
      <c r="F810" s="108"/>
    </row>
    <row r="811">
      <c r="F811" s="108"/>
    </row>
    <row r="812">
      <c r="F812" s="108"/>
    </row>
    <row r="813">
      <c r="F813" s="108"/>
    </row>
    <row r="814">
      <c r="F814" s="108"/>
    </row>
    <row r="815">
      <c r="F815" s="108"/>
    </row>
    <row r="816">
      <c r="F816" s="108"/>
    </row>
    <row r="817">
      <c r="F817" s="108"/>
    </row>
    <row r="818">
      <c r="F818" s="108"/>
    </row>
    <row r="819">
      <c r="F819" s="108"/>
    </row>
    <row r="820">
      <c r="F820" s="108"/>
    </row>
    <row r="821">
      <c r="F821" s="108"/>
    </row>
    <row r="822">
      <c r="F822" s="108"/>
    </row>
    <row r="823">
      <c r="F823" s="108"/>
    </row>
    <row r="824">
      <c r="F824" s="108"/>
    </row>
    <row r="825">
      <c r="F825" s="108"/>
    </row>
    <row r="826">
      <c r="F826" s="108"/>
    </row>
    <row r="827">
      <c r="F827" s="108"/>
    </row>
    <row r="828">
      <c r="F828" s="108"/>
    </row>
    <row r="829">
      <c r="F829" s="108"/>
    </row>
    <row r="830">
      <c r="F830" s="108"/>
    </row>
    <row r="831">
      <c r="F831" s="108"/>
    </row>
    <row r="832">
      <c r="F832" s="108"/>
    </row>
    <row r="833">
      <c r="F833" s="108"/>
    </row>
    <row r="834">
      <c r="F834" s="108"/>
    </row>
    <row r="835">
      <c r="F835" s="108"/>
    </row>
    <row r="836">
      <c r="F836" s="108"/>
    </row>
    <row r="837">
      <c r="F837" s="108"/>
    </row>
    <row r="838">
      <c r="F838" s="108"/>
    </row>
    <row r="839">
      <c r="F839" s="108"/>
    </row>
    <row r="840">
      <c r="F840" s="108"/>
    </row>
    <row r="841">
      <c r="F841" s="108"/>
    </row>
    <row r="842">
      <c r="F842" s="108"/>
    </row>
    <row r="843">
      <c r="F843" s="108"/>
    </row>
    <row r="844">
      <c r="F844" s="108"/>
    </row>
    <row r="845">
      <c r="F845" s="108"/>
    </row>
    <row r="846">
      <c r="F846" s="108"/>
    </row>
    <row r="847">
      <c r="F847" s="108"/>
    </row>
    <row r="848">
      <c r="F848" s="108"/>
    </row>
    <row r="849">
      <c r="F849" s="108"/>
    </row>
    <row r="850">
      <c r="F850" s="108"/>
    </row>
    <row r="851">
      <c r="F851" s="108"/>
    </row>
    <row r="852">
      <c r="F852" s="108"/>
    </row>
    <row r="853">
      <c r="F853" s="108"/>
    </row>
    <row r="854">
      <c r="F854" s="108"/>
    </row>
    <row r="855">
      <c r="F855" s="108"/>
    </row>
    <row r="856">
      <c r="F856" s="108"/>
    </row>
    <row r="857">
      <c r="F857" s="108"/>
    </row>
    <row r="858">
      <c r="F858" s="108"/>
    </row>
    <row r="859">
      <c r="F859" s="108"/>
    </row>
    <row r="860">
      <c r="F860" s="108"/>
    </row>
    <row r="861">
      <c r="F861" s="108"/>
    </row>
    <row r="862">
      <c r="F862" s="108"/>
    </row>
    <row r="863">
      <c r="F863" s="108"/>
    </row>
    <row r="864">
      <c r="F864" s="108"/>
    </row>
    <row r="865">
      <c r="F865" s="108"/>
    </row>
    <row r="866">
      <c r="F866" s="108"/>
    </row>
    <row r="867">
      <c r="F867" s="108"/>
    </row>
    <row r="868">
      <c r="F868" s="108"/>
    </row>
    <row r="869">
      <c r="F869" s="108"/>
    </row>
    <row r="870">
      <c r="F870" s="108"/>
    </row>
    <row r="871">
      <c r="F871" s="108"/>
    </row>
    <row r="872">
      <c r="F872" s="108"/>
    </row>
    <row r="873">
      <c r="F873" s="108"/>
    </row>
    <row r="874">
      <c r="F874" s="108"/>
    </row>
    <row r="875">
      <c r="F875" s="108"/>
    </row>
    <row r="876">
      <c r="F876" s="108"/>
    </row>
    <row r="877">
      <c r="F877" s="108"/>
    </row>
    <row r="878">
      <c r="F878" s="108"/>
    </row>
    <row r="879">
      <c r="F879" s="108"/>
    </row>
    <row r="880">
      <c r="F880" s="108"/>
    </row>
    <row r="881">
      <c r="F881" s="108"/>
    </row>
    <row r="882">
      <c r="F882" s="108"/>
    </row>
    <row r="883">
      <c r="F883" s="108"/>
    </row>
    <row r="884">
      <c r="F884" s="108"/>
    </row>
    <row r="885">
      <c r="F885" s="108"/>
    </row>
    <row r="886">
      <c r="F886" s="108"/>
    </row>
    <row r="887">
      <c r="F887" s="108"/>
    </row>
    <row r="888">
      <c r="F888" s="108"/>
    </row>
    <row r="889">
      <c r="F889" s="108"/>
    </row>
    <row r="890">
      <c r="F890" s="108"/>
    </row>
    <row r="891">
      <c r="F891" s="108"/>
    </row>
    <row r="892">
      <c r="F892" s="108"/>
    </row>
    <row r="893">
      <c r="F893" s="108"/>
    </row>
    <row r="894">
      <c r="F894" s="108"/>
    </row>
    <row r="895">
      <c r="F895" s="108"/>
    </row>
    <row r="896">
      <c r="F896" s="108"/>
    </row>
    <row r="897">
      <c r="F897" s="108"/>
    </row>
    <row r="898">
      <c r="F898" s="108"/>
    </row>
    <row r="899">
      <c r="F899" s="108"/>
    </row>
    <row r="900">
      <c r="F900" s="108"/>
    </row>
    <row r="901">
      <c r="F901" s="108"/>
    </row>
    <row r="902">
      <c r="F902" s="108"/>
    </row>
    <row r="903">
      <c r="F903" s="108"/>
    </row>
    <row r="904">
      <c r="F904" s="108"/>
    </row>
    <row r="905">
      <c r="F905" s="108"/>
    </row>
    <row r="906">
      <c r="F906" s="108"/>
    </row>
    <row r="907">
      <c r="F907" s="108"/>
    </row>
    <row r="908">
      <c r="F908" s="108"/>
    </row>
    <row r="909">
      <c r="F909" s="108"/>
    </row>
    <row r="910">
      <c r="F910" s="108"/>
    </row>
    <row r="911">
      <c r="F911" s="108"/>
    </row>
    <row r="912">
      <c r="F912" s="108"/>
    </row>
    <row r="913">
      <c r="F913" s="108"/>
    </row>
    <row r="914">
      <c r="F914" s="108"/>
    </row>
    <row r="915">
      <c r="F915" s="108"/>
    </row>
    <row r="916">
      <c r="F916" s="108"/>
    </row>
    <row r="917">
      <c r="F917" s="108"/>
    </row>
    <row r="918">
      <c r="F918" s="108"/>
    </row>
    <row r="919">
      <c r="F919" s="108"/>
    </row>
    <row r="920">
      <c r="F920" s="108"/>
    </row>
    <row r="921">
      <c r="F921" s="108"/>
    </row>
    <row r="922">
      <c r="F922" s="108"/>
    </row>
    <row r="923">
      <c r="F923" s="108"/>
    </row>
    <row r="924">
      <c r="F924" s="108"/>
    </row>
    <row r="925">
      <c r="F925" s="108"/>
    </row>
    <row r="926">
      <c r="F926" s="108"/>
    </row>
    <row r="927">
      <c r="F927" s="108"/>
    </row>
    <row r="928">
      <c r="F928" s="108"/>
    </row>
    <row r="929">
      <c r="F929" s="108"/>
    </row>
    <row r="930">
      <c r="F930" s="108"/>
    </row>
    <row r="931">
      <c r="F931" s="108"/>
    </row>
    <row r="932">
      <c r="F932" s="108"/>
    </row>
    <row r="933">
      <c r="F933" s="108"/>
    </row>
    <row r="934">
      <c r="F934" s="108"/>
    </row>
    <row r="935">
      <c r="F935" s="108"/>
    </row>
    <row r="936">
      <c r="F936" s="108"/>
    </row>
    <row r="937">
      <c r="F937" s="108"/>
    </row>
    <row r="938">
      <c r="F938" s="108"/>
    </row>
    <row r="939">
      <c r="F939" s="108"/>
    </row>
    <row r="940">
      <c r="F940" s="108"/>
    </row>
    <row r="941">
      <c r="F941" s="108"/>
    </row>
    <row r="942">
      <c r="F942" s="108"/>
    </row>
    <row r="943">
      <c r="F943" s="108"/>
    </row>
    <row r="944">
      <c r="F944" s="108"/>
    </row>
    <row r="945">
      <c r="F945" s="108"/>
    </row>
    <row r="946">
      <c r="F946" s="108"/>
    </row>
    <row r="947">
      <c r="F947" s="108"/>
    </row>
    <row r="948">
      <c r="F948" s="108"/>
    </row>
    <row r="949">
      <c r="F949" s="108"/>
    </row>
    <row r="950">
      <c r="F950" s="108"/>
    </row>
    <row r="951">
      <c r="F951" s="108"/>
    </row>
    <row r="952">
      <c r="F952" s="108"/>
    </row>
    <row r="953">
      <c r="F953" s="108"/>
    </row>
    <row r="954">
      <c r="F954" s="108"/>
    </row>
    <row r="955">
      <c r="F955" s="108"/>
    </row>
    <row r="956">
      <c r="F956" s="108"/>
    </row>
    <row r="957">
      <c r="F957" s="108"/>
    </row>
    <row r="958">
      <c r="F958" s="108"/>
    </row>
    <row r="959">
      <c r="F959" s="108"/>
    </row>
    <row r="960">
      <c r="F960" s="108"/>
    </row>
    <row r="961">
      <c r="F961" s="108"/>
    </row>
    <row r="962">
      <c r="F962" s="108"/>
    </row>
    <row r="963">
      <c r="F963" s="108"/>
    </row>
    <row r="964">
      <c r="F964" s="108"/>
    </row>
    <row r="965">
      <c r="F965" s="108"/>
    </row>
    <row r="966">
      <c r="F966" s="108"/>
    </row>
    <row r="967">
      <c r="F967" s="108"/>
    </row>
    <row r="968">
      <c r="F968" s="108"/>
    </row>
    <row r="969">
      <c r="F969" s="108"/>
    </row>
    <row r="970">
      <c r="F970" s="108"/>
    </row>
    <row r="971">
      <c r="F971" s="108"/>
    </row>
    <row r="972">
      <c r="F972" s="108"/>
    </row>
    <row r="973">
      <c r="F973" s="108"/>
    </row>
    <row r="974">
      <c r="F974" s="108"/>
    </row>
    <row r="975">
      <c r="F975" s="108"/>
    </row>
    <row r="976">
      <c r="F976" s="108"/>
    </row>
    <row r="977">
      <c r="F977" s="108"/>
    </row>
    <row r="978">
      <c r="F978" s="108"/>
    </row>
    <row r="979">
      <c r="F979" s="108"/>
    </row>
    <row r="980">
      <c r="F980" s="108"/>
    </row>
    <row r="981">
      <c r="F981" s="108"/>
    </row>
    <row r="982">
      <c r="F982" s="108"/>
    </row>
    <row r="983">
      <c r="F983" s="108"/>
    </row>
    <row r="984">
      <c r="F984" s="108"/>
    </row>
    <row r="985">
      <c r="F985" s="108"/>
    </row>
    <row r="986">
      <c r="F986" s="108"/>
    </row>
    <row r="987">
      <c r="F987" s="108"/>
    </row>
    <row r="988">
      <c r="F988" s="108"/>
    </row>
    <row r="989">
      <c r="F989" s="108"/>
    </row>
    <row r="990">
      <c r="F990" s="108"/>
    </row>
    <row r="991">
      <c r="F991" s="108"/>
    </row>
    <row r="992">
      <c r="F992" s="108"/>
    </row>
    <row r="993">
      <c r="F993" s="108"/>
    </row>
    <row r="994">
      <c r="F994" s="108"/>
    </row>
    <row r="995">
      <c r="F995" s="108"/>
    </row>
    <row r="996">
      <c r="F996" s="108"/>
    </row>
    <row r="997">
      <c r="F997" s="108"/>
    </row>
    <row r="998">
      <c r="F998" s="108"/>
    </row>
    <row r="999">
      <c r="F999" s="108"/>
    </row>
    <row r="1000">
      <c r="F1000" s="108"/>
    </row>
  </sheetData>
  <mergeCells count="1">
    <mergeCell ref="M1:M2"/>
  </mergeCells>
  <dataValidations>
    <dataValidation type="list" allowBlank="1" sqref="O2">
      <formula1>"7,14,28,365"</formula1>
    </dataValidation>
    <dataValidation type="list" allowBlank="1" sqref="O1">
      <formula1>"line,column"</formula1>
    </dataValidation>
    <dataValidation type="custom" allowBlank="1" showDropDown="1" sqref="C2:C21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9" t="s">
        <v>171</v>
      </c>
    </row>
    <row r="2">
      <c r="A2" s="110"/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</row>
    <row r="3">
      <c r="A3" s="112" t="s">
        <v>172</v>
      </c>
      <c r="B3" s="113">
        <v>10280.0</v>
      </c>
      <c r="C3" s="114">
        <v>-0.48</v>
      </c>
      <c r="D3" s="114">
        <v>2.39</v>
      </c>
      <c r="E3" s="114">
        <v>-11.23</v>
      </c>
      <c r="F3" s="113">
        <v>10330.0</v>
      </c>
      <c r="G3" s="113">
        <v>10320.0</v>
      </c>
      <c r="H3" s="113">
        <v>10280.0</v>
      </c>
      <c r="I3" s="113">
        <v>10420.0</v>
      </c>
      <c r="J3" s="115">
        <v>0.47708333333333336</v>
      </c>
      <c r="K3" s="116">
        <v>5008.0</v>
      </c>
      <c r="L3" s="113">
        <v>5.182882E7</v>
      </c>
      <c r="M3" s="114" t="s">
        <v>173</v>
      </c>
      <c r="N3" s="113">
        <v>1501.83</v>
      </c>
    </row>
    <row r="4">
      <c r="A4" s="117" t="s">
        <v>174</v>
      </c>
      <c r="B4" s="114">
        <v>7.1</v>
      </c>
      <c r="C4" s="114">
        <v>-1.39</v>
      </c>
      <c r="D4" s="114">
        <v>3.2</v>
      </c>
      <c r="E4" s="114">
        <v>-9.9</v>
      </c>
      <c r="F4" s="114">
        <v>7.2</v>
      </c>
      <c r="G4" s="114">
        <v>7.3</v>
      </c>
      <c r="H4" s="114">
        <v>6.99</v>
      </c>
      <c r="I4" s="114">
        <v>7.4</v>
      </c>
      <c r="J4" s="115">
        <v>0.47708333333333336</v>
      </c>
      <c r="K4" s="116">
        <v>1039.0</v>
      </c>
      <c r="L4" s="113">
        <v>7335.0</v>
      </c>
      <c r="M4" s="114" t="s">
        <v>175</v>
      </c>
      <c r="N4" s="114" t="s">
        <v>175</v>
      </c>
    </row>
    <row r="5">
      <c r="A5" s="117" t="s">
        <v>176</v>
      </c>
      <c r="B5" s="113">
        <v>5160.0</v>
      </c>
      <c r="C5" s="114">
        <v>-0.58</v>
      </c>
      <c r="D5" s="114">
        <v>0.68</v>
      </c>
      <c r="E5" s="114">
        <v>20.21</v>
      </c>
      <c r="F5" s="113">
        <v>5190.0</v>
      </c>
      <c r="G5" s="113">
        <v>5260.0</v>
      </c>
      <c r="H5" s="113">
        <v>5095.0</v>
      </c>
      <c r="I5" s="113">
        <v>5265.0</v>
      </c>
      <c r="J5" s="115">
        <v>0.47708333333333336</v>
      </c>
      <c r="K5" s="114">
        <v>463.0</v>
      </c>
      <c r="L5" s="113">
        <v>2390665.0</v>
      </c>
      <c r="M5" s="114" t="s">
        <v>177</v>
      </c>
      <c r="N5" s="113">
        <v>1483.06</v>
      </c>
    </row>
    <row r="6">
      <c r="A6" s="117" t="s">
        <v>178</v>
      </c>
      <c r="B6" s="113">
        <v>20000.0</v>
      </c>
      <c r="C6" s="114">
        <v>-0.25</v>
      </c>
      <c r="D6" s="114">
        <v>1.73</v>
      </c>
      <c r="E6" s="114">
        <v>-3.71</v>
      </c>
      <c r="F6" s="113">
        <v>20050.0</v>
      </c>
      <c r="G6" s="113">
        <v>20000.0</v>
      </c>
      <c r="H6" s="113">
        <v>19910.0</v>
      </c>
      <c r="I6" s="113">
        <v>20140.0</v>
      </c>
      <c r="J6" s="115">
        <v>0.47708333333333336</v>
      </c>
      <c r="K6" s="116">
        <v>11467.0</v>
      </c>
      <c r="L6" s="113">
        <v>2.2954883E8</v>
      </c>
      <c r="M6" s="114" t="s">
        <v>179</v>
      </c>
      <c r="N6" s="113">
        <v>1481.43</v>
      </c>
    </row>
    <row r="7">
      <c r="A7" s="117" t="s">
        <v>180</v>
      </c>
      <c r="B7" s="113">
        <v>33760.0</v>
      </c>
      <c r="C7" s="114">
        <v>0.06</v>
      </c>
      <c r="D7" s="114">
        <v>0.66</v>
      </c>
      <c r="E7" s="114">
        <v>-2.93</v>
      </c>
      <c r="F7" s="113">
        <v>33740.0</v>
      </c>
      <c r="G7" s="113">
        <v>33800.0</v>
      </c>
      <c r="H7" s="113">
        <v>33380.0</v>
      </c>
      <c r="I7" s="113">
        <v>33820.0</v>
      </c>
      <c r="J7" s="115">
        <v>0.47708333333333336</v>
      </c>
      <c r="K7" s="114">
        <v>114.0</v>
      </c>
      <c r="L7" s="113">
        <v>3814540.0</v>
      </c>
      <c r="M7" s="114" t="s">
        <v>181</v>
      </c>
      <c r="N7" s="113">
        <v>1496.19</v>
      </c>
    </row>
    <row r="8">
      <c r="A8" s="117" t="s">
        <v>182</v>
      </c>
      <c r="B8" s="113">
        <v>12870.0</v>
      </c>
      <c r="C8" s="114">
        <v>2.31</v>
      </c>
      <c r="D8" s="114">
        <v>1.98</v>
      </c>
      <c r="E8" s="114">
        <v>14.1</v>
      </c>
      <c r="F8" s="113">
        <v>12580.0</v>
      </c>
      <c r="G8" s="113">
        <v>12760.0</v>
      </c>
      <c r="H8" s="113">
        <v>12750.0</v>
      </c>
      <c r="I8" s="113">
        <v>12980.0</v>
      </c>
      <c r="J8" s="115">
        <v>0.47708333333333336</v>
      </c>
      <c r="K8" s="114">
        <v>381.0</v>
      </c>
      <c r="L8" s="113">
        <v>4897120.0</v>
      </c>
      <c r="M8" s="114" t="s">
        <v>183</v>
      </c>
      <c r="N8" s="113">
        <v>1515.9</v>
      </c>
    </row>
    <row r="9">
      <c r="A9" s="117" t="s">
        <v>184</v>
      </c>
      <c r="B9" s="113">
        <v>4405.0</v>
      </c>
      <c r="C9" s="114">
        <v>2.62</v>
      </c>
      <c r="D9" s="114">
        <v>3.77</v>
      </c>
      <c r="E9" s="114">
        <v>13.6</v>
      </c>
      <c r="F9" s="113">
        <v>4292.5</v>
      </c>
      <c r="G9" s="113">
        <v>4310.0</v>
      </c>
      <c r="H9" s="113">
        <v>4207.5</v>
      </c>
      <c r="I9" s="113">
        <v>4407.5</v>
      </c>
      <c r="J9" s="115">
        <v>0.47708333333333336</v>
      </c>
      <c r="K9" s="114">
        <v>263.0</v>
      </c>
      <c r="L9" s="113">
        <v>1129763.0</v>
      </c>
      <c r="M9" s="114" t="s">
        <v>185</v>
      </c>
      <c r="N9" s="114" t="s">
        <v>175</v>
      </c>
    </row>
    <row r="10">
      <c r="A10" s="117" t="s">
        <v>186</v>
      </c>
      <c r="B10" s="113">
        <v>13050.0</v>
      </c>
      <c r="C10" s="114">
        <v>-0.15</v>
      </c>
      <c r="D10" s="114">
        <v>0.23</v>
      </c>
      <c r="E10" s="114">
        <v>-6.12</v>
      </c>
      <c r="F10" s="113">
        <v>13070.0</v>
      </c>
      <c r="G10" s="113">
        <v>13220.0</v>
      </c>
      <c r="H10" s="113">
        <v>12880.0</v>
      </c>
      <c r="I10" s="113">
        <v>13220.0</v>
      </c>
      <c r="J10" s="115">
        <v>0.47708333333333336</v>
      </c>
      <c r="K10" s="114">
        <v>590.0</v>
      </c>
      <c r="L10" s="113">
        <v>7676790.0</v>
      </c>
      <c r="M10" s="114" t="s">
        <v>187</v>
      </c>
      <c r="N10" s="113">
        <v>1490.75</v>
      </c>
    </row>
    <row r="11">
      <c r="A11" s="117" t="s">
        <v>188</v>
      </c>
      <c r="B11" s="113">
        <v>40800.0</v>
      </c>
      <c r="C11" s="114">
        <v>-0.24</v>
      </c>
      <c r="D11" s="114">
        <v>-0.54</v>
      </c>
      <c r="E11" s="114">
        <v>-14.57</v>
      </c>
      <c r="F11" s="113">
        <v>40900.0</v>
      </c>
      <c r="G11" s="113">
        <v>41220.0</v>
      </c>
      <c r="H11" s="113">
        <v>40500.0</v>
      </c>
      <c r="I11" s="113">
        <v>41220.0</v>
      </c>
      <c r="J11" s="115">
        <v>0.47708333333333336</v>
      </c>
      <c r="K11" s="114">
        <v>86.0</v>
      </c>
      <c r="L11" s="113">
        <v>3517340.0</v>
      </c>
      <c r="M11" s="114" t="s">
        <v>189</v>
      </c>
      <c r="N11" s="113">
        <v>1491.64</v>
      </c>
    </row>
    <row r="12">
      <c r="A12" s="117" t="s">
        <v>190</v>
      </c>
      <c r="B12" s="114">
        <v>28.71</v>
      </c>
      <c r="C12" s="114">
        <v>3.76</v>
      </c>
      <c r="D12" s="114">
        <v>1.34</v>
      </c>
      <c r="E12" s="114">
        <v>-10.28</v>
      </c>
      <c r="F12" s="114">
        <v>27.67</v>
      </c>
      <c r="G12" s="114">
        <v>28.0</v>
      </c>
      <c r="H12" s="114">
        <v>28.0</v>
      </c>
      <c r="I12" s="114">
        <v>28.8</v>
      </c>
      <c r="J12" s="115">
        <v>0.47708333333333336</v>
      </c>
      <c r="K12" s="114">
        <v>84.0</v>
      </c>
      <c r="L12" s="113">
        <v>2390.0</v>
      </c>
      <c r="M12" s="114" t="s">
        <v>175</v>
      </c>
      <c r="N12" s="114" t="s">
        <v>175</v>
      </c>
    </row>
    <row r="13">
      <c r="A13" s="117" t="s">
        <v>191</v>
      </c>
      <c r="B13" s="113">
        <v>5015.0</v>
      </c>
      <c r="C13" s="114">
        <v>-5.64</v>
      </c>
      <c r="D13" s="114">
        <v>-4.75</v>
      </c>
      <c r="E13" s="114">
        <v>-12.17</v>
      </c>
      <c r="F13" s="113">
        <v>5315.0</v>
      </c>
      <c r="G13" s="113">
        <v>5465.0</v>
      </c>
      <c r="H13" s="113">
        <v>4980.0</v>
      </c>
      <c r="I13" s="113">
        <v>5465.0</v>
      </c>
      <c r="J13" s="115">
        <v>0.47708333333333336</v>
      </c>
      <c r="K13" s="116">
        <v>1311.0</v>
      </c>
      <c r="L13" s="113">
        <v>6621738.0</v>
      </c>
      <c r="M13" s="114" t="s">
        <v>192</v>
      </c>
      <c r="N13" s="113">
        <v>1409.82</v>
      </c>
    </row>
    <row r="14">
      <c r="A14" s="117" t="s">
        <v>193</v>
      </c>
      <c r="B14" s="114">
        <v>3.45</v>
      </c>
      <c r="C14" s="114">
        <v>-4.96</v>
      </c>
      <c r="D14" s="114">
        <v>-3.36</v>
      </c>
      <c r="E14" s="114">
        <v>-7.26</v>
      </c>
      <c r="F14" s="114">
        <v>3.63</v>
      </c>
      <c r="G14" s="114">
        <v>3.62</v>
      </c>
      <c r="H14" s="114">
        <v>3.45</v>
      </c>
      <c r="I14" s="114">
        <v>3.62</v>
      </c>
      <c r="J14" s="115">
        <v>0.47708333333333336</v>
      </c>
      <c r="K14" s="114">
        <v>152.0</v>
      </c>
      <c r="L14" s="114">
        <v>527.0</v>
      </c>
      <c r="M14" s="114" t="s">
        <v>175</v>
      </c>
      <c r="N14" s="114" t="s">
        <v>175</v>
      </c>
    </row>
    <row r="15">
      <c r="A15" s="117" t="s">
        <v>194</v>
      </c>
      <c r="B15" s="113">
        <v>9730.0</v>
      </c>
      <c r="C15" s="114">
        <v>-2.01</v>
      </c>
      <c r="D15" s="114">
        <v>-2.99</v>
      </c>
      <c r="E15" s="114">
        <v>-20.51</v>
      </c>
      <c r="F15" s="113">
        <v>9930.0</v>
      </c>
      <c r="G15" s="113">
        <v>9850.0</v>
      </c>
      <c r="H15" s="113">
        <v>9720.0</v>
      </c>
      <c r="I15" s="113">
        <v>9850.0</v>
      </c>
      <c r="J15" s="115">
        <v>0.47708333333333336</v>
      </c>
      <c r="K15" s="116">
        <v>2341.0</v>
      </c>
      <c r="L15" s="113">
        <v>2.283338E7</v>
      </c>
      <c r="M15" s="114" t="s">
        <v>195</v>
      </c>
      <c r="N15" s="113">
        <v>1459.27</v>
      </c>
    </row>
    <row r="16">
      <c r="A16" s="117" t="s">
        <v>196</v>
      </c>
      <c r="B16" s="113">
        <v>13220.0</v>
      </c>
      <c r="C16" s="114">
        <v>1.61</v>
      </c>
      <c r="D16" s="114">
        <v>-0.75</v>
      </c>
      <c r="E16" s="114">
        <v>8.9</v>
      </c>
      <c r="F16" s="113">
        <v>13010.0</v>
      </c>
      <c r="G16" s="113">
        <v>13590.0</v>
      </c>
      <c r="H16" s="113">
        <v>12680.0</v>
      </c>
      <c r="I16" s="113">
        <v>13600.0</v>
      </c>
      <c r="J16" s="115">
        <v>0.47708333333333336</v>
      </c>
      <c r="K16" s="114">
        <v>264.0</v>
      </c>
      <c r="L16" s="113">
        <v>3395010.0</v>
      </c>
      <c r="M16" s="114" t="s">
        <v>185</v>
      </c>
      <c r="N16" s="114" t="s">
        <v>175</v>
      </c>
    </row>
    <row r="17">
      <c r="A17" s="117" t="s">
        <v>197</v>
      </c>
      <c r="B17" s="113">
        <v>31040.0</v>
      </c>
      <c r="C17" s="114">
        <v>-1.71</v>
      </c>
      <c r="D17" s="114">
        <v>-0.83</v>
      </c>
      <c r="E17" s="114">
        <v>11.25</v>
      </c>
      <c r="F17" s="113">
        <v>31580.0</v>
      </c>
      <c r="G17" s="113">
        <v>31640.0</v>
      </c>
      <c r="H17" s="113">
        <v>31040.0</v>
      </c>
      <c r="I17" s="113">
        <v>31640.0</v>
      </c>
      <c r="J17" s="115">
        <v>0.47708333333333336</v>
      </c>
      <c r="K17" s="114">
        <v>51.0</v>
      </c>
      <c r="L17" s="113">
        <v>1604200.0</v>
      </c>
      <c r="M17" s="114" t="s">
        <v>187</v>
      </c>
      <c r="N17" s="113">
        <v>1469.42</v>
      </c>
    </row>
    <row r="18">
      <c r="A18" s="117" t="s">
        <v>198</v>
      </c>
      <c r="B18" s="113">
        <v>11640.0</v>
      </c>
      <c r="C18" s="114">
        <v>-0.77</v>
      </c>
      <c r="D18" s="114" t="s">
        <v>175</v>
      </c>
      <c r="E18" s="114">
        <v>-1.61</v>
      </c>
      <c r="F18" s="113">
        <v>11730.0</v>
      </c>
      <c r="G18" s="114" t="s">
        <v>175</v>
      </c>
      <c r="H18" s="114" t="s">
        <v>175</v>
      </c>
      <c r="I18" s="114" t="s">
        <v>175</v>
      </c>
      <c r="J18" s="115">
        <v>0.46875</v>
      </c>
      <c r="K18" s="114" t="s">
        <v>175</v>
      </c>
      <c r="L18" s="114" t="s">
        <v>175</v>
      </c>
      <c r="M18" s="114" t="s">
        <v>185</v>
      </c>
      <c r="N18" s="113">
        <v>1482.8</v>
      </c>
    </row>
    <row r="19">
      <c r="A19" s="117" t="s">
        <v>199</v>
      </c>
      <c r="B19" s="113">
        <v>49640.0</v>
      </c>
      <c r="C19" s="114">
        <v>4.86</v>
      </c>
      <c r="D19" s="114">
        <v>2.31</v>
      </c>
      <c r="E19" s="114">
        <v>13.23</v>
      </c>
      <c r="F19" s="113">
        <v>47340.0</v>
      </c>
      <c r="G19" s="113">
        <v>50000.0</v>
      </c>
      <c r="H19" s="113">
        <v>49640.0</v>
      </c>
      <c r="I19" s="113">
        <v>50550.0</v>
      </c>
      <c r="J19" s="115">
        <v>0.47708333333333336</v>
      </c>
      <c r="K19" s="114">
        <v>211.0</v>
      </c>
      <c r="L19" s="113">
        <v>1.060312E7</v>
      </c>
      <c r="M19" s="114" t="s">
        <v>200</v>
      </c>
      <c r="N19" s="113">
        <v>1560.84</v>
      </c>
    </row>
    <row r="20">
      <c r="A20" s="117" t="s">
        <v>201</v>
      </c>
      <c r="B20" s="113">
        <v>21870.0</v>
      </c>
      <c r="C20" s="114">
        <v>-0.77</v>
      </c>
      <c r="D20" s="114">
        <v>-2.28</v>
      </c>
      <c r="E20" s="114">
        <v>-16.59</v>
      </c>
      <c r="F20" s="113">
        <v>22040.0</v>
      </c>
      <c r="G20" s="113">
        <v>21860.0</v>
      </c>
      <c r="H20" s="113">
        <v>21860.0</v>
      </c>
      <c r="I20" s="113">
        <v>21870.0</v>
      </c>
      <c r="J20" s="115">
        <v>0.47708333333333336</v>
      </c>
      <c r="K20" s="114">
        <v>157.0</v>
      </c>
      <c r="L20" s="113">
        <v>3432520.0</v>
      </c>
      <c r="M20" s="114" t="s">
        <v>202</v>
      </c>
      <c r="N20" s="113">
        <v>1479.3</v>
      </c>
    </row>
    <row r="21">
      <c r="A21" s="117" t="s">
        <v>203</v>
      </c>
      <c r="B21" s="113">
        <v>99500.0</v>
      </c>
      <c r="C21" s="114">
        <v>1.4</v>
      </c>
      <c r="D21" s="114">
        <v>1.17</v>
      </c>
      <c r="E21" s="114">
        <v>25.43</v>
      </c>
      <c r="F21" s="113">
        <v>98125.0</v>
      </c>
      <c r="G21" s="113">
        <v>99300.0</v>
      </c>
      <c r="H21" s="113">
        <v>99300.0</v>
      </c>
      <c r="I21" s="113">
        <v>100475.0</v>
      </c>
      <c r="J21" s="115">
        <v>0.47708333333333336</v>
      </c>
      <c r="K21" s="114">
        <v>76.0</v>
      </c>
      <c r="L21" s="113">
        <v>7579300.0</v>
      </c>
      <c r="M21" s="114" t="s">
        <v>202</v>
      </c>
      <c r="N21" s="113">
        <v>1514.92</v>
      </c>
    </row>
    <row r="22">
      <c r="A22" s="117" t="s">
        <v>204</v>
      </c>
      <c r="B22" s="113">
        <v>37440.0</v>
      </c>
      <c r="C22" s="114">
        <v>0.97</v>
      </c>
      <c r="D22" s="114">
        <v>4.35</v>
      </c>
      <c r="E22" s="114">
        <v>14.71</v>
      </c>
      <c r="F22" s="113">
        <v>37080.0</v>
      </c>
      <c r="G22" s="113">
        <v>37240.0</v>
      </c>
      <c r="H22" s="113">
        <v>37240.0</v>
      </c>
      <c r="I22" s="113">
        <v>38040.0</v>
      </c>
      <c r="J22" s="115">
        <v>0.47708333333333336</v>
      </c>
      <c r="K22" s="116">
        <v>4176.0</v>
      </c>
      <c r="L22" s="113">
        <v>1.5661154E8</v>
      </c>
      <c r="M22" s="114" t="s">
        <v>181</v>
      </c>
      <c r="N22" s="113">
        <v>1520.28</v>
      </c>
    </row>
    <row r="23">
      <c r="A23" s="117" t="s">
        <v>205</v>
      </c>
      <c r="B23" s="114">
        <v>25.79</v>
      </c>
      <c r="C23" s="114">
        <v>0.86</v>
      </c>
      <c r="D23" s="114">
        <v>4.88</v>
      </c>
      <c r="E23" s="114">
        <v>17.82</v>
      </c>
      <c r="F23" s="114">
        <v>25.57</v>
      </c>
      <c r="G23" s="114">
        <v>25.35</v>
      </c>
      <c r="H23" s="114">
        <v>25.35</v>
      </c>
      <c r="I23" s="114">
        <v>26.3</v>
      </c>
      <c r="J23" s="115">
        <v>0.47708333333333336</v>
      </c>
      <c r="K23" s="114">
        <v>437.0</v>
      </c>
      <c r="L23" s="113">
        <v>11283.0</v>
      </c>
      <c r="M23" s="114" t="s">
        <v>175</v>
      </c>
      <c r="N23" s="114" t="s">
        <v>175</v>
      </c>
    </row>
    <row r="24">
      <c r="A24" s="117" t="s">
        <v>206</v>
      </c>
      <c r="B24" s="113">
        <v>17130.0</v>
      </c>
      <c r="C24" s="114">
        <v>0.12</v>
      </c>
      <c r="D24" s="114">
        <v>0.12</v>
      </c>
      <c r="E24" s="114">
        <v>2.76</v>
      </c>
      <c r="F24" s="113">
        <v>17110.0</v>
      </c>
      <c r="G24" s="113">
        <v>17250.0</v>
      </c>
      <c r="H24" s="113">
        <v>17020.0</v>
      </c>
      <c r="I24" s="113">
        <v>17250.0</v>
      </c>
      <c r="J24" s="115">
        <v>0.47708333333333336</v>
      </c>
      <c r="K24" s="114">
        <v>35.0</v>
      </c>
      <c r="L24" s="113">
        <v>601300.0</v>
      </c>
      <c r="M24" s="114" t="s">
        <v>207</v>
      </c>
      <c r="N24" s="113">
        <v>1490.95</v>
      </c>
    </row>
    <row r="25">
      <c r="A25" s="117" t="s">
        <v>208</v>
      </c>
      <c r="B25" s="113">
        <v>2527.5</v>
      </c>
      <c r="C25" s="114">
        <v>-0.1</v>
      </c>
      <c r="D25" s="114">
        <v>0.1</v>
      </c>
      <c r="E25" s="114">
        <v>2.74</v>
      </c>
      <c r="F25" s="113">
        <v>2530.0</v>
      </c>
      <c r="G25" s="113">
        <v>2540.0</v>
      </c>
      <c r="H25" s="113">
        <v>2515.0</v>
      </c>
      <c r="I25" s="113">
        <v>2555.0</v>
      </c>
      <c r="J25" s="115">
        <v>0.47708333333333336</v>
      </c>
      <c r="K25" s="116">
        <v>42269.0</v>
      </c>
      <c r="L25" s="113">
        <v>1.07057233E8</v>
      </c>
      <c r="M25" s="114" t="s">
        <v>209</v>
      </c>
      <c r="N25" s="113">
        <v>1498.02</v>
      </c>
    </row>
    <row r="26">
      <c r="A26" s="117" t="s">
        <v>210</v>
      </c>
      <c r="B26" s="113">
        <v>151600.0</v>
      </c>
      <c r="C26" s="114">
        <v>0.17</v>
      </c>
      <c r="D26" s="114">
        <v>3.34</v>
      </c>
      <c r="E26" s="114">
        <v>-21.99</v>
      </c>
      <c r="F26" s="113">
        <v>151350.0</v>
      </c>
      <c r="G26" s="113">
        <v>152525.0</v>
      </c>
      <c r="H26" s="113">
        <v>151575.0</v>
      </c>
      <c r="I26" s="113">
        <v>152525.0</v>
      </c>
      <c r="J26" s="115">
        <v>0.4722222222222222</v>
      </c>
      <c r="K26" s="114">
        <v>4.0</v>
      </c>
      <c r="L26" s="113">
        <v>607275.0</v>
      </c>
      <c r="M26" s="114" t="s">
        <v>185</v>
      </c>
      <c r="N26" s="113">
        <v>1494.33</v>
      </c>
    </row>
    <row r="27">
      <c r="A27" s="117" t="s">
        <v>211</v>
      </c>
      <c r="B27" s="113">
        <v>24900.0</v>
      </c>
      <c r="C27" s="114">
        <v>2.01</v>
      </c>
      <c r="D27" s="114">
        <v>0.69</v>
      </c>
      <c r="E27" s="114">
        <v>11.96</v>
      </c>
      <c r="F27" s="113">
        <v>24410.0</v>
      </c>
      <c r="G27" s="113">
        <v>24500.0</v>
      </c>
      <c r="H27" s="113">
        <v>24490.0</v>
      </c>
      <c r="I27" s="113">
        <v>24900.0</v>
      </c>
      <c r="J27" s="115">
        <v>0.47708333333333336</v>
      </c>
      <c r="K27" s="114">
        <v>82.0</v>
      </c>
      <c r="L27" s="113">
        <v>2025010.0</v>
      </c>
      <c r="M27" s="114" t="s">
        <v>212</v>
      </c>
      <c r="N27" s="113">
        <v>1510.92</v>
      </c>
    </row>
    <row r="28">
      <c r="A28" s="117" t="s">
        <v>213</v>
      </c>
      <c r="B28" s="113">
        <v>11200.0</v>
      </c>
      <c r="C28" s="114">
        <v>0.54</v>
      </c>
      <c r="D28" s="114">
        <v>-0.62</v>
      </c>
      <c r="E28" s="114">
        <v>-10.4</v>
      </c>
      <c r="F28" s="113">
        <v>11140.0</v>
      </c>
      <c r="G28" s="113">
        <v>11180.0</v>
      </c>
      <c r="H28" s="113">
        <v>11170.0</v>
      </c>
      <c r="I28" s="113">
        <v>11380.0</v>
      </c>
      <c r="J28" s="115">
        <v>0.47708333333333336</v>
      </c>
      <c r="K28" s="116">
        <v>1098.0</v>
      </c>
      <c r="L28" s="113">
        <v>1.232388E7</v>
      </c>
      <c r="M28" s="114" t="s">
        <v>181</v>
      </c>
      <c r="N28" s="113">
        <v>1506.19</v>
      </c>
    </row>
    <row r="29">
      <c r="A29" s="117" t="s">
        <v>214</v>
      </c>
      <c r="B29" s="113">
        <v>6025.0</v>
      </c>
      <c r="C29" s="114">
        <v>0.67</v>
      </c>
      <c r="D29" s="114">
        <v>2.99</v>
      </c>
      <c r="E29" s="114">
        <v>-7.45</v>
      </c>
      <c r="F29" s="113">
        <v>5985.0</v>
      </c>
      <c r="G29" s="113">
        <v>5895.0</v>
      </c>
      <c r="H29" s="113">
        <v>5895.0</v>
      </c>
      <c r="I29" s="113">
        <v>6090.0</v>
      </c>
      <c r="J29" s="115">
        <v>0.47708333333333336</v>
      </c>
      <c r="K29" s="114">
        <v>179.0</v>
      </c>
      <c r="L29" s="113">
        <v>1080095.0</v>
      </c>
      <c r="M29" s="114" t="s">
        <v>215</v>
      </c>
      <c r="N29" s="113">
        <v>1521.32</v>
      </c>
    </row>
    <row r="30">
      <c r="A30" s="117" t="s">
        <v>216</v>
      </c>
      <c r="B30" s="114">
        <v>4.25</v>
      </c>
      <c r="C30" s="114">
        <v>0.71</v>
      </c>
      <c r="D30" s="114">
        <v>5.46</v>
      </c>
      <c r="E30" s="114" t="s">
        <v>175</v>
      </c>
      <c r="F30" s="114">
        <v>4.22</v>
      </c>
      <c r="G30" s="114" t="s">
        <v>175</v>
      </c>
      <c r="H30" s="114" t="s">
        <v>175</v>
      </c>
      <c r="I30" s="114" t="s">
        <v>175</v>
      </c>
      <c r="J30" s="115">
        <v>0.4722222222222222</v>
      </c>
      <c r="K30" s="114" t="s">
        <v>175</v>
      </c>
      <c r="L30" s="114" t="s">
        <v>175</v>
      </c>
      <c r="M30" s="114" t="s">
        <v>175</v>
      </c>
      <c r="N30" s="114" t="s">
        <v>175</v>
      </c>
    </row>
    <row r="31">
      <c r="A31" s="117" t="s">
        <v>217</v>
      </c>
      <c r="B31" s="113">
        <v>12770.0</v>
      </c>
      <c r="C31" s="114">
        <v>0.39</v>
      </c>
      <c r="D31" s="114">
        <v>-0.16</v>
      </c>
      <c r="E31" s="114">
        <v>-6.65</v>
      </c>
      <c r="F31" s="113">
        <v>12720.0</v>
      </c>
      <c r="G31" s="113">
        <v>12690.0</v>
      </c>
      <c r="H31" s="113">
        <v>12690.0</v>
      </c>
      <c r="I31" s="113">
        <v>12860.0</v>
      </c>
      <c r="J31" s="115">
        <v>0.47708333333333336</v>
      </c>
      <c r="K31" s="116">
        <v>1537.0</v>
      </c>
      <c r="L31" s="113">
        <v>1.96323E7</v>
      </c>
      <c r="M31" s="114" t="s">
        <v>218</v>
      </c>
      <c r="N31" s="113">
        <v>1504.12</v>
      </c>
    </row>
    <row r="32">
      <c r="A32" s="117" t="s">
        <v>219</v>
      </c>
      <c r="B32" s="113">
        <v>35180.0</v>
      </c>
      <c r="C32" s="114">
        <v>-0.06</v>
      </c>
      <c r="D32" s="114">
        <v>-0.06</v>
      </c>
      <c r="E32" s="114">
        <v>-7.27</v>
      </c>
      <c r="F32" s="113">
        <v>35200.0</v>
      </c>
      <c r="G32" s="113">
        <v>34740.0</v>
      </c>
      <c r="H32" s="113">
        <v>34720.0</v>
      </c>
      <c r="I32" s="113">
        <v>35380.0</v>
      </c>
      <c r="J32" s="115">
        <v>0.47708333333333336</v>
      </c>
      <c r="K32" s="114">
        <v>165.0</v>
      </c>
      <c r="L32" s="113">
        <v>5768660.0</v>
      </c>
      <c r="M32" s="114" t="s">
        <v>187</v>
      </c>
      <c r="N32" s="113">
        <v>1495.62</v>
      </c>
    </row>
    <row r="33">
      <c r="A33" s="117" t="s">
        <v>220</v>
      </c>
      <c r="B33" s="114">
        <v>24.03</v>
      </c>
      <c r="C33" s="114">
        <v>-1.48</v>
      </c>
      <c r="D33" s="114">
        <v>-0.5</v>
      </c>
      <c r="E33" s="114">
        <v>-7.36</v>
      </c>
      <c r="F33" s="114">
        <v>24.39</v>
      </c>
      <c r="G33" s="114">
        <v>25.0</v>
      </c>
      <c r="H33" s="114">
        <v>24.03</v>
      </c>
      <c r="I33" s="114">
        <v>25.0</v>
      </c>
      <c r="J33" s="115">
        <v>0.47708333333333336</v>
      </c>
      <c r="K33" s="114">
        <v>28.0</v>
      </c>
      <c r="L33" s="114">
        <v>685.0</v>
      </c>
      <c r="M33" s="114" t="s">
        <v>175</v>
      </c>
      <c r="N33" s="114" t="s">
        <v>175</v>
      </c>
    </row>
    <row r="34">
      <c r="A34" s="117" t="s">
        <v>221</v>
      </c>
      <c r="B34" s="113">
        <v>36280.0</v>
      </c>
      <c r="C34" s="114">
        <v>5.83</v>
      </c>
      <c r="D34" s="114">
        <v>3.6</v>
      </c>
      <c r="E34" s="114">
        <v>6.64</v>
      </c>
      <c r="F34" s="113">
        <v>34280.0</v>
      </c>
      <c r="G34" s="113">
        <v>36160.0</v>
      </c>
      <c r="H34" s="113">
        <v>35960.0</v>
      </c>
      <c r="I34" s="113">
        <v>36800.0</v>
      </c>
      <c r="J34" s="115">
        <v>0.47708333333333336</v>
      </c>
      <c r="K34" s="116">
        <v>8588.0</v>
      </c>
      <c r="L34" s="113">
        <v>3.131084E8</v>
      </c>
      <c r="M34" s="114" t="s">
        <v>173</v>
      </c>
      <c r="N34" s="113">
        <v>1562.78</v>
      </c>
    </row>
    <row r="35">
      <c r="A35" s="117" t="s">
        <v>222</v>
      </c>
      <c r="B35" s="114">
        <v>24.82</v>
      </c>
      <c r="C35" s="114">
        <v>5.17</v>
      </c>
      <c r="D35" s="114">
        <v>3.16</v>
      </c>
      <c r="E35" s="114">
        <v>8.72</v>
      </c>
      <c r="F35" s="114">
        <v>23.6</v>
      </c>
      <c r="G35" s="114">
        <v>24.65</v>
      </c>
      <c r="H35" s="114">
        <v>24.65</v>
      </c>
      <c r="I35" s="114">
        <v>25.5</v>
      </c>
      <c r="J35" s="115">
        <v>0.47708333333333336</v>
      </c>
      <c r="K35" s="114">
        <v>721.0</v>
      </c>
      <c r="L35" s="113">
        <v>18023.0</v>
      </c>
      <c r="M35" s="114" t="s">
        <v>175</v>
      </c>
      <c r="N35" s="114" t="s">
        <v>175</v>
      </c>
    </row>
    <row r="36">
      <c r="A36" s="117" t="s">
        <v>223</v>
      </c>
      <c r="B36" s="113">
        <v>14610.0</v>
      </c>
      <c r="C36" s="114" t="s">
        <v>175</v>
      </c>
      <c r="D36" s="114">
        <v>-0.2</v>
      </c>
      <c r="E36" s="114">
        <v>4.88</v>
      </c>
      <c r="F36" s="113">
        <v>14610.0</v>
      </c>
      <c r="G36" s="113">
        <v>14680.0</v>
      </c>
      <c r="H36" s="113">
        <v>14480.0</v>
      </c>
      <c r="I36" s="113">
        <v>14680.0</v>
      </c>
      <c r="J36" s="115">
        <v>0.47708333333333336</v>
      </c>
      <c r="K36" s="114">
        <v>610.0</v>
      </c>
      <c r="L36" s="113">
        <v>8876280.0</v>
      </c>
      <c r="M36" s="114" t="s">
        <v>224</v>
      </c>
      <c r="N36" s="113">
        <v>1504.76</v>
      </c>
    </row>
    <row r="37">
      <c r="A37" s="117" t="s">
        <v>225</v>
      </c>
      <c r="B37" s="113">
        <v>20140.0</v>
      </c>
      <c r="C37" s="114" t="s">
        <v>175</v>
      </c>
      <c r="D37" s="114">
        <v>0.65</v>
      </c>
      <c r="E37" s="114">
        <v>-4.78</v>
      </c>
      <c r="F37" s="113">
        <v>20140.0</v>
      </c>
      <c r="G37" s="113">
        <v>20160.0</v>
      </c>
      <c r="H37" s="113">
        <v>20000.0</v>
      </c>
      <c r="I37" s="113">
        <v>20280.0</v>
      </c>
      <c r="J37" s="115">
        <v>0.47708333333333336</v>
      </c>
      <c r="K37" s="114">
        <v>426.0</v>
      </c>
      <c r="L37" s="113">
        <v>8566320.0</v>
      </c>
      <c r="M37" s="114" t="s">
        <v>189</v>
      </c>
      <c r="N37" s="114" t="s">
        <v>175</v>
      </c>
    </row>
    <row r="38">
      <c r="A38" s="117" t="s">
        <v>226</v>
      </c>
      <c r="B38" s="113">
        <v>27160.0</v>
      </c>
      <c r="C38" s="114">
        <v>-2.72</v>
      </c>
      <c r="D38" s="114">
        <v>-4.84</v>
      </c>
      <c r="E38" s="114">
        <v>7.78</v>
      </c>
      <c r="F38" s="113">
        <v>27920.0</v>
      </c>
      <c r="G38" s="113">
        <v>27700.0</v>
      </c>
      <c r="H38" s="113">
        <v>27140.0</v>
      </c>
      <c r="I38" s="113">
        <v>27700.0</v>
      </c>
      <c r="J38" s="115">
        <v>0.47708333333333336</v>
      </c>
      <c r="K38" s="116">
        <v>2018.0</v>
      </c>
      <c r="L38" s="113">
        <v>5.502986E7</v>
      </c>
      <c r="M38" s="114" t="s">
        <v>227</v>
      </c>
      <c r="N38" s="113">
        <v>1451.63</v>
      </c>
    </row>
    <row r="39">
      <c r="A39" s="117" t="s">
        <v>228</v>
      </c>
      <c r="B39" s="114">
        <v>10.1</v>
      </c>
      <c r="C39" s="114">
        <v>-0.2</v>
      </c>
      <c r="D39" s="114">
        <v>1.0</v>
      </c>
      <c r="E39" s="114">
        <v>7.22</v>
      </c>
      <c r="F39" s="114">
        <v>10.12</v>
      </c>
      <c r="G39" s="114">
        <v>10.13</v>
      </c>
      <c r="H39" s="114">
        <v>10.1</v>
      </c>
      <c r="I39" s="114">
        <v>10.13</v>
      </c>
      <c r="J39" s="115">
        <v>0.47708333333333336</v>
      </c>
      <c r="K39" s="114">
        <v>72.0</v>
      </c>
      <c r="L39" s="114">
        <v>727.0</v>
      </c>
      <c r="M39" s="114" t="s">
        <v>175</v>
      </c>
      <c r="N39" s="114" t="s">
        <v>175</v>
      </c>
    </row>
    <row r="40">
      <c r="A40" s="117" t="s">
        <v>229</v>
      </c>
      <c r="B40" s="113">
        <v>2670.0</v>
      </c>
      <c r="C40" s="114">
        <v>4.4</v>
      </c>
      <c r="D40" s="114">
        <v>0.38</v>
      </c>
      <c r="E40" s="114">
        <v>16.64</v>
      </c>
      <c r="F40" s="113">
        <v>2557.5</v>
      </c>
      <c r="G40" s="113">
        <v>2602.5</v>
      </c>
      <c r="H40" s="113">
        <v>2602.5</v>
      </c>
      <c r="I40" s="113">
        <v>2670.0</v>
      </c>
      <c r="J40" s="115">
        <v>0.47708333333333336</v>
      </c>
      <c r="K40" s="114">
        <v>618.0</v>
      </c>
      <c r="L40" s="113">
        <v>1635378.0</v>
      </c>
      <c r="M40" s="114" t="s">
        <v>173</v>
      </c>
      <c r="N40" s="113">
        <v>1538.9</v>
      </c>
    </row>
    <row r="41">
      <c r="A41" s="117" t="s">
        <v>230</v>
      </c>
      <c r="B41" s="113">
        <v>1782.0</v>
      </c>
      <c r="C41" s="114">
        <v>0.06</v>
      </c>
      <c r="D41" s="114">
        <v>0.34</v>
      </c>
      <c r="E41" s="114">
        <v>-7.04</v>
      </c>
      <c r="F41" s="113">
        <v>1781.0</v>
      </c>
      <c r="G41" s="113">
        <v>1797.0</v>
      </c>
      <c r="H41" s="113">
        <v>1782.0</v>
      </c>
      <c r="I41" s="113">
        <v>1798.0</v>
      </c>
      <c r="J41" s="115">
        <v>0.47708333333333336</v>
      </c>
      <c r="K41" s="114">
        <v>11.0</v>
      </c>
      <c r="L41" s="113">
        <v>19754.0</v>
      </c>
      <c r="M41" s="114" t="s">
        <v>231</v>
      </c>
      <c r="N41" s="113">
        <v>1501.69</v>
      </c>
    </row>
    <row r="42">
      <c r="A42" s="117" t="s">
        <v>232</v>
      </c>
      <c r="B42" s="113">
        <v>3660.0</v>
      </c>
      <c r="C42" s="114">
        <v>2.09</v>
      </c>
      <c r="D42" s="114">
        <v>2.81</v>
      </c>
      <c r="E42" s="114">
        <v>20.1</v>
      </c>
      <c r="F42" s="113">
        <v>3585.0</v>
      </c>
      <c r="G42" s="113">
        <v>3607.5</v>
      </c>
      <c r="H42" s="113">
        <v>3607.5</v>
      </c>
      <c r="I42" s="113">
        <v>3660.0</v>
      </c>
      <c r="J42" s="115">
        <v>0.47708333333333336</v>
      </c>
      <c r="K42" s="114">
        <v>691.0</v>
      </c>
      <c r="L42" s="113">
        <v>2518045.0</v>
      </c>
      <c r="M42" s="114" t="s">
        <v>173</v>
      </c>
      <c r="N42" s="114" t="s">
        <v>175</v>
      </c>
    </row>
    <row r="43">
      <c r="A43" s="117" t="s">
        <v>233</v>
      </c>
      <c r="B43" s="113">
        <v>6300.0</v>
      </c>
      <c r="C43" s="114">
        <v>3.79</v>
      </c>
      <c r="D43" s="114">
        <v>3.11</v>
      </c>
      <c r="E43" s="114">
        <v>25.25</v>
      </c>
      <c r="F43" s="113">
        <v>6070.0</v>
      </c>
      <c r="G43" s="113">
        <v>6185.0</v>
      </c>
      <c r="H43" s="113">
        <v>6185.0</v>
      </c>
      <c r="I43" s="113">
        <v>6315.0</v>
      </c>
      <c r="J43" s="115">
        <v>0.47708333333333336</v>
      </c>
      <c r="K43" s="116">
        <v>22656.0</v>
      </c>
      <c r="L43" s="113">
        <v>1.4224536E8</v>
      </c>
      <c r="M43" s="114" t="s">
        <v>185</v>
      </c>
      <c r="N43" s="113">
        <v>1540.34</v>
      </c>
    </row>
    <row r="44">
      <c r="A44" s="117" t="s">
        <v>234</v>
      </c>
      <c r="B44" s="113">
        <v>5325.0</v>
      </c>
      <c r="C44" s="114">
        <v>2.6</v>
      </c>
      <c r="D44" s="114">
        <v>0.57</v>
      </c>
      <c r="E44" s="114">
        <v>21.02</v>
      </c>
      <c r="F44" s="113">
        <v>5190.0</v>
      </c>
      <c r="G44" s="113">
        <v>5285.0</v>
      </c>
      <c r="H44" s="113">
        <v>5285.0</v>
      </c>
      <c r="I44" s="113">
        <v>5325.0</v>
      </c>
      <c r="J44" s="115">
        <v>0.47708333333333336</v>
      </c>
      <c r="K44" s="114">
        <v>63.0</v>
      </c>
      <c r="L44" s="113">
        <v>335085.0</v>
      </c>
      <c r="M44" s="114" t="s">
        <v>185</v>
      </c>
      <c r="N44" s="114" t="s">
        <v>175</v>
      </c>
    </row>
    <row r="45">
      <c r="A45" s="117" t="s">
        <v>235</v>
      </c>
      <c r="B45" s="114">
        <v>4.31</v>
      </c>
      <c r="C45" s="114">
        <v>3.23</v>
      </c>
      <c r="D45" s="114">
        <v>4.11</v>
      </c>
      <c r="E45" s="114">
        <v>26.39</v>
      </c>
      <c r="F45" s="114">
        <v>4.17</v>
      </c>
      <c r="G45" s="114">
        <v>4.21</v>
      </c>
      <c r="H45" s="114">
        <v>4.21</v>
      </c>
      <c r="I45" s="114">
        <v>4.31</v>
      </c>
      <c r="J45" s="115">
        <v>0.47708333333333336</v>
      </c>
      <c r="K45" s="114">
        <v>144.0</v>
      </c>
      <c r="L45" s="114">
        <v>610.0</v>
      </c>
      <c r="M45" s="114" t="s">
        <v>175</v>
      </c>
      <c r="N45" s="114" t="s">
        <v>175</v>
      </c>
    </row>
    <row r="46">
      <c r="A46" s="117" t="s">
        <v>236</v>
      </c>
      <c r="B46" s="113">
        <v>38360.0</v>
      </c>
      <c r="C46" s="114">
        <v>-1.18</v>
      </c>
      <c r="D46" s="114">
        <v>0.52</v>
      </c>
      <c r="E46" s="114">
        <v>6.56</v>
      </c>
      <c r="F46" s="113">
        <v>38820.0</v>
      </c>
      <c r="G46" s="113">
        <v>38760.0</v>
      </c>
      <c r="H46" s="113">
        <v>38360.0</v>
      </c>
      <c r="I46" s="113">
        <v>38760.0</v>
      </c>
      <c r="J46" s="115">
        <v>0.47708333333333336</v>
      </c>
      <c r="K46" s="114">
        <v>65.0</v>
      </c>
      <c r="L46" s="113">
        <v>2508800.0</v>
      </c>
      <c r="M46" s="114" t="s">
        <v>185</v>
      </c>
      <c r="N46" s="114">
        <v>1.05</v>
      </c>
    </row>
    <row r="47">
      <c r="A47" s="117" t="s">
        <v>237</v>
      </c>
      <c r="B47" s="114">
        <v>26.18</v>
      </c>
      <c r="C47" s="114">
        <v>0.27</v>
      </c>
      <c r="D47" s="114">
        <v>-0.27</v>
      </c>
      <c r="E47" s="114">
        <v>8.41</v>
      </c>
      <c r="F47" s="114">
        <v>26.11</v>
      </c>
      <c r="G47" s="114">
        <v>26.18</v>
      </c>
      <c r="H47" s="114">
        <v>26.18</v>
      </c>
      <c r="I47" s="114">
        <v>26.18</v>
      </c>
      <c r="J47" s="115">
        <v>0.4583333333333333</v>
      </c>
      <c r="K47" s="114">
        <v>2.0</v>
      </c>
      <c r="L47" s="114">
        <v>52.0</v>
      </c>
      <c r="M47" s="114" t="s">
        <v>175</v>
      </c>
      <c r="N47" s="114" t="s">
        <v>175</v>
      </c>
    </row>
    <row r="48">
      <c r="A48" s="117" t="s">
        <v>238</v>
      </c>
      <c r="B48" s="113">
        <v>53500.0</v>
      </c>
      <c r="C48" s="114">
        <v>3.48</v>
      </c>
      <c r="D48" s="114">
        <v>2.84</v>
      </c>
      <c r="E48" s="114">
        <v>15.2</v>
      </c>
      <c r="F48" s="113">
        <v>51700.0</v>
      </c>
      <c r="G48" s="113">
        <v>53525.0</v>
      </c>
      <c r="H48" s="113">
        <v>53300.0</v>
      </c>
      <c r="I48" s="113">
        <v>53850.0</v>
      </c>
      <c r="J48" s="115">
        <v>0.47708333333333336</v>
      </c>
      <c r="K48" s="114">
        <v>34.0</v>
      </c>
      <c r="L48" s="113">
        <v>1821425.0</v>
      </c>
      <c r="M48" s="114" t="s">
        <v>173</v>
      </c>
      <c r="N48" s="113">
        <v>1542.01</v>
      </c>
    </row>
    <row r="49">
      <c r="A49" s="117" t="s">
        <v>239</v>
      </c>
      <c r="B49" s="113">
        <v>19570.0</v>
      </c>
      <c r="C49" s="114">
        <v>-2.73</v>
      </c>
      <c r="D49" s="114">
        <v>-7.12</v>
      </c>
      <c r="E49" s="114">
        <v>8.06</v>
      </c>
      <c r="F49" s="113">
        <v>20120.0</v>
      </c>
      <c r="G49" s="113">
        <v>19750.0</v>
      </c>
      <c r="H49" s="113">
        <v>19540.0</v>
      </c>
      <c r="I49" s="113">
        <v>19820.0</v>
      </c>
      <c r="J49" s="115">
        <v>0.47708333333333336</v>
      </c>
      <c r="K49" s="114">
        <v>877.0</v>
      </c>
      <c r="L49" s="113">
        <v>1.723945E7</v>
      </c>
      <c r="M49" s="114" t="s">
        <v>240</v>
      </c>
      <c r="N49" s="113">
        <v>1448.95</v>
      </c>
    </row>
    <row r="50">
      <c r="A50" s="117" t="s">
        <v>241</v>
      </c>
      <c r="B50" s="113">
        <v>20750.0</v>
      </c>
      <c r="C50" s="114">
        <v>1.42</v>
      </c>
      <c r="D50" s="114">
        <v>0.68</v>
      </c>
      <c r="E50" s="114">
        <v>0.05</v>
      </c>
      <c r="F50" s="113">
        <v>20460.0</v>
      </c>
      <c r="G50" s="113">
        <v>20050.0</v>
      </c>
      <c r="H50" s="113">
        <v>19650.0</v>
      </c>
      <c r="I50" s="113">
        <v>20750.0</v>
      </c>
      <c r="J50" s="115">
        <v>0.475</v>
      </c>
      <c r="K50" s="114">
        <v>311.0</v>
      </c>
      <c r="L50" s="113">
        <v>6220110.0</v>
      </c>
      <c r="M50" s="114" t="s">
        <v>242</v>
      </c>
      <c r="N50" s="113">
        <v>1506.23</v>
      </c>
    </row>
    <row r="51">
      <c r="A51" s="117" t="s">
        <v>243</v>
      </c>
      <c r="B51" s="113">
        <v>1340.0</v>
      </c>
      <c r="C51" s="114">
        <v>2.21</v>
      </c>
      <c r="D51" s="114">
        <v>-0.67</v>
      </c>
      <c r="E51" s="114">
        <v>-33.53</v>
      </c>
      <c r="F51" s="113">
        <v>1311.0</v>
      </c>
      <c r="G51" s="113">
        <v>1323.0</v>
      </c>
      <c r="H51" s="113">
        <v>1312.0</v>
      </c>
      <c r="I51" s="113">
        <v>1390.0</v>
      </c>
      <c r="J51" s="115">
        <v>0.47708333333333336</v>
      </c>
      <c r="K51" s="116">
        <v>9954.0</v>
      </c>
      <c r="L51" s="113">
        <v>1.3373169E7</v>
      </c>
      <c r="M51" s="114" t="s">
        <v>185</v>
      </c>
      <c r="N51" s="113">
        <v>1558.14</v>
      </c>
    </row>
    <row r="52">
      <c r="A52" s="117" t="s">
        <v>244</v>
      </c>
      <c r="B52" s="113">
        <v>17180.0</v>
      </c>
      <c r="C52" s="114">
        <v>-1.09</v>
      </c>
      <c r="D52" s="114">
        <v>-2.66</v>
      </c>
      <c r="E52" s="114">
        <v>-7.14</v>
      </c>
      <c r="F52" s="113">
        <v>17370.0</v>
      </c>
      <c r="G52" s="113">
        <v>17200.0</v>
      </c>
      <c r="H52" s="113">
        <v>17050.0</v>
      </c>
      <c r="I52" s="113">
        <v>17400.0</v>
      </c>
      <c r="J52" s="115">
        <v>0.47708333333333336</v>
      </c>
      <c r="K52" s="116">
        <v>1324.0</v>
      </c>
      <c r="L52" s="113">
        <v>2.269758E7</v>
      </c>
      <c r="M52" s="114" t="s">
        <v>245</v>
      </c>
      <c r="N52" s="113">
        <v>1520.35</v>
      </c>
    </row>
    <row r="53">
      <c r="A53" s="117" t="s">
        <v>246</v>
      </c>
      <c r="B53" s="113">
        <v>89050.0</v>
      </c>
      <c r="C53" s="114">
        <v>-2.06</v>
      </c>
      <c r="D53" s="114">
        <v>-1.49</v>
      </c>
      <c r="E53" s="114">
        <v>0.11</v>
      </c>
      <c r="F53" s="113">
        <v>90925.0</v>
      </c>
      <c r="G53" s="113">
        <v>87825.0</v>
      </c>
      <c r="H53" s="113">
        <v>87775.0</v>
      </c>
      <c r="I53" s="113">
        <v>89050.0</v>
      </c>
      <c r="J53" s="115">
        <v>0.47708333333333336</v>
      </c>
      <c r="K53" s="114">
        <v>14.0</v>
      </c>
      <c r="L53" s="113">
        <v>1231500.0</v>
      </c>
      <c r="M53" s="114" t="s">
        <v>173</v>
      </c>
      <c r="N53" s="113">
        <v>1464.52</v>
      </c>
    </row>
    <row r="54">
      <c r="A54" s="117" t="s">
        <v>247</v>
      </c>
      <c r="B54" s="113">
        <v>11000.0</v>
      </c>
      <c r="C54" s="114">
        <v>0.92</v>
      </c>
      <c r="D54" s="114">
        <v>4.27</v>
      </c>
      <c r="E54" s="114">
        <v>-12.97</v>
      </c>
      <c r="F54" s="113">
        <v>10900.0</v>
      </c>
      <c r="G54" s="113">
        <v>11000.0</v>
      </c>
      <c r="H54" s="113">
        <v>11000.0</v>
      </c>
      <c r="I54" s="113">
        <v>11000.0</v>
      </c>
      <c r="J54" s="115">
        <v>0.45416666666666666</v>
      </c>
      <c r="K54" s="114">
        <v>3.0</v>
      </c>
      <c r="L54" s="113">
        <v>33000.0</v>
      </c>
      <c r="M54" s="114" t="s">
        <v>248</v>
      </c>
      <c r="N54" s="113">
        <v>1503.25</v>
      </c>
    </row>
    <row r="55">
      <c r="A55" s="117" t="s">
        <v>249</v>
      </c>
      <c r="B55" s="113">
        <v>27560.0</v>
      </c>
      <c r="C55" s="114">
        <v>-0.79</v>
      </c>
      <c r="D55" s="114">
        <v>0.07</v>
      </c>
      <c r="E55" s="114">
        <v>0.51</v>
      </c>
      <c r="F55" s="113">
        <v>27780.0</v>
      </c>
      <c r="G55" s="113">
        <v>28000.0</v>
      </c>
      <c r="H55" s="113">
        <v>27440.0</v>
      </c>
      <c r="I55" s="113">
        <v>28000.0</v>
      </c>
      <c r="J55" s="115">
        <v>0.47708333333333336</v>
      </c>
      <c r="K55" s="114">
        <v>9.0</v>
      </c>
      <c r="L55" s="113">
        <v>247940.0</v>
      </c>
      <c r="M55" s="114" t="s">
        <v>231</v>
      </c>
      <c r="N55" s="113">
        <v>1479.33</v>
      </c>
    </row>
    <row r="56">
      <c r="A56" s="117" t="s">
        <v>250</v>
      </c>
      <c r="B56" s="113">
        <v>33000.0</v>
      </c>
      <c r="C56" s="114">
        <v>-3.11</v>
      </c>
      <c r="D56" s="114">
        <v>-2.71</v>
      </c>
      <c r="E56" s="114">
        <v>21.15</v>
      </c>
      <c r="F56" s="113">
        <v>34060.0</v>
      </c>
      <c r="G56" s="113">
        <v>33060.0</v>
      </c>
      <c r="H56" s="113">
        <v>33000.0</v>
      </c>
      <c r="I56" s="113">
        <v>33060.0</v>
      </c>
      <c r="J56" s="115">
        <v>0.47708333333333336</v>
      </c>
      <c r="K56" s="114">
        <v>78.0</v>
      </c>
      <c r="L56" s="113">
        <v>2574420.0</v>
      </c>
      <c r="M56" s="114" t="s">
        <v>202</v>
      </c>
      <c r="N56" s="114" t="s">
        <v>175</v>
      </c>
    </row>
    <row r="57">
      <c r="A57" s="117" t="s">
        <v>251</v>
      </c>
      <c r="B57" s="113">
        <v>11220.0</v>
      </c>
      <c r="C57" s="114">
        <v>-0.44</v>
      </c>
      <c r="D57" s="114">
        <v>-1.41</v>
      </c>
      <c r="E57" s="114">
        <v>5.95</v>
      </c>
      <c r="F57" s="113">
        <v>11270.0</v>
      </c>
      <c r="G57" s="113">
        <v>11130.0</v>
      </c>
      <c r="H57" s="113">
        <v>11130.0</v>
      </c>
      <c r="I57" s="113">
        <v>11220.0</v>
      </c>
      <c r="J57" s="115">
        <v>0.47708333333333336</v>
      </c>
      <c r="K57" s="114">
        <v>44.0</v>
      </c>
      <c r="L57" s="113">
        <v>491260.0</v>
      </c>
      <c r="M57" s="114" t="s">
        <v>202</v>
      </c>
      <c r="N57" s="113">
        <v>1488.06</v>
      </c>
    </row>
    <row r="58">
      <c r="A58" s="117" t="s">
        <v>252</v>
      </c>
      <c r="B58" s="113">
        <v>17590.0</v>
      </c>
      <c r="C58" s="114">
        <v>-0.28</v>
      </c>
      <c r="D58" s="114">
        <v>-0.28</v>
      </c>
      <c r="E58" s="114">
        <v>9.94</v>
      </c>
      <c r="F58" s="113">
        <v>17640.0</v>
      </c>
      <c r="G58" s="113">
        <v>17590.0</v>
      </c>
      <c r="H58" s="113">
        <v>17590.0</v>
      </c>
      <c r="I58" s="113">
        <v>17590.0</v>
      </c>
      <c r="J58" s="115">
        <v>0.4722222222222222</v>
      </c>
      <c r="K58" s="114">
        <v>1.0</v>
      </c>
      <c r="L58" s="113">
        <v>17590.0</v>
      </c>
      <c r="M58" s="114" t="s">
        <v>185</v>
      </c>
      <c r="N58" s="114" t="s">
        <v>175</v>
      </c>
    </row>
    <row r="59">
      <c r="A59" s="117" t="s">
        <v>253</v>
      </c>
      <c r="B59" s="113">
        <v>32720.0</v>
      </c>
      <c r="C59" s="114">
        <v>-1.09</v>
      </c>
      <c r="D59" s="114">
        <v>-0.37</v>
      </c>
      <c r="E59" s="114">
        <v>-6.19</v>
      </c>
      <c r="F59" s="113">
        <v>33080.0</v>
      </c>
      <c r="G59" s="113">
        <v>33360.0</v>
      </c>
      <c r="H59" s="113">
        <v>32700.0</v>
      </c>
      <c r="I59" s="113">
        <v>33360.0</v>
      </c>
      <c r="J59" s="115">
        <v>0.47708333333333336</v>
      </c>
      <c r="K59" s="116">
        <v>6900.0</v>
      </c>
      <c r="L59" s="113">
        <v>2.2690892E8</v>
      </c>
      <c r="M59" s="114" t="s">
        <v>254</v>
      </c>
      <c r="N59" s="114" t="s">
        <v>175</v>
      </c>
    </row>
    <row r="60">
      <c r="A60" s="117" t="s">
        <v>255</v>
      </c>
      <c r="B60" s="113">
        <v>10750.0</v>
      </c>
      <c r="C60" s="114">
        <v>3.66</v>
      </c>
      <c r="D60" s="114">
        <v>3.66</v>
      </c>
      <c r="E60" s="114">
        <v>14.36</v>
      </c>
      <c r="F60" s="113">
        <v>10370.0</v>
      </c>
      <c r="G60" s="113">
        <v>10530.0</v>
      </c>
      <c r="H60" s="113">
        <v>10530.0</v>
      </c>
      <c r="I60" s="113">
        <v>10750.0</v>
      </c>
      <c r="J60" s="115">
        <v>0.47708333333333336</v>
      </c>
      <c r="K60" s="114">
        <v>300.0</v>
      </c>
      <c r="L60" s="113">
        <v>3201590.0</v>
      </c>
      <c r="M60" s="114" t="s">
        <v>185</v>
      </c>
      <c r="N60" s="113">
        <v>1537.91</v>
      </c>
    </row>
    <row r="61">
      <c r="A61" s="117" t="s">
        <v>256</v>
      </c>
      <c r="B61" s="113">
        <v>57600.0</v>
      </c>
      <c r="C61" s="114">
        <v>-0.95</v>
      </c>
      <c r="D61" s="114">
        <v>-0.39</v>
      </c>
      <c r="E61" s="114">
        <v>-2.78</v>
      </c>
      <c r="F61" s="113">
        <v>58150.0</v>
      </c>
      <c r="G61" s="113">
        <v>58175.0</v>
      </c>
      <c r="H61" s="113">
        <v>57600.0</v>
      </c>
      <c r="I61" s="113">
        <v>58275.0</v>
      </c>
      <c r="J61" s="115">
        <v>0.47708333333333336</v>
      </c>
      <c r="K61" s="114">
        <v>48.0</v>
      </c>
      <c r="L61" s="113">
        <v>2773475.0</v>
      </c>
      <c r="M61" s="114" t="s">
        <v>231</v>
      </c>
      <c r="N61" s="113">
        <v>1486.71</v>
      </c>
    </row>
    <row r="62">
      <c r="A62" s="117" t="s">
        <v>257</v>
      </c>
      <c r="B62" s="114">
        <v>40.54</v>
      </c>
      <c r="C62" s="114">
        <v>0.95</v>
      </c>
      <c r="D62" s="114">
        <v>1.68</v>
      </c>
      <c r="E62" s="114">
        <v>0.85</v>
      </c>
      <c r="F62" s="114">
        <v>40.16</v>
      </c>
      <c r="G62" s="114">
        <v>40.54</v>
      </c>
      <c r="H62" s="114">
        <v>40.54</v>
      </c>
      <c r="I62" s="114">
        <v>40.54</v>
      </c>
      <c r="J62" s="115">
        <v>0.46875</v>
      </c>
      <c r="K62" s="114">
        <v>2.0</v>
      </c>
      <c r="L62" s="114">
        <v>81.0</v>
      </c>
      <c r="M62" s="114" t="s">
        <v>175</v>
      </c>
      <c r="N62" s="114" t="s">
        <v>175</v>
      </c>
    </row>
    <row r="63">
      <c r="A63" s="117" t="s">
        <v>258</v>
      </c>
      <c r="B63" s="113">
        <v>51875.0</v>
      </c>
      <c r="C63" s="114">
        <v>0.83</v>
      </c>
      <c r="D63" s="114">
        <v>5.05</v>
      </c>
      <c r="E63" s="114">
        <v>18.22</v>
      </c>
      <c r="F63" s="113">
        <v>51450.0</v>
      </c>
      <c r="G63" s="113">
        <v>51350.0</v>
      </c>
      <c r="H63" s="113">
        <v>51350.0</v>
      </c>
      <c r="I63" s="113">
        <v>52350.0</v>
      </c>
      <c r="J63" s="115">
        <v>0.47708333333333336</v>
      </c>
      <c r="K63" s="114">
        <v>607.0</v>
      </c>
      <c r="L63" s="113">
        <v>3.1459525E7</v>
      </c>
      <c r="M63" s="114" t="s">
        <v>179</v>
      </c>
      <c r="N63" s="113">
        <v>1501.64</v>
      </c>
    </row>
    <row r="64">
      <c r="A64" s="117" t="s">
        <v>259</v>
      </c>
      <c r="B64" s="114">
        <v>35.97</v>
      </c>
      <c r="C64" s="114">
        <v>1.44</v>
      </c>
      <c r="D64" s="114">
        <v>6.64</v>
      </c>
      <c r="E64" s="114">
        <v>21.19</v>
      </c>
      <c r="F64" s="114">
        <v>35.46</v>
      </c>
      <c r="G64" s="114">
        <v>35.5</v>
      </c>
      <c r="H64" s="114">
        <v>35.5</v>
      </c>
      <c r="I64" s="114">
        <v>36.0</v>
      </c>
      <c r="J64" s="115">
        <v>0.47708333333333336</v>
      </c>
      <c r="K64" s="114">
        <v>169.0</v>
      </c>
      <c r="L64" s="113">
        <v>6054.0</v>
      </c>
      <c r="M64" s="114" t="s">
        <v>175</v>
      </c>
      <c r="N64" s="114" t="s">
        <v>175</v>
      </c>
    </row>
    <row r="65">
      <c r="A65" s="117" t="s">
        <v>260</v>
      </c>
      <c r="B65" s="113">
        <v>15630.0</v>
      </c>
      <c r="C65" s="114">
        <v>-2.68</v>
      </c>
      <c r="D65" s="114">
        <v>4.06</v>
      </c>
      <c r="E65" s="114">
        <v>-0.95</v>
      </c>
      <c r="F65" s="113">
        <v>16060.0</v>
      </c>
      <c r="G65" s="113">
        <v>15960.0</v>
      </c>
      <c r="H65" s="113">
        <v>15620.0</v>
      </c>
      <c r="I65" s="113">
        <v>15960.0</v>
      </c>
      <c r="J65" s="115">
        <v>0.47708333333333336</v>
      </c>
      <c r="K65" s="114">
        <v>285.0</v>
      </c>
      <c r="L65" s="113">
        <v>4472230.0</v>
      </c>
      <c r="M65" s="114" t="s">
        <v>231</v>
      </c>
      <c r="N65" s="113">
        <v>1444.99</v>
      </c>
    </row>
    <row r="66">
      <c r="A66" s="117" t="s">
        <v>261</v>
      </c>
      <c r="B66" s="113">
        <v>32700.0</v>
      </c>
      <c r="C66" s="114">
        <v>9.22</v>
      </c>
      <c r="D66" s="114">
        <v>4.74</v>
      </c>
      <c r="E66" s="114">
        <v>17.71</v>
      </c>
      <c r="F66" s="113">
        <v>29940.0</v>
      </c>
      <c r="G66" s="113">
        <v>32540.0</v>
      </c>
      <c r="H66" s="113">
        <v>32460.0</v>
      </c>
      <c r="I66" s="113">
        <v>32940.0</v>
      </c>
      <c r="J66" s="115">
        <v>0.47708333333333336</v>
      </c>
      <c r="K66" s="116">
        <v>1915.0</v>
      </c>
      <c r="L66" s="113">
        <v>6.255178E7</v>
      </c>
      <c r="M66" s="114" t="s">
        <v>185</v>
      </c>
      <c r="N66" s="113">
        <v>1609.25</v>
      </c>
    </row>
    <row r="67">
      <c r="A67" s="117" t="s">
        <v>262</v>
      </c>
      <c r="B67" s="113">
        <v>45160.0</v>
      </c>
      <c r="C67" s="114">
        <v>-1.78</v>
      </c>
      <c r="D67" s="114">
        <v>3.11</v>
      </c>
      <c r="E67" s="114">
        <v>12.28</v>
      </c>
      <c r="F67" s="113">
        <v>45980.0</v>
      </c>
      <c r="G67" s="113">
        <v>45300.0</v>
      </c>
      <c r="H67" s="113">
        <v>45160.0</v>
      </c>
      <c r="I67" s="113">
        <v>45880.0</v>
      </c>
      <c r="J67" s="115">
        <v>0.47708333333333336</v>
      </c>
      <c r="K67" s="114">
        <v>171.0</v>
      </c>
      <c r="L67" s="113">
        <v>7748000.0</v>
      </c>
      <c r="M67" s="114" t="s">
        <v>231</v>
      </c>
      <c r="N67" s="113">
        <v>1474.37</v>
      </c>
    </row>
    <row r="68">
      <c r="A68" s="117" t="s">
        <v>263</v>
      </c>
      <c r="B68" s="113">
        <v>10460.0</v>
      </c>
      <c r="C68" s="114">
        <v>-0.48</v>
      </c>
      <c r="D68" s="114">
        <v>-3.59</v>
      </c>
      <c r="E68" s="114">
        <v>-20.21</v>
      </c>
      <c r="F68" s="113">
        <v>10510.0</v>
      </c>
      <c r="G68" s="113">
        <v>10400.0</v>
      </c>
      <c r="H68" s="113">
        <v>10340.0</v>
      </c>
      <c r="I68" s="113">
        <v>10540.0</v>
      </c>
      <c r="J68" s="115">
        <v>0.47708333333333336</v>
      </c>
      <c r="K68" s="116">
        <v>1357.0</v>
      </c>
      <c r="L68" s="113">
        <v>1.418893E7</v>
      </c>
      <c r="M68" s="114" t="s">
        <v>215</v>
      </c>
      <c r="N68" s="113">
        <v>1503.35</v>
      </c>
    </row>
    <row r="69">
      <c r="A69" s="117" t="s">
        <v>264</v>
      </c>
      <c r="B69" s="113">
        <v>30040.0</v>
      </c>
      <c r="C69" s="114">
        <v>-0.13</v>
      </c>
      <c r="D69" s="114">
        <v>2.04</v>
      </c>
      <c r="E69" s="114">
        <v>9.32</v>
      </c>
      <c r="F69" s="113">
        <v>30080.0</v>
      </c>
      <c r="G69" s="113">
        <v>30040.0</v>
      </c>
      <c r="H69" s="113">
        <v>29920.0</v>
      </c>
      <c r="I69" s="113">
        <v>30280.0</v>
      </c>
      <c r="J69" s="115">
        <v>0.47708333333333336</v>
      </c>
      <c r="K69" s="114">
        <v>154.0</v>
      </c>
      <c r="L69" s="113">
        <v>4622260.0</v>
      </c>
      <c r="M69" s="114" t="s">
        <v>265</v>
      </c>
      <c r="N69" s="113">
        <v>1489.03</v>
      </c>
    </row>
    <row r="70">
      <c r="A70" s="117" t="s">
        <v>266</v>
      </c>
      <c r="B70" s="113">
        <v>17040.0</v>
      </c>
      <c r="C70" s="114">
        <v>-2.68</v>
      </c>
      <c r="D70" s="114">
        <v>-4.0</v>
      </c>
      <c r="E70" s="114">
        <v>-24.1</v>
      </c>
      <c r="F70" s="113">
        <v>17510.0</v>
      </c>
      <c r="G70" s="113">
        <v>17380.0</v>
      </c>
      <c r="H70" s="113">
        <v>16960.0</v>
      </c>
      <c r="I70" s="113">
        <v>17380.0</v>
      </c>
      <c r="J70" s="115">
        <v>0.47708333333333336</v>
      </c>
      <c r="K70" s="116">
        <v>2506.0</v>
      </c>
      <c r="L70" s="113">
        <v>4.267014E7</v>
      </c>
      <c r="M70" s="114" t="s">
        <v>267</v>
      </c>
      <c r="N70" s="113">
        <v>1454.96</v>
      </c>
    </row>
    <row r="71">
      <c r="A71" s="117" t="s">
        <v>268</v>
      </c>
      <c r="B71" s="114">
        <v>12.38</v>
      </c>
      <c r="C71" s="114">
        <v>2.48</v>
      </c>
      <c r="D71" s="114">
        <v>1.73</v>
      </c>
      <c r="E71" s="114">
        <v>-18.34</v>
      </c>
      <c r="F71" s="114">
        <v>12.08</v>
      </c>
      <c r="G71" s="114">
        <v>12.0</v>
      </c>
      <c r="H71" s="114">
        <v>11.67</v>
      </c>
      <c r="I71" s="114">
        <v>12.39</v>
      </c>
      <c r="J71" s="115">
        <v>0.47708333333333336</v>
      </c>
      <c r="K71" s="114">
        <v>160.0</v>
      </c>
      <c r="L71" s="113">
        <v>1890.0</v>
      </c>
      <c r="M71" s="114" t="s">
        <v>175</v>
      </c>
      <c r="N71" s="114" t="s">
        <v>175</v>
      </c>
    </row>
    <row r="72">
      <c r="A72" s="117" t="s">
        <v>269</v>
      </c>
      <c r="B72" s="113">
        <v>24050.0</v>
      </c>
      <c r="C72" s="114">
        <v>-0.04</v>
      </c>
      <c r="D72" s="114">
        <v>2.6</v>
      </c>
      <c r="E72" s="114">
        <v>1.99</v>
      </c>
      <c r="F72" s="113">
        <v>24060.0</v>
      </c>
      <c r="G72" s="113">
        <v>24360.0</v>
      </c>
      <c r="H72" s="113">
        <v>24010.0</v>
      </c>
      <c r="I72" s="113">
        <v>24360.0</v>
      </c>
      <c r="J72" s="115">
        <v>0.47708333333333336</v>
      </c>
      <c r="K72" s="114">
        <v>56.0</v>
      </c>
      <c r="L72" s="113">
        <v>1347570.0</v>
      </c>
      <c r="M72" s="114" t="s">
        <v>202</v>
      </c>
      <c r="N72" s="113">
        <v>1491.2</v>
      </c>
    </row>
    <row r="73">
      <c r="A73" s="117" t="s">
        <v>270</v>
      </c>
      <c r="B73" s="113">
        <v>2887.5</v>
      </c>
      <c r="C73" s="114">
        <v>-0.26</v>
      </c>
      <c r="D73" s="114">
        <v>-0.86</v>
      </c>
      <c r="E73" s="114">
        <v>15.38</v>
      </c>
      <c r="F73" s="113">
        <v>2895.0</v>
      </c>
      <c r="G73" s="113">
        <v>2887.5</v>
      </c>
      <c r="H73" s="113">
        <v>2887.5</v>
      </c>
      <c r="I73" s="113">
        <v>2887.5</v>
      </c>
      <c r="J73" s="115">
        <v>0.4722222222222222</v>
      </c>
      <c r="K73" s="114">
        <v>3.0</v>
      </c>
      <c r="L73" s="113">
        <v>8663.0</v>
      </c>
      <c r="M73" s="114" t="s">
        <v>185</v>
      </c>
      <c r="N73" s="114" t="s">
        <v>175</v>
      </c>
    </row>
    <row r="74">
      <c r="A74" s="117" t="s">
        <v>271</v>
      </c>
      <c r="B74" s="113">
        <v>7385.0</v>
      </c>
      <c r="C74" s="114">
        <v>4.09</v>
      </c>
      <c r="D74" s="114">
        <v>-1.53</v>
      </c>
      <c r="E74" s="114">
        <v>-0.61</v>
      </c>
      <c r="F74" s="113">
        <v>7095.0</v>
      </c>
      <c r="G74" s="113">
        <v>7540.0</v>
      </c>
      <c r="H74" s="113">
        <v>7375.0</v>
      </c>
      <c r="I74" s="113">
        <v>7540.0</v>
      </c>
      <c r="J74" s="115">
        <v>0.47708333333333336</v>
      </c>
      <c r="K74" s="114">
        <v>123.0</v>
      </c>
      <c r="L74" s="113">
        <v>910770.0</v>
      </c>
      <c r="M74" s="114" t="s">
        <v>187</v>
      </c>
      <c r="N74" s="113">
        <v>1468.77</v>
      </c>
    </row>
    <row r="75">
      <c r="A75" s="117" t="s">
        <v>272</v>
      </c>
      <c r="B75" s="113">
        <v>16190.0</v>
      </c>
      <c r="C75" s="114">
        <v>-1.52</v>
      </c>
      <c r="D75" s="114">
        <v>-2.29</v>
      </c>
      <c r="E75" s="114">
        <v>12.27</v>
      </c>
      <c r="F75" s="113">
        <v>16440.0</v>
      </c>
      <c r="G75" s="113">
        <v>16450.0</v>
      </c>
      <c r="H75" s="113">
        <v>16170.0</v>
      </c>
      <c r="I75" s="113">
        <v>16450.0</v>
      </c>
      <c r="J75" s="115">
        <v>0.47708333333333336</v>
      </c>
      <c r="K75" s="116">
        <v>2593.0</v>
      </c>
      <c r="L75" s="113">
        <v>4.223343E7</v>
      </c>
      <c r="M75" s="114" t="s">
        <v>273</v>
      </c>
      <c r="N75" s="113">
        <v>1488.48</v>
      </c>
    </row>
    <row r="76">
      <c r="A76" s="117" t="s">
        <v>274</v>
      </c>
      <c r="B76" s="114">
        <v>11.33</v>
      </c>
      <c r="C76" s="114">
        <v>-0.18</v>
      </c>
      <c r="D76" s="114">
        <v>0.18</v>
      </c>
      <c r="E76" s="114">
        <v>16.44</v>
      </c>
      <c r="F76" s="114">
        <v>11.35</v>
      </c>
      <c r="G76" s="114">
        <v>11.35</v>
      </c>
      <c r="H76" s="114">
        <v>10.96</v>
      </c>
      <c r="I76" s="114">
        <v>11.7</v>
      </c>
      <c r="J76" s="115">
        <v>0.47708333333333336</v>
      </c>
      <c r="K76" s="114">
        <v>345.0</v>
      </c>
      <c r="L76" s="113">
        <v>3895.0</v>
      </c>
      <c r="M76" s="114" t="s">
        <v>175</v>
      </c>
      <c r="N76" s="114" t="s">
        <v>175</v>
      </c>
    </row>
    <row r="77">
      <c r="A77" s="117" t="s">
        <v>275</v>
      </c>
      <c r="B77" s="113">
        <v>19070.0</v>
      </c>
      <c r="C77" s="114">
        <v>1.49</v>
      </c>
      <c r="D77" s="114">
        <v>0.69</v>
      </c>
      <c r="E77" s="114">
        <v>5.89</v>
      </c>
      <c r="F77" s="113">
        <v>18790.0</v>
      </c>
      <c r="G77" s="113">
        <v>19070.0</v>
      </c>
      <c r="H77" s="113">
        <v>19070.0</v>
      </c>
      <c r="I77" s="113">
        <v>19070.0</v>
      </c>
      <c r="J77" s="115">
        <v>0.46944444444444444</v>
      </c>
      <c r="K77" s="114">
        <v>10.0</v>
      </c>
      <c r="L77" s="113">
        <v>190700.0</v>
      </c>
      <c r="M77" s="114" t="s">
        <v>185</v>
      </c>
      <c r="N77" s="113">
        <v>1507.51</v>
      </c>
    </row>
    <row r="78">
      <c r="A78" s="117" t="s">
        <v>276</v>
      </c>
      <c r="B78" s="113">
        <v>12980.0</v>
      </c>
      <c r="C78" s="114">
        <v>0.78</v>
      </c>
      <c r="D78" s="114">
        <v>5.44</v>
      </c>
      <c r="E78" s="114">
        <v>-2.04</v>
      </c>
      <c r="F78" s="113">
        <v>12880.0</v>
      </c>
      <c r="G78" s="113">
        <v>12870.0</v>
      </c>
      <c r="H78" s="113">
        <v>12870.0</v>
      </c>
      <c r="I78" s="113">
        <v>13000.0</v>
      </c>
      <c r="J78" s="115">
        <v>0.47708333333333336</v>
      </c>
      <c r="K78" s="114">
        <v>73.0</v>
      </c>
      <c r="L78" s="113">
        <v>943670.0</v>
      </c>
      <c r="M78" s="114" t="s">
        <v>277</v>
      </c>
      <c r="N78" s="113">
        <v>1503.18</v>
      </c>
    </row>
    <row r="79">
      <c r="A79" s="117" t="s">
        <v>278</v>
      </c>
      <c r="B79" s="113">
        <v>19960.0</v>
      </c>
      <c r="C79" s="114">
        <v>0.81</v>
      </c>
      <c r="D79" s="114">
        <v>1.42</v>
      </c>
      <c r="E79" s="114">
        <v>11.45</v>
      </c>
      <c r="F79" s="113">
        <v>19800.0</v>
      </c>
      <c r="G79" s="113">
        <v>20140.0</v>
      </c>
      <c r="H79" s="113">
        <v>19580.0</v>
      </c>
      <c r="I79" s="113">
        <v>20140.0</v>
      </c>
      <c r="J79" s="115">
        <v>0.47708333333333336</v>
      </c>
      <c r="K79" s="114">
        <v>269.0</v>
      </c>
      <c r="L79" s="113">
        <v>5323470.0</v>
      </c>
      <c r="M79" s="114" t="s">
        <v>279</v>
      </c>
      <c r="N79" s="113">
        <v>1500.05</v>
      </c>
    </row>
    <row r="80">
      <c r="A80" s="117" t="s">
        <v>280</v>
      </c>
      <c r="B80" s="113">
        <v>22620.0</v>
      </c>
      <c r="C80" s="114">
        <v>-1.09</v>
      </c>
      <c r="D80" s="114">
        <v>-2.16</v>
      </c>
      <c r="E80" s="114">
        <v>2.86</v>
      </c>
      <c r="F80" s="113">
        <v>22870.0</v>
      </c>
      <c r="G80" s="113">
        <v>22710.0</v>
      </c>
      <c r="H80" s="113">
        <v>22620.0</v>
      </c>
      <c r="I80" s="113">
        <v>22710.0</v>
      </c>
      <c r="J80" s="115">
        <v>0.4756944444444444</v>
      </c>
      <c r="K80" s="114">
        <v>70.0</v>
      </c>
      <c r="L80" s="113">
        <v>1588930.0</v>
      </c>
      <c r="M80" s="114" t="s">
        <v>200</v>
      </c>
      <c r="N80" s="113">
        <v>1475.38</v>
      </c>
    </row>
    <row r="81">
      <c r="A81" s="117" t="s">
        <v>281</v>
      </c>
      <c r="B81" s="113">
        <v>6150.0</v>
      </c>
      <c r="C81" s="114">
        <v>0.08</v>
      </c>
      <c r="D81" s="114">
        <v>0.99</v>
      </c>
      <c r="E81" s="114">
        <v>-5.38</v>
      </c>
      <c r="F81" s="113">
        <v>6145.0</v>
      </c>
      <c r="G81" s="113">
        <v>6150.0</v>
      </c>
      <c r="H81" s="113">
        <v>6150.0</v>
      </c>
      <c r="I81" s="113">
        <v>6150.0</v>
      </c>
      <c r="J81" s="115">
        <v>0.46805555555555556</v>
      </c>
      <c r="K81" s="114">
        <v>100.0</v>
      </c>
      <c r="L81" s="113">
        <v>615000.0</v>
      </c>
      <c r="M81" s="114" t="s">
        <v>282</v>
      </c>
      <c r="N81" s="113">
        <v>1486.44</v>
      </c>
    </row>
    <row r="82">
      <c r="A82" s="117" t="s">
        <v>283</v>
      </c>
      <c r="B82" s="113">
        <v>36780.0</v>
      </c>
      <c r="C82" s="114">
        <v>-0.49</v>
      </c>
      <c r="D82" s="114">
        <v>0.44</v>
      </c>
      <c r="E82" s="114">
        <v>-0.05</v>
      </c>
      <c r="F82" s="113">
        <v>36960.0</v>
      </c>
      <c r="G82" s="113">
        <v>37000.0</v>
      </c>
      <c r="H82" s="113">
        <v>36660.0</v>
      </c>
      <c r="I82" s="113">
        <v>37020.0</v>
      </c>
      <c r="J82" s="115">
        <v>0.47708333333333336</v>
      </c>
      <c r="K82" s="116">
        <v>1864.0</v>
      </c>
      <c r="L82" s="113">
        <v>6.862884E7</v>
      </c>
      <c r="M82" s="114" t="s">
        <v>179</v>
      </c>
      <c r="N82" s="113">
        <v>1488.98</v>
      </c>
    </row>
    <row r="83">
      <c r="A83" s="117" t="s">
        <v>284</v>
      </c>
      <c r="B83" s="114">
        <v>25.43</v>
      </c>
      <c r="C83" s="114">
        <v>-0.08</v>
      </c>
      <c r="D83" s="114">
        <v>1.27</v>
      </c>
      <c r="E83" s="114">
        <v>2.09</v>
      </c>
      <c r="F83" s="114">
        <v>25.45</v>
      </c>
      <c r="G83" s="114">
        <v>25.2</v>
      </c>
      <c r="H83" s="114">
        <v>24.97</v>
      </c>
      <c r="I83" s="114">
        <v>25.45</v>
      </c>
      <c r="J83" s="115">
        <v>0.47708333333333336</v>
      </c>
      <c r="K83" s="114">
        <v>74.0</v>
      </c>
      <c r="L83" s="113">
        <v>1878.0</v>
      </c>
      <c r="M83" s="114" t="s">
        <v>175</v>
      </c>
      <c r="N83" s="114" t="s">
        <v>175</v>
      </c>
    </row>
    <row r="84">
      <c r="A84" s="117" t="s">
        <v>285</v>
      </c>
      <c r="B84" s="113">
        <v>13070.0</v>
      </c>
      <c r="C84" s="114" t="s">
        <v>175</v>
      </c>
      <c r="D84" s="114">
        <v>-7.17</v>
      </c>
      <c r="E84" s="114">
        <v>-10.48</v>
      </c>
      <c r="F84" s="113">
        <v>13070.0</v>
      </c>
      <c r="G84" s="113">
        <v>13220.0</v>
      </c>
      <c r="H84" s="113">
        <v>13030.0</v>
      </c>
      <c r="I84" s="113">
        <v>13240.0</v>
      </c>
      <c r="J84" s="115">
        <v>0.47708333333333336</v>
      </c>
      <c r="K84" s="116">
        <v>2772.0</v>
      </c>
      <c r="L84" s="113">
        <v>3.651067E7</v>
      </c>
      <c r="M84" s="114" t="s">
        <v>286</v>
      </c>
      <c r="N84" s="114" t="s">
        <v>175</v>
      </c>
    </row>
    <row r="85">
      <c r="A85" s="117" t="s">
        <v>287</v>
      </c>
      <c r="B85" s="113">
        <v>3375.0</v>
      </c>
      <c r="C85" s="114">
        <v>-4.53</v>
      </c>
      <c r="D85" s="114">
        <v>-6.05</v>
      </c>
      <c r="E85" s="114">
        <v>-29.58</v>
      </c>
      <c r="F85" s="113">
        <v>3535.0</v>
      </c>
      <c r="G85" s="113">
        <v>3532.5</v>
      </c>
      <c r="H85" s="113">
        <v>3375.0</v>
      </c>
      <c r="I85" s="113">
        <v>3532.5</v>
      </c>
      <c r="J85" s="115">
        <v>0.47708333333333336</v>
      </c>
      <c r="K85" s="114">
        <v>724.0</v>
      </c>
      <c r="L85" s="113">
        <v>2493030.0</v>
      </c>
      <c r="M85" s="114" t="s">
        <v>254</v>
      </c>
      <c r="N85" s="113">
        <v>1427.88</v>
      </c>
    </row>
    <row r="86">
      <c r="A86" s="117" t="s">
        <v>288</v>
      </c>
      <c r="B86" s="113">
        <v>7150.0</v>
      </c>
      <c r="C86" s="114">
        <v>-0.49</v>
      </c>
      <c r="D86" s="114">
        <v>3.25</v>
      </c>
      <c r="E86" s="114">
        <v>20.78</v>
      </c>
      <c r="F86" s="113">
        <v>7185.0</v>
      </c>
      <c r="G86" s="113">
        <v>7245.0</v>
      </c>
      <c r="H86" s="113">
        <v>7110.0</v>
      </c>
      <c r="I86" s="113">
        <v>7245.0</v>
      </c>
      <c r="J86" s="115">
        <v>0.47708333333333336</v>
      </c>
      <c r="K86" s="114">
        <v>506.0</v>
      </c>
      <c r="L86" s="113">
        <v>3626705.0</v>
      </c>
      <c r="M86" s="114" t="s">
        <v>200</v>
      </c>
      <c r="N86" s="113">
        <v>1485.46</v>
      </c>
    </row>
    <row r="87">
      <c r="A87" s="117" t="s">
        <v>289</v>
      </c>
      <c r="B87" s="113">
        <v>15020.0</v>
      </c>
      <c r="C87" s="114">
        <v>-1.83</v>
      </c>
      <c r="D87" s="114">
        <v>-2.09</v>
      </c>
      <c r="E87" s="114">
        <v>3.59</v>
      </c>
      <c r="F87" s="113">
        <v>15300.0</v>
      </c>
      <c r="G87" s="113">
        <v>15030.0</v>
      </c>
      <c r="H87" s="113">
        <v>15020.0</v>
      </c>
      <c r="I87" s="113">
        <v>15030.0</v>
      </c>
      <c r="J87" s="115">
        <v>0.4701388888888889</v>
      </c>
      <c r="K87" s="114">
        <v>15.0</v>
      </c>
      <c r="L87" s="113">
        <v>225400.0</v>
      </c>
      <c r="M87" s="114" t="s">
        <v>189</v>
      </c>
      <c r="N87" s="114" t="s">
        <v>175</v>
      </c>
    </row>
    <row r="88">
      <c r="A88" s="117" t="s">
        <v>290</v>
      </c>
      <c r="B88" s="113">
        <v>21650.0</v>
      </c>
      <c r="C88" s="114">
        <v>-0.46</v>
      </c>
      <c r="D88" s="114">
        <v>-0.78</v>
      </c>
      <c r="E88" s="114">
        <v>-2.57</v>
      </c>
      <c r="F88" s="113">
        <v>21750.0</v>
      </c>
      <c r="G88" s="113">
        <v>21650.0</v>
      </c>
      <c r="H88" s="113">
        <v>21650.0</v>
      </c>
      <c r="I88" s="113">
        <v>21650.0</v>
      </c>
      <c r="J88" s="115">
        <v>0.47708333333333336</v>
      </c>
      <c r="K88" s="114">
        <v>21.0</v>
      </c>
      <c r="L88" s="113">
        <v>454650.0</v>
      </c>
      <c r="M88" s="114" t="s">
        <v>177</v>
      </c>
      <c r="N88" s="113">
        <v>1488.7</v>
      </c>
    </row>
    <row r="89">
      <c r="A89" s="117" t="s">
        <v>291</v>
      </c>
      <c r="B89" s="113">
        <v>70125.0</v>
      </c>
      <c r="C89" s="114">
        <v>0.21</v>
      </c>
      <c r="D89" s="114">
        <v>2.3</v>
      </c>
      <c r="E89" s="114">
        <v>6.21</v>
      </c>
      <c r="F89" s="113">
        <v>69975.0</v>
      </c>
      <c r="G89" s="113">
        <v>70125.0</v>
      </c>
      <c r="H89" s="113">
        <v>70125.0</v>
      </c>
      <c r="I89" s="113">
        <v>70125.0</v>
      </c>
      <c r="J89" s="115">
        <v>0.46944444444444444</v>
      </c>
      <c r="K89" s="114">
        <v>1.0</v>
      </c>
      <c r="L89" s="113">
        <v>70125.0</v>
      </c>
      <c r="M89" s="114" t="s">
        <v>173</v>
      </c>
      <c r="N89" s="113">
        <v>1495.52</v>
      </c>
    </row>
    <row r="90">
      <c r="A90" s="117" t="s">
        <v>292</v>
      </c>
      <c r="B90" s="113">
        <v>17890.0</v>
      </c>
      <c r="C90" s="114">
        <v>0.85</v>
      </c>
      <c r="D90" s="114">
        <v>0.45</v>
      </c>
      <c r="E90" s="114">
        <v>5.24</v>
      </c>
      <c r="F90" s="113">
        <v>17740.0</v>
      </c>
      <c r="G90" s="113">
        <v>17800.0</v>
      </c>
      <c r="H90" s="113">
        <v>17800.0</v>
      </c>
      <c r="I90" s="113">
        <v>18010.0</v>
      </c>
      <c r="J90" s="115">
        <v>0.47708333333333336</v>
      </c>
      <c r="K90" s="116">
        <v>7856.0</v>
      </c>
      <c r="L90" s="113">
        <v>1.4033952E8</v>
      </c>
      <c r="M90" s="115">
        <v>0.20902777777777778</v>
      </c>
      <c r="N90" s="113">
        <v>1508.94</v>
      </c>
    </row>
    <row r="91">
      <c r="A91" s="117" t="s">
        <v>293</v>
      </c>
      <c r="B91" s="114">
        <v>12.38</v>
      </c>
      <c r="C91" s="114">
        <v>0.65</v>
      </c>
      <c r="D91" s="114">
        <v>1.31</v>
      </c>
      <c r="E91" s="114">
        <v>9.56</v>
      </c>
      <c r="F91" s="114">
        <v>12.3</v>
      </c>
      <c r="G91" s="114">
        <v>12.49</v>
      </c>
      <c r="H91" s="114">
        <v>12.22</v>
      </c>
      <c r="I91" s="114">
        <v>12.5</v>
      </c>
      <c r="J91" s="115">
        <v>0.47708333333333336</v>
      </c>
      <c r="K91" s="114">
        <v>517.0</v>
      </c>
      <c r="L91" s="113">
        <v>6412.0</v>
      </c>
      <c r="M91" s="114" t="s">
        <v>175</v>
      </c>
      <c r="N91" s="114" t="s">
        <v>175</v>
      </c>
    </row>
    <row r="92">
      <c r="A92" s="117" t="s">
        <v>294</v>
      </c>
      <c r="B92" s="113">
        <v>5185.0</v>
      </c>
      <c r="C92" s="114">
        <v>-1.89</v>
      </c>
      <c r="D92" s="114">
        <v>-17.7</v>
      </c>
      <c r="E92" s="114">
        <v>-25.66</v>
      </c>
      <c r="F92" s="113">
        <v>5285.0</v>
      </c>
      <c r="G92" s="113">
        <v>5230.0</v>
      </c>
      <c r="H92" s="113">
        <v>5160.0</v>
      </c>
      <c r="I92" s="113">
        <v>5230.0</v>
      </c>
      <c r="J92" s="115">
        <v>0.47708333333333336</v>
      </c>
      <c r="K92" s="116">
        <v>33390.0</v>
      </c>
      <c r="L92" s="113">
        <v>1.73850625E8</v>
      </c>
      <c r="M92" s="114" t="s">
        <v>202</v>
      </c>
      <c r="N92" s="113">
        <v>1481.43</v>
      </c>
    </row>
    <row r="93">
      <c r="A93" s="117" t="s">
        <v>295</v>
      </c>
      <c r="B93" s="113">
        <v>28720.0</v>
      </c>
      <c r="C93" s="114">
        <v>3.16</v>
      </c>
      <c r="D93" s="114">
        <v>2.43</v>
      </c>
      <c r="E93" s="114">
        <v>17.9</v>
      </c>
      <c r="F93" s="113">
        <v>27840.0</v>
      </c>
      <c r="G93" s="113">
        <v>28080.0</v>
      </c>
      <c r="H93" s="113">
        <v>28080.0</v>
      </c>
      <c r="I93" s="113">
        <v>28780.0</v>
      </c>
      <c r="J93" s="115">
        <v>0.47708333333333336</v>
      </c>
      <c r="K93" s="116">
        <v>4108.0</v>
      </c>
      <c r="L93" s="113">
        <v>1.1706672E8</v>
      </c>
      <c r="M93" s="114" t="s">
        <v>173</v>
      </c>
      <c r="N93" s="113">
        <v>1533.78</v>
      </c>
    </row>
    <row r="94">
      <c r="A94" s="117" t="s">
        <v>296</v>
      </c>
      <c r="B94" s="114">
        <v>19.76</v>
      </c>
      <c r="C94" s="114">
        <v>2.65</v>
      </c>
      <c r="D94" s="114">
        <v>2.6</v>
      </c>
      <c r="E94" s="114">
        <v>19.9</v>
      </c>
      <c r="F94" s="114">
        <v>19.25</v>
      </c>
      <c r="G94" s="114">
        <v>19.39</v>
      </c>
      <c r="H94" s="114">
        <v>19.25</v>
      </c>
      <c r="I94" s="114">
        <v>19.79</v>
      </c>
      <c r="J94" s="115">
        <v>0.47708333333333336</v>
      </c>
      <c r="K94" s="116">
        <v>1098.0</v>
      </c>
      <c r="L94" s="113">
        <v>21614.0</v>
      </c>
      <c r="M94" s="114" t="s">
        <v>175</v>
      </c>
      <c r="N94" s="114" t="s">
        <v>175</v>
      </c>
    </row>
    <row r="95">
      <c r="A95" s="117" t="s">
        <v>297</v>
      </c>
      <c r="B95" s="113">
        <v>20510.0</v>
      </c>
      <c r="C95" s="114">
        <v>-0.53</v>
      </c>
      <c r="D95" s="114">
        <v>-3.53</v>
      </c>
      <c r="E95" s="114">
        <v>2.45</v>
      </c>
      <c r="F95" s="113">
        <v>20620.0</v>
      </c>
      <c r="G95" s="113">
        <v>20730.0</v>
      </c>
      <c r="H95" s="113">
        <v>20510.0</v>
      </c>
      <c r="I95" s="113">
        <v>20730.0</v>
      </c>
      <c r="J95" s="115">
        <v>0.47708333333333336</v>
      </c>
      <c r="K95" s="114">
        <v>173.0</v>
      </c>
      <c r="L95" s="113">
        <v>3558580.0</v>
      </c>
      <c r="M95" s="114" t="s">
        <v>185</v>
      </c>
      <c r="N95" s="113">
        <v>1485.16</v>
      </c>
    </row>
    <row r="96">
      <c r="A96" s="117" t="s">
        <v>298</v>
      </c>
      <c r="B96" s="113">
        <v>31760.0</v>
      </c>
      <c r="C96" s="114">
        <v>5.03</v>
      </c>
      <c r="D96" s="114">
        <v>4.34</v>
      </c>
      <c r="E96" s="114">
        <v>21.22</v>
      </c>
      <c r="F96" s="113">
        <v>30240.0</v>
      </c>
      <c r="G96" s="113">
        <v>31380.0</v>
      </c>
      <c r="H96" s="113">
        <v>31380.0</v>
      </c>
      <c r="I96" s="113">
        <v>31940.0</v>
      </c>
      <c r="J96" s="115">
        <v>0.47708333333333336</v>
      </c>
      <c r="K96" s="114">
        <v>842.0</v>
      </c>
      <c r="L96" s="113">
        <v>2.667996E7</v>
      </c>
      <c r="M96" s="114" t="s">
        <v>231</v>
      </c>
      <c r="N96" s="113">
        <v>1568.14</v>
      </c>
    </row>
    <row r="97">
      <c r="A97" s="117" t="s">
        <v>299</v>
      </c>
      <c r="B97" s="114">
        <v>22.1</v>
      </c>
      <c r="C97" s="114">
        <v>4.39</v>
      </c>
      <c r="D97" s="114">
        <v>2.93</v>
      </c>
      <c r="E97" s="114">
        <v>22.91</v>
      </c>
      <c r="F97" s="114">
        <v>21.17</v>
      </c>
      <c r="G97" s="114">
        <v>22.2</v>
      </c>
      <c r="H97" s="114">
        <v>21.39</v>
      </c>
      <c r="I97" s="114">
        <v>22.2</v>
      </c>
      <c r="J97" s="115">
        <v>0.47708333333333336</v>
      </c>
      <c r="K97" s="114">
        <v>39.0</v>
      </c>
      <c r="L97" s="114">
        <v>863.0</v>
      </c>
      <c r="M97" s="114" t="s">
        <v>175</v>
      </c>
      <c r="N97" s="114" t="s">
        <v>175</v>
      </c>
    </row>
    <row r="98">
      <c r="A98" s="117" t="s">
        <v>300</v>
      </c>
      <c r="B98" s="113">
        <v>50875.0</v>
      </c>
      <c r="C98" s="114">
        <v>2.57</v>
      </c>
      <c r="D98" s="114">
        <v>5.55</v>
      </c>
      <c r="E98" s="114">
        <v>14.74</v>
      </c>
      <c r="F98" s="113">
        <v>49600.0</v>
      </c>
      <c r="G98" s="113">
        <v>50575.0</v>
      </c>
      <c r="H98" s="113">
        <v>50575.0</v>
      </c>
      <c r="I98" s="113">
        <v>51250.0</v>
      </c>
      <c r="J98" s="115">
        <v>0.47708333333333336</v>
      </c>
      <c r="K98" s="114">
        <v>88.0</v>
      </c>
      <c r="L98" s="113">
        <v>4481100.0</v>
      </c>
      <c r="M98" s="114" t="s">
        <v>181</v>
      </c>
      <c r="N98" s="113">
        <v>1517.3</v>
      </c>
    </row>
    <row r="99">
      <c r="A99" s="117" t="s">
        <v>301</v>
      </c>
      <c r="B99" s="113">
        <v>18760.0</v>
      </c>
      <c r="C99" s="114">
        <v>-0.53</v>
      </c>
      <c r="D99" s="114">
        <v>-0.74</v>
      </c>
      <c r="E99" s="114">
        <v>-16.25</v>
      </c>
      <c r="F99" s="113">
        <v>18860.0</v>
      </c>
      <c r="G99" s="113">
        <v>18790.0</v>
      </c>
      <c r="H99" s="113">
        <v>18760.0</v>
      </c>
      <c r="I99" s="113">
        <v>19070.0</v>
      </c>
      <c r="J99" s="115">
        <v>0.47708333333333336</v>
      </c>
      <c r="K99" s="114">
        <v>321.0</v>
      </c>
      <c r="L99" s="113">
        <v>6035620.0</v>
      </c>
      <c r="M99" s="114" t="s">
        <v>267</v>
      </c>
      <c r="N99" s="113">
        <v>1464.67</v>
      </c>
    </row>
    <row r="100">
      <c r="A100" s="117" t="s">
        <v>302</v>
      </c>
      <c r="B100" s="113">
        <v>11530.0</v>
      </c>
      <c r="C100" s="114">
        <v>-1.54</v>
      </c>
      <c r="D100" s="114">
        <v>-5.41</v>
      </c>
      <c r="E100" s="114">
        <v>-2.21</v>
      </c>
      <c r="F100" s="113">
        <v>11710.0</v>
      </c>
      <c r="G100" s="113">
        <v>11740.0</v>
      </c>
      <c r="H100" s="113">
        <v>11500.0</v>
      </c>
      <c r="I100" s="113">
        <v>11740.0</v>
      </c>
      <c r="J100" s="115">
        <v>0.47708333333333336</v>
      </c>
      <c r="K100" s="116">
        <v>3642.0</v>
      </c>
      <c r="L100" s="113">
        <v>4.220534E7</v>
      </c>
      <c r="M100" s="114" t="s">
        <v>202</v>
      </c>
      <c r="N100" s="113">
        <v>1471.79</v>
      </c>
    </row>
    <row r="101">
      <c r="A101" s="117" t="s">
        <v>303</v>
      </c>
      <c r="B101" s="114">
        <v>7.95</v>
      </c>
      <c r="C101" s="114">
        <v>-1.97</v>
      </c>
      <c r="D101" s="114">
        <v>-3.05</v>
      </c>
      <c r="E101" s="114">
        <v>-0.38</v>
      </c>
      <c r="F101" s="114">
        <v>8.11</v>
      </c>
      <c r="G101" s="114">
        <v>8.02</v>
      </c>
      <c r="H101" s="114">
        <v>7.95</v>
      </c>
      <c r="I101" s="114">
        <v>8.12</v>
      </c>
      <c r="J101" s="115">
        <v>0.47708333333333336</v>
      </c>
      <c r="K101" s="114">
        <v>706.0</v>
      </c>
      <c r="L101" s="113">
        <v>5651.0</v>
      </c>
      <c r="M101" s="114" t="s">
        <v>175</v>
      </c>
      <c r="N101" s="114" t="s">
        <v>175</v>
      </c>
    </row>
    <row r="102">
      <c r="A102" s="117" t="s">
        <v>304</v>
      </c>
      <c r="B102" s="113">
        <v>57600.0</v>
      </c>
      <c r="C102" s="114">
        <v>0.44</v>
      </c>
      <c r="D102" s="114">
        <v>-0.22</v>
      </c>
      <c r="E102" s="114">
        <v>-2.95</v>
      </c>
      <c r="F102" s="113">
        <v>57350.0</v>
      </c>
      <c r="G102" s="113">
        <v>57700.0</v>
      </c>
      <c r="H102" s="113">
        <v>57600.0</v>
      </c>
      <c r="I102" s="113">
        <v>58125.0</v>
      </c>
      <c r="J102" s="115">
        <v>0.47708333333333336</v>
      </c>
      <c r="K102" s="114">
        <v>324.0</v>
      </c>
      <c r="L102" s="113">
        <v>1.871795E7</v>
      </c>
      <c r="M102" s="114" t="s">
        <v>277</v>
      </c>
      <c r="N102" s="113">
        <v>1492.66</v>
      </c>
    </row>
    <row r="103">
      <c r="A103" s="117" t="s">
        <v>305</v>
      </c>
      <c r="B103" s="114">
        <v>40.0</v>
      </c>
      <c r="C103" s="114">
        <v>1.78</v>
      </c>
      <c r="D103" s="114">
        <v>1.29</v>
      </c>
      <c r="E103" s="114">
        <v>-0.7</v>
      </c>
      <c r="F103" s="114">
        <v>39.3</v>
      </c>
      <c r="G103" s="114">
        <v>40.59</v>
      </c>
      <c r="H103" s="114">
        <v>40.0</v>
      </c>
      <c r="I103" s="114">
        <v>40.59</v>
      </c>
      <c r="J103" s="115">
        <v>0.47708333333333336</v>
      </c>
      <c r="K103" s="114">
        <v>62.0</v>
      </c>
      <c r="L103" s="113">
        <v>2487.0</v>
      </c>
      <c r="M103" s="114" t="s">
        <v>175</v>
      </c>
      <c r="N103" s="114" t="s">
        <v>175</v>
      </c>
    </row>
    <row r="104">
      <c r="A104" s="117" t="s">
        <v>306</v>
      </c>
      <c r="B104" s="113">
        <v>77575.0</v>
      </c>
      <c r="C104" s="114">
        <v>4.94</v>
      </c>
      <c r="D104" s="114">
        <v>1.11</v>
      </c>
      <c r="E104" s="114">
        <v>14.59</v>
      </c>
      <c r="F104" s="113">
        <v>73925.0</v>
      </c>
      <c r="G104" s="113">
        <v>77850.0</v>
      </c>
      <c r="H104" s="113">
        <v>77550.0</v>
      </c>
      <c r="I104" s="113">
        <v>78650.0</v>
      </c>
      <c r="J104" s="115">
        <v>0.47708333333333336</v>
      </c>
      <c r="K104" s="114">
        <v>207.0</v>
      </c>
      <c r="L104" s="113">
        <v>1.62158E7</v>
      </c>
      <c r="M104" s="114" t="s">
        <v>185</v>
      </c>
      <c r="N104" s="113">
        <v>1553.05</v>
      </c>
    </row>
    <row r="105">
      <c r="A105" s="117" t="s">
        <v>307</v>
      </c>
      <c r="B105" s="113">
        <v>26220.0</v>
      </c>
      <c r="C105" s="114">
        <v>2.5</v>
      </c>
      <c r="D105" s="114">
        <v>1.94</v>
      </c>
      <c r="E105" s="114">
        <v>16.27</v>
      </c>
      <c r="F105" s="113">
        <v>25580.0</v>
      </c>
      <c r="G105" s="113">
        <v>26160.0</v>
      </c>
      <c r="H105" s="113">
        <v>26080.0</v>
      </c>
      <c r="I105" s="113">
        <v>26220.0</v>
      </c>
      <c r="J105" s="115">
        <v>0.47708333333333336</v>
      </c>
      <c r="K105" s="114">
        <v>9.0</v>
      </c>
      <c r="L105" s="113">
        <v>235640.0</v>
      </c>
      <c r="M105" s="114" t="s">
        <v>308</v>
      </c>
      <c r="N105" s="113">
        <v>1517.36</v>
      </c>
    </row>
    <row r="106">
      <c r="A106" s="117" t="s">
        <v>309</v>
      </c>
      <c r="B106" s="114">
        <v>17.21</v>
      </c>
      <c r="C106" s="114">
        <v>-0.75</v>
      </c>
      <c r="D106" s="114">
        <v>-0.75</v>
      </c>
      <c r="E106" s="114">
        <v>15.81</v>
      </c>
      <c r="F106" s="114">
        <v>17.34</v>
      </c>
      <c r="G106" s="114">
        <v>17.21</v>
      </c>
      <c r="H106" s="114">
        <v>17.21</v>
      </c>
      <c r="I106" s="114">
        <v>17.21</v>
      </c>
      <c r="J106" s="115">
        <v>0.4708333333333333</v>
      </c>
      <c r="K106" s="114">
        <v>6.0</v>
      </c>
      <c r="L106" s="114">
        <v>103.0</v>
      </c>
      <c r="M106" s="114" t="s">
        <v>175</v>
      </c>
      <c r="N106" s="114" t="s">
        <v>175</v>
      </c>
    </row>
    <row r="107">
      <c r="A107" s="117" t="s">
        <v>310</v>
      </c>
      <c r="B107" s="113">
        <v>52950.0</v>
      </c>
      <c r="C107" s="114">
        <v>-0.75</v>
      </c>
      <c r="D107" s="114">
        <v>0.28</v>
      </c>
      <c r="E107" s="114">
        <v>13.0</v>
      </c>
      <c r="F107" s="113">
        <v>53350.0</v>
      </c>
      <c r="G107" s="113">
        <v>53525.0</v>
      </c>
      <c r="H107" s="113">
        <v>52850.0</v>
      </c>
      <c r="I107" s="113">
        <v>53525.0</v>
      </c>
      <c r="J107" s="115">
        <v>0.47708333333333336</v>
      </c>
      <c r="K107" s="114">
        <v>22.0</v>
      </c>
      <c r="L107" s="113">
        <v>1165975.0</v>
      </c>
      <c r="M107" s="114" t="s">
        <v>189</v>
      </c>
      <c r="N107" s="113">
        <v>1482.26</v>
      </c>
    </row>
    <row r="108">
      <c r="A108" s="117" t="s">
        <v>311</v>
      </c>
      <c r="B108" s="113">
        <v>13470.0</v>
      </c>
      <c r="C108" s="114">
        <v>4.5</v>
      </c>
      <c r="D108" s="114">
        <v>-1.25</v>
      </c>
      <c r="E108" s="114">
        <v>9.42</v>
      </c>
      <c r="F108" s="113">
        <v>12890.0</v>
      </c>
      <c r="G108" s="113">
        <v>13420.0</v>
      </c>
      <c r="H108" s="113">
        <v>13420.0</v>
      </c>
      <c r="I108" s="113">
        <v>13640.0</v>
      </c>
      <c r="J108" s="115">
        <v>0.47708333333333336</v>
      </c>
      <c r="K108" s="116">
        <v>110962.0</v>
      </c>
      <c r="L108" s="113">
        <v>1.49585278E9</v>
      </c>
      <c r="M108" s="114" t="s">
        <v>312</v>
      </c>
      <c r="N108" s="113">
        <v>1576.8</v>
      </c>
    </row>
    <row r="109">
      <c r="A109" s="117" t="s">
        <v>313</v>
      </c>
      <c r="B109" s="114">
        <v>9.29</v>
      </c>
      <c r="C109" s="114">
        <v>4.5</v>
      </c>
      <c r="D109" s="114">
        <v>-0.21</v>
      </c>
      <c r="E109" s="114">
        <v>12.47</v>
      </c>
      <c r="F109" s="114">
        <v>8.89</v>
      </c>
      <c r="G109" s="114">
        <v>9.26</v>
      </c>
      <c r="H109" s="114">
        <v>9.24</v>
      </c>
      <c r="I109" s="114">
        <v>9.45</v>
      </c>
      <c r="J109" s="115">
        <v>0.47708333333333336</v>
      </c>
      <c r="K109" s="116">
        <v>16868.0</v>
      </c>
      <c r="L109" s="113">
        <v>157523.0</v>
      </c>
      <c r="M109" s="114" t="s">
        <v>175</v>
      </c>
      <c r="N109" s="114" t="s">
        <v>175</v>
      </c>
    </row>
    <row r="110">
      <c r="A110" s="117" t="s">
        <v>314</v>
      </c>
      <c r="B110" s="113">
        <v>5200.0</v>
      </c>
      <c r="C110" s="114">
        <v>-4.59</v>
      </c>
      <c r="D110" s="114">
        <v>-5.37</v>
      </c>
      <c r="E110" s="114">
        <v>-11.86</v>
      </c>
      <c r="F110" s="113">
        <v>5450.0</v>
      </c>
      <c r="G110" s="113">
        <v>5360.0</v>
      </c>
      <c r="H110" s="113">
        <v>5095.0</v>
      </c>
      <c r="I110" s="113">
        <v>5360.0</v>
      </c>
      <c r="J110" s="115">
        <v>0.47708333333333336</v>
      </c>
      <c r="K110" s="116">
        <v>17200.0</v>
      </c>
      <c r="L110" s="113">
        <v>8.8862965E7</v>
      </c>
      <c r="M110" s="114" t="s">
        <v>267</v>
      </c>
      <c r="N110" s="113">
        <v>1422.71</v>
      </c>
    </row>
    <row r="111">
      <c r="A111" s="117" t="s">
        <v>315</v>
      </c>
      <c r="B111" s="113">
        <v>43400.0</v>
      </c>
      <c r="C111" s="114">
        <v>5.7</v>
      </c>
      <c r="D111" s="114">
        <v>10.71</v>
      </c>
      <c r="E111" s="114">
        <v>29.01</v>
      </c>
      <c r="F111" s="113">
        <v>41060.0</v>
      </c>
      <c r="G111" s="113">
        <v>43320.0</v>
      </c>
      <c r="H111" s="113">
        <v>43300.0</v>
      </c>
      <c r="I111" s="113">
        <v>43640.0</v>
      </c>
      <c r="J111" s="115">
        <v>0.47708333333333336</v>
      </c>
      <c r="K111" s="114">
        <v>47.0</v>
      </c>
      <c r="L111" s="113">
        <v>2044540.0</v>
      </c>
      <c r="M111" s="114" t="s">
        <v>189</v>
      </c>
      <c r="N111" s="113">
        <v>1573.03</v>
      </c>
    </row>
    <row r="112">
      <c r="A112" s="117" t="s">
        <v>316</v>
      </c>
      <c r="B112" s="113">
        <v>21000.0</v>
      </c>
      <c r="C112" s="114">
        <v>0.62</v>
      </c>
      <c r="D112" s="114">
        <v>-3.45</v>
      </c>
      <c r="E112" s="114">
        <v>0.57</v>
      </c>
      <c r="F112" s="113">
        <v>20870.0</v>
      </c>
      <c r="G112" s="113">
        <v>20850.0</v>
      </c>
      <c r="H112" s="113">
        <v>20810.0</v>
      </c>
      <c r="I112" s="113">
        <v>21000.0</v>
      </c>
      <c r="J112" s="115">
        <v>0.47708333333333336</v>
      </c>
      <c r="K112" s="114">
        <v>58.0</v>
      </c>
      <c r="L112" s="113">
        <v>1214440.0</v>
      </c>
      <c r="M112" s="114" t="s">
        <v>200</v>
      </c>
      <c r="N112" s="113">
        <v>1495.19</v>
      </c>
    </row>
    <row r="113">
      <c r="A113" s="117" t="s">
        <v>317</v>
      </c>
      <c r="B113" s="113">
        <v>8945.0</v>
      </c>
      <c r="C113" s="114">
        <v>1.25</v>
      </c>
      <c r="D113" s="114">
        <v>1.88</v>
      </c>
      <c r="E113" s="114">
        <v>8.62</v>
      </c>
      <c r="F113" s="113">
        <v>8835.0</v>
      </c>
      <c r="G113" s="113">
        <v>8900.0</v>
      </c>
      <c r="H113" s="113">
        <v>8890.0</v>
      </c>
      <c r="I113" s="113">
        <v>9015.0</v>
      </c>
      <c r="J113" s="115">
        <v>0.47708333333333336</v>
      </c>
      <c r="K113" s="116">
        <v>45848.0</v>
      </c>
      <c r="L113" s="113">
        <v>4.09588435E8</v>
      </c>
      <c r="M113" s="114" t="s">
        <v>318</v>
      </c>
      <c r="N113" s="113">
        <v>1509.53</v>
      </c>
    </row>
    <row r="114">
      <c r="A114" s="117" t="s">
        <v>319</v>
      </c>
      <c r="B114" s="113">
        <v>12090.0</v>
      </c>
      <c r="C114" s="114">
        <v>-0.66</v>
      </c>
      <c r="D114" s="114">
        <v>-8.41</v>
      </c>
      <c r="E114" s="114">
        <v>8.43</v>
      </c>
      <c r="F114" s="113">
        <v>12170.0</v>
      </c>
      <c r="G114" s="113">
        <v>12070.0</v>
      </c>
      <c r="H114" s="113">
        <v>12020.0</v>
      </c>
      <c r="I114" s="113">
        <v>12290.0</v>
      </c>
      <c r="J114" s="115">
        <v>0.47708333333333336</v>
      </c>
      <c r="K114" s="114">
        <v>199.0</v>
      </c>
      <c r="L114" s="113">
        <v>2406790.0</v>
      </c>
      <c r="M114" s="114" t="s">
        <v>185</v>
      </c>
      <c r="N114" s="113">
        <v>1490.75</v>
      </c>
    </row>
    <row r="115">
      <c r="A115" s="117" t="s">
        <v>320</v>
      </c>
      <c r="B115" s="113">
        <v>108275.0</v>
      </c>
      <c r="C115" s="114">
        <v>-0.62</v>
      </c>
      <c r="D115" s="114">
        <v>-0.07</v>
      </c>
      <c r="E115" s="114">
        <v>4.84</v>
      </c>
      <c r="F115" s="113">
        <v>108950.0</v>
      </c>
      <c r="G115" s="113">
        <v>108425.0</v>
      </c>
      <c r="H115" s="113">
        <v>108175.0</v>
      </c>
      <c r="I115" s="113">
        <v>108625.0</v>
      </c>
      <c r="J115" s="115">
        <v>0.47708333333333336</v>
      </c>
      <c r="K115" s="114">
        <v>314.0</v>
      </c>
      <c r="L115" s="113">
        <v>3.3985E7</v>
      </c>
      <c r="M115" s="114" t="s">
        <v>242</v>
      </c>
      <c r="N115" s="113">
        <v>1487.4</v>
      </c>
    </row>
    <row r="116">
      <c r="A116" s="117" t="s">
        <v>321</v>
      </c>
      <c r="B116" s="113">
        <v>19500.0</v>
      </c>
      <c r="C116" s="114">
        <v>-0.1</v>
      </c>
      <c r="D116" s="114">
        <v>0.72</v>
      </c>
      <c r="E116" s="114">
        <v>4.33</v>
      </c>
      <c r="F116" s="113">
        <v>19520.0</v>
      </c>
      <c r="G116" s="113">
        <v>19500.0</v>
      </c>
      <c r="H116" s="113">
        <v>19500.0</v>
      </c>
      <c r="I116" s="113">
        <v>19500.0</v>
      </c>
      <c r="J116" s="115">
        <v>0.47638888888888886</v>
      </c>
      <c r="K116" s="114">
        <v>9.0</v>
      </c>
      <c r="L116" s="113">
        <v>175500.0</v>
      </c>
      <c r="M116" s="114" t="s">
        <v>189</v>
      </c>
      <c r="N116" s="113">
        <v>1486.56</v>
      </c>
    </row>
    <row r="117">
      <c r="A117" s="117" t="s">
        <v>322</v>
      </c>
      <c r="B117" s="113">
        <v>6900.0</v>
      </c>
      <c r="C117" s="114">
        <v>-1.22</v>
      </c>
      <c r="D117" s="114">
        <v>-2.06</v>
      </c>
      <c r="E117" s="114">
        <v>-1.36</v>
      </c>
      <c r="F117" s="113">
        <v>6985.0</v>
      </c>
      <c r="G117" s="113">
        <v>7030.0</v>
      </c>
      <c r="H117" s="113">
        <v>6900.0</v>
      </c>
      <c r="I117" s="113">
        <v>7030.0</v>
      </c>
      <c r="J117" s="115">
        <v>0.47708333333333336</v>
      </c>
      <c r="K117" s="114">
        <v>9.0</v>
      </c>
      <c r="L117" s="113">
        <v>62230.0</v>
      </c>
      <c r="M117" s="114" t="s">
        <v>173</v>
      </c>
      <c r="N117" s="113">
        <v>1479.1</v>
      </c>
    </row>
    <row r="118">
      <c r="A118" s="117" t="s">
        <v>323</v>
      </c>
      <c r="B118" s="113">
        <v>24400.0</v>
      </c>
      <c r="C118" s="114">
        <v>-1.37</v>
      </c>
      <c r="D118" s="114">
        <v>-3.1</v>
      </c>
      <c r="E118" s="114">
        <v>11.62</v>
      </c>
      <c r="F118" s="113">
        <v>24740.0</v>
      </c>
      <c r="G118" s="113">
        <v>24540.0</v>
      </c>
      <c r="H118" s="113">
        <v>24360.0</v>
      </c>
      <c r="I118" s="113">
        <v>24580.0</v>
      </c>
      <c r="J118" s="115">
        <v>0.47638888888888886</v>
      </c>
      <c r="K118" s="114">
        <v>35.0</v>
      </c>
      <c r="L118" s="113">
        <v>858720.0</v>
      </c>
      <c r="M118" s="114" t="s">
        <v>173</v>
      </c>
      <c r="N118" s="113">
        <v>1486.45</v>
      </c>
    </row>
    <row r="119">
      <c r="A119" s="117" t="s">
        <v>324</v>
      </c>
      <c r="B119" s="113">
        <v>3767.5</v>
      </c>
      <c r="C119" s="114">
        <v>3.36</v>
      </c>
      <c r="D119" s="114">
        <v>1.21</v>
      </c>
      <c r="E119" s="114">
        <v>-9.11</v>
      </c>
      <c r="F119" s="113">
        <v>3645.0</v>
      </c>
      <c r="G119" s="113">
        <v>3710.0</v>
      </c>
      <c r="H119" s="113">
        <v>3710.0</v>
      </c>
      <c r="I119" s="113">
        <v>3805.0</v>
      </c>
      <c r="J119" s="115">
        <v>0.47708333333333336</v>
      </c>
      <c r="K119" s="114">
        <v>19.0</v>
      </c>
      <c r="L119" s="113">
        <v>71235.0</v>
      </c>
      <c r="M119" s="114" t="s">
        <v>185</v>
      </c>
      <c r="N119" s="114" t="s">
        <v>175</v>
      </c>
    </row>
    <row r="120">
      <c r="A120" s="117" t="s">
        <v>325</v>
      </c>
      <c r="B120" s="113">
        <v>17510.0</v>
      </c>
      <c r="C120" s="114">
        <v>-0.91</v>
      </c>
      <c r="D120" s="114">
        <v>-0.11</v>
      </c>
      <c r="E120" s="114">
        <v>6.19</v>
      </c>
      <c r="F120" s="113">
        <v>17670.0</v>
      </c>
      <c r="G120" s="113">
        <v>17470.0</v>
      </c>
      <c r="H120" s="113">
        <v>17470.0</v>
      </c>
      <c r="I120" s="113">
        <v>17590.0</v>
      </c>
      <c r="J120" s="115">
        <v>0.47708333333333336</v>
      </c>
      <c r="K120" s="114">
        <v>24.0</v>
      </c>
      <c r="L120" s="113">
        <v>421060.0</v>
      </c>
      <c r="M120" s="114" t="s">
        <v>326</v>
      </c>
      <c r="N120" s="113">
        <v>1481.86</v>
      </c>
    </row>
    <row r="121">
      <c r="A121" s="117" t="s">
        <v>327</v>
      </c>
      <c r="B121" s="113">
        <v>25100.0</v>
      </c>
      <c r="C121" s="114">
        <v>-0.4</v>
      </c>
      <c r="D121" s="114">
        <v>3.46</v>
      </c>
      <c r="E121" s="114">
        <v>-9.65</v>
      </c>
      <c r="F121" s="113">
        <v>25200.0</v>
      </c>
      <c r="G121" s="113">
        <v>25080.0</v>
      </c>
      <c r="H121" s="113">
        <v>25080.0</v>
      </c>
      <c r="I121" s="113">
        <v>25100.0</v>
      </c>
      <c r="J121" s="115">
        <v>0.47708333333333336</v>
      </c>
      <c r="K121" s="114">
        <v>24.0</v>
      </c>
      <c r="L121" s="113">
        <v>602000.0</v>
      </c>
      <c r="M121" s="114" t="s">
        <v>173</v>
      </c>
      <c r="N121" s="113">
        <v>1485.65</v>
      </c>
    </row>
    <row r="122">
      <c r="A122" s="117" t="s">
        <v>328</v>
      </c>
      <c r="B122" s="113">
        <v>34780.0</v>
      </c>
      <c r="C122" s="114">
        <v>9.44</v>
      </c>
      <c r="D122" s="114">
        <v>0.69</v>
      </c>
      <c r="E122" s="114">
        <v>17.66</v>
      </c>
      <c r="F122" s="113">
        <v>31780.0</v>
      </c>
      <c r="G122" s="113">
        <v>33020.0</v>
      </c>
      <c r="H122" s="113">
        <v>33000.0</v>
      </c>
      <c r="I122" s="113">
        <v>35480.0</v>
      </c>
      <c r="J122" s="115">
        <v>0.47708333333333336</v>
      </c>
      <c r="K122" s="114">
        <v>931.0</v>
      </c>
      <c r="L122" s="113">
        <v>3.262954E7</v>
      </c>
      <c r="M122" s="114" t="s">
        <v>185</v>
      </c>
      <c r="N122" s="113">
        <v>1613.92</v>
      </c>
    </row>
    <row r="123">
      <c r="A123" s="117" t="s">
        <v>329</v>
      </c>
      <c r="B123" s="113">
        <v>32520.0</v>
      </c>
      <c r="C123" s="114">
        <v>4.7</v>
      </c>
      <c r="D123" s="114">
        <v>-0.55</v>
      </c>
      <c r="E123" s="114">
        <v>6.76</v>
      </c>
      <c r="F123" s="113">
        <v>31060.0</v>
      </c>
      <c r="G123" s="113">
        <v>32380.0</v>
      </c>
      <c r="H123" s="113">
        <v>32380.0</v>
      </c>
      <c r="I123" s="113">
        <v>33140.0</v>
      </c>
      <c r="J123" s="115">
        <v>0.47708333333333336</v>
      </c>
      <c r="K123" s="116">
        <v>4104.0</v>
      </c>
      <c r="L123" s="113">
        <v>1.3487944E8</v>
      </c>
      <c r="M123" s="114" t="s">
        <v>185</v>
      </c>
      <c r="N123" s="113">
        <v>1554.49</v>
      </c>
    </row>
    <row r="124">
      <c r="A124" s="117" t="s">
        <v>330</v>
      </c>
      <c r="B124" s="114">
        <v>22.5</v>
      </c>
      <c r="C124" s="114">
        <v>5.98</v>
      </c>
      <c r="D124" s="114">
        <v>-0.44</v>
      </c>
      <c r="E124" s="114">
        <v>9.22</v>
      </c>
      <c r="F124" s="114">
        <v>21.23</v>
      </c>
      <c r="G124" s="114">
        <v>21.35</v>
      </c>
      <c r="H124" s="114">
        <v>21.32</v>
      </c>
      <c r="I124" s="114">
        <v>23.02</v>
      </c>
      <c r="J124" s="115">
        <v>0.47708333333333336</v>
      </c>
      <c r="K124" s="114">
        <v>94.0</v>
      </c>
      <c r="L124" s="113">
        <v>2071.0</v>
      </c>
      <c r="M124" s="114" t="s">
        <v>175</v>
      </c>
      <c r="N124" s="114" t="s">
        <v>175</v>
      </c>
    </row>
    <row r="125">
      <c r="A125" s="117" t="s">
        <v>331</v>
      </c>
      <c r="B125" s="113">
        <v>9650.0</v>
      </c>
      <c r="C125" s="114">
        <v>-1.13</v>
      </c>
      <c r="D125" s="114">
        <v>-1.93</v>
      </c>
      <c r="E125" s="114">
        <v>-9.39</v>
      </c>
      <c r="F125" s="113">
        <v>9760.0</v>
      </c>
      <c r="G125" s="113">
        <v>9875.0</v>
      </c>
      <c r="H125" s="113">
        <v>9650.0</v>
      </c>
      <c r="I125" s="113">
        <v>9875.0</v>
      </c>
      <c r="J125" s="115">
        <v>0.47708333333333336</v>
      </c>
      <c r="K125" s="114">
        <v>4.0</v>
      </c>
      <c r="L125" s="113">
        <v>39050.0</v>
      </c>
      <c r="M125" s="114" t="s">
        <v>231</v>
      </c>
      <c r="N125" s="113">
        <v>1480.06</v>
      </c>
    </row>
    <row r="126">
      <c r="A126" s="117" t="s">
        <v>332</v>
      </c>
      <c r="B126" s="113">
        <v>28800.0</v>
      </c>
      <c r="C126" s="114">
        <v>-3.1</v>
      </c>
      <c r="D126" s="114">
        <v>-0.69</v>
      </c>
      <c r="E126" s="114">
        <v>-16.76</v>
      </c>
      <c r="F126" s="113">
        <v>29720.0</v>
      </c>
      <c r="G126" s="113">
        <v>29280.0</v>
      </c>
      <c r="H126" s="113">
        <v>28680.0</v>
      </c>
      <c r="I126" s="113">
        <v>29280.0</v>
      </c>
      <c r="J126" s="115">
        <v>0.47708333333333336</v>
      </c>
      <c r="K126" s="114">
        <v>503.0</v>
      </c>
      <c r="L126" s="113">
        <v>1.445936E7</v>
      </c>
      <c r="M126" s="114" t="s">
        <v>185</v>
      </c>
      <c r="N126" s="113">
        <v>1453.81</v>
      </c>
    </row>
    <row r="127">
      <c r="A127" s="117" t="s">
        <v>333</v>
      </c>
      <c r="B127" s="113">
        <v>65725.0</v>
      </c>
      <c r="C127" s="114">
        <v>-1.35</v>
      </c>
      <c r="D127" s="114">
        <v>-0.9</v>
      </c>
      <c r="E127" s="114">
        <v>8.95</v>
      </c>
      <c r="F127" s="113">
        <v>66625.0</v>
      </c>
      <c r="G127" s="113">
        <v>66775.0</v>
      </c>
      <c r="H127" s="113">
        <v>65725.0</v>
      </c>
      <c r="I127" s="113">
        <v>66775.0</v>
      </c>
      <c r="J127" s="115">
        <v>0.47708333333333336</v>
      </c>
      <c r="K127" s="114">
        <v>6.0</v>
      </c>
      <c r="L127" s="113">
        <v>397525.0</v>
      </c>
      <c r="M127" s="114" t="s">
        <v>173</v>
      </c>
      <c r="N127" s="113">
        <v>1467.08</v>
      </c>
    </row>
    <row r="128">
      <c r="A128" s="117" t="s">
        <v>334</v>
      </c>
      <c r="B128" s="113">
        <v>13780.0</v>
      </c>
      <c r="C128" s="114">
        <v>-1.29</v>
      </c>
      <c r="D128" s="114">
        <v>-0.51</v>
      </c>
      <c r="E128" s="114">
        <v>4.55</v>
      </c>
      <c r="F128" s="113">
        <v>13960.0</v>
      </c>
      <c r="G128" s="113">
        <v>13760.0</v>
      </c>
      <c r="H128" s="113">
        <v>13740.0</v>
      </c>
      <c r="I128" s="113">
        <v>13780.0</v>
      </c>
      <c r="J128" s="115">
        <v>0.47708333333333336</v>
      </c>
      <c r="K128" s="114">
        <v>20.0</v>
      </c>
      <c r="L128" s="113">
        <v>275320.0</v>
      </c>
      <c r="M128" s="114" t="s">
        <v>335</v>
      </c>
      <c r="N128" s="113">
        <v>1461.44</v>
      </c>
    </row>
    <row r="129">
      <c r="A129" s="117" t="s">
        <v>336</v>
      </c>
      <c r="B129" s="113">
        <v>429125.0</v>
      </c>
      <c r="C129" s="114">
        <v>0.2</v>
      </c>
      <c r="D129" s="114">
        <v>-0.39</v>
      </c>
      <c r="E129" s="114">
        <v>19.54</v>
      </c>
      <c r="F129" s="113">
        <v>428275.0</v>
      </c>
      <c r="G129" s="113">
        <v>433500.0</v>
      </c>
      <c r="H129" s="113">
        <v>424525.0</v>
      </c>
      <c r="I129" s="113">
        <v>433500.0</v>
      </c>
      <c r="J129" s="115">
        <v>0.47708333333333336</v>
      </c>
      <c r="K129" s="114">
        <v>143.0</v>
      </c>
      <c r="L129" s="113">
        <v>6.1420775E7</v>
      </c>
      <c r="M129" s="114" t="s">
        <v>245</v>
      </c>
      <c r="N129" s="113">
        <v>1527.68</v>
      </c>
    </row>
    <row r="130">
      <c r="A130" s="117" t="s">
        <v>337</v>
      </c>
      <c r="B130" s="114">
        <v>300.75</v>
      </c>
      <c r="C130" s="114">
        <v>1.52</v>
      </c>
      <c r="D130" s="114">
        <v>1.78</v>
      </c>
      <c r="E130" s="114">
        <v>23.64</v>
      </c>
      <c r="F130" s="114">
        <v>296.25</v>
      </c>
      <c r="G130" s="114">
        <v>301.0</v>
      </c>
      <c r="H130" s="114">
        <v>300.75</v>
      </c>
      <c r="I130" s="114">
        <v>301.0</v>
      </c>
      <c r="J130" s="115">
        <v>0.47708333333333336</v>
      </c>
      <c r="K130" s="114">
        <v>3.0</v>
      </c>
      <c r="L130" s="114">
        <v>903.0</v>
      </c>
      <c r="M130" s="114" t="s">
        <v>175</v>
      </c>
      <c r="N130" s="114" t="s">
        <v>175</v>
      </c>
    </row>
    <row r="131">
      <c r="A131" s="117" t="s">
        <v>338</v>
      </c>
      <c r="B131" s="113">
        <v>313225.0</v>
      </c>
      <c r="C131" s="114">
        <v>1.42</v>
      </c>
      <c r="D131" s="114">
        <v>-0.45</v>
      </c>
      <c r="E131" s="114">
        <v>-0.66</v>
      </c>
      <c r="F131" s="113">
        <v>308825.0</v>
      </c>
      <c r="G131" s="113">
        <v>313225.0</v>
      </c>
      <c r="H131" s="113">
        <v>313225.0</v>
      </c>
      <c r="I131" s="113">
        <v>313225.0</v>
      </c>
      <c r="J131" s="115">
        <v>0.4708333333333333</v>
      </c>
      <c r="K131" s="114">
        <v>2.0</v>
      </c>
      <c r="L131" s="113">
        <v>626450.0</v>
      </c>
      <c r="M131" s="114" t="s">
        <v>185</v>
      </c>
      <c r="N131" s="113">
        <v>1511.63</v>
      </c>
    </row>
    <row r="132">
      <c r="A132" s="117" t="s">
        <v>339</v>
      </c>
      <c r="B132" s="113">
        <v>9660.0</v>
      </c>
      <c r="C132" s="114">
        <v>0.63</v>
      </c>
      <c r="D132" s="114">
        <v>0.73</v>
      </c>
      <c r="E132" s="114">
        <v>1.52</v>
      </c>
      <c r="F132" s="113">
        <v>9600.0</v>
      </c>
      <c r="G132" s="113">
        <v>9490.0</v>
      </c>
      <c r="H132" s="113">
        <v>9490.0</v>
      </c>
      <c r="I132" s="113">
        <v>9660.0</v>
      </c>
      <c r="J132" s="115">
        <v>0.47708333333333336</v>
      </c>
      <c r="K132" s="114">
        <v>496.0</v>
      </c>
      <c r="L132" s="113">
        <v>4766885.0</v>
      </c>
      <c r="M132" s="114" t="s">
        <v>215</v>
      </c>
      <c r="N132" s="113">
        <v>1497.76</v>
      </c>
    </row>
    <row r="133">
      <c r="A133" s="117" t="s">
        <v>340</v>
      </c>
      <c r="B133" s="113">
        <v>6640.0</v>
      </c>
      <c r="C133" s="114">
        <v>-0.23</v>
      </c>
      <c r="D133" s="114">
        <v>-7.78</v>
      </c>
      <c r="E133" s="114">
        <v>-12.57</v>
      </c>
      <c r="F133" s="113">
        <v>6655.0</v>
      </c>
      <c r="G133" s="113">
        <v>6660.0</v>
      </c>
      <c r="H133" s="113">
        <v>6590.0</v>
      </c>
      <c r="I133" s="113">
        <v>6680.0</v>
      </c>
      <c r="J133" s="115">
        <v>0.47708333333333336</v>
      </c>
      <c r="K133" s="116">
        <v>54948.0</v>
      </c>
      <c r="L133" s="113">
        <v>3.6377262E8</v>
      </c>
      <c r="M133" s="114" t="s">
        <v>181</v>
      </c>
      <c r="N133" s="113">
        <v>1501.58</v>
      </c>
    </row>
    <row r="134">
      <c r="A134" s="117" t="s">
        <v>341</v>
      </c>
      <c r="B134" s="113">
        <v>31200.0</v>
      </c>
      <c r="C134" s="114">
        <v>-0.57</v>
      </c>
      <c r="D134" s="114">
        <v>2.3</v>
      </c>
      <c r="E134" s="114">
        <v>1.76</v>
      </c>
      <c r="F134" s="113">
        <v>31380.0</v>
      </c>
      <c r="G134" s="113">
        <v>31520.0</v>
      </c>
      <c r="H134" s="113">
        <v>31000.0</v>
      </c>
      <c r="I134" s="113">
        <v>31540.0</v>
      </c>
      <c r="J134" s="115">
        <v>0.47708333333333336</v>
      </c>
      <c r="K134" s="114">
        <v>319.0</v>
      </c>
      <c r="L134" s="113">
        <v>9976460.0</v>
      </c>
      <c r="M134" s="114" t="s">
        <v>187</v>
      </c>
      <c r="N134" s="113">
        <v>1486.99</v>
      </c>
    </row>
    <row r="135">
      <c r="A135" s="117" t="s">
        <v>342</v>
      </c>
      <c r="B135" s="113">
        <v>45680.0</v>
      </c>
      <c r="C135" s="114">
        <v>-0.09</v>
      </c>
      <c r="D135" s="114">
        <v>3.72</v>
      </c>
      <c r="E135" s="114">
        <v>0.75</v>
      </c>
      <c r="F135" s="113">
        <v>45720.0</v>
      </c>
      <c r="G135" s="113">
        <v>45680.0</v>
      </c>
      <c r="H135" s="113">
        <v>45680.0</v>
      </c>
      <c r="I135" s="113">
        <v>45680.0</v>
      </c>
      <c r="J135" s="115">
        <v>0.475</v>
      </c>
      <c r="K135" s="114">
        <v>7.0</v>
      </c>
      <c r="L135" s="113">
        <v>319760.0</v>
      </c>
      <c r="M135" s="114" t="s">
        <v>185</v>
      </c>
      <c r="N135" s="113">
        <v>1485.53</v>
      </c>
    </row>
    <row r="136">
      <c r="A136" s="117" t="s">
        <v>343</v>
      </c>
      <c r="B136" s="113">
        <v>10100.0</v>
      </c>
      <c r="C136" s="114">
        <v>-0.69</v>
      </c>
      <c r="D136" s="114">
        <v>-0.79</v>
      </c>
      <c r="E136" s="114">
        <v>2.49</v>
      </c>
      <c r="F136" s="113">
        <v>10170.0</v>
      </c>
      <c r="G136" s="113">
        <v>10200.0</v>
      </c>
      <c r="H136" s="113">
        <v>10010.0</v>
      </c>
      <c r="I136" s="113">
        <v>10200.0</v>
      </c>
      <c r="J136" s="115">
        <v>0.47708333333333336</v>
      </c>
      <c r="K136" s="116">
        <v>1794.0</v>
      </c>
      <c r="L136" s="113">
        <v>1.81805E7</v>
      </c>
      <c r="M136" s="114" t="s">
        <v>240</v>
      </c>
      <c r="N136" s="114" t="s">
        <v>175</v>
      </c>
    </row>
    <row r="137">
      <c r="A137" s="117" t="s">
        <v>344</v>
      </c>
      <c r="B137" s="113">
        <v>27100.0</v>
      </c>
      <c r="C137" s="114">
        <v>-0.88</v>
      </c>
      <c r="D137" s="114">
        <v>2.73</v>
      </c>
      <c r="E137" s="114">
        <v>-1.88</v>
      </c>
      <c r="F137" s="113">
        <v>27340.0</v>
      </c>
      <c r="G137" s="113">
        <v>27100.0</v>
      </c>
      <c r="H137" s="113">
        <v>27100.0</v>
      </c>
      <c r="I137" s="113">
        <v>27100.0</v>
      </c>
      <c r="J137" s="115">
        <v>0.47152777777777777</v>
      </c>
      <c r="K137" s="114">
        <v>5.0</v>
      </c>
      <c r="L137" s="113">
        <v>135500.0</v>
      </c>
      <c r="M137" s="114" t="s">
        <v>185</v>
      </c>
      <c r="N137" s="113">
        <v>1477.64</v>
      </c>
    </row>
    <row r="138">
      <c r="A138" s="117" t="s">
        <v>345</v>
      </c>
      <c r="B138" s="113">
        <v>15010.0</v>
      </c>
      <c r="C138" s="114">
        <v>2.04</v>
      </c>
      <c r="D138" s="114">
        <v>7.91</v>
      </c>
      <c r="E138" s="114">
        <v>32.01</v>
      </c>
      <c r="F138" s="113">
        <v>14710.0</v>
      </c>
      <c r="G138" s="113">
        <v>15300.0</v>
      </c>
      <c r="H138" s="113">
        <v>15000.0</v>
      </c>
      <c r="I138" s="113">
        <v>15300.0</v>
      </c>
      <c r="J138" s="115">
        <v>0.47708333333333336</v>
      </c>
      <c r="K138" s="116">
        <v>14824.0</v>
      </c>
      <c r="L138" s="113">
        <v>2.2418198E8</v>
      </c>
      <c r="M138" s="114" t="s">
        <v>202</v>
      </c>
      <c r="N138" s="113">
        <v>1537.59</v>
      </c>
    </row>
    <row r="139">
      <c r="A139" s="117" t="s">
        <v>346</v>
      </c>
      <c r="B139" s="113">
        <v>8500.0</v>
      </c>
      <c r="C139" s="114">
        <v>2.16</v>
      </c>
      <c r="D139" s="114">
        <v>2.66</v>
      </c>
      <c r="E139" s="114">
        <v>-15.0</v>
      </c>
      <c r="F139" s="113">
        <v>8320.0</v>
      </c>
      <c r="G139" s="113">
        <v>8320.0</v>
      </c>
      <c r="H139" s="113">
        <v>8195.0</v>
      </c>
      <c r="I139" s="113">
        <v>8320.0</v>
      </c>
      <c r="J139" s="115">
        <v>0.45208333333333334</v>
      </c>
      <c r="K139" s="114">
        <v>7.0</v>
      </c>
      <c r="L139" s="113">
        <v>58115.0</v>
      </c>
      <c r="M139" s="114" t="s">
        <v>347</v>
      </c>
      <c r="N139" s="113">
        <v>1540.07</v>
      </c>
    </row>
    <row r="140">
      <c r="A140" s="117" t="s">
        <v>348</v>
      </c>
      <c r="B140" s="113">
        <v>13380.0</v>
      </c>
      <c r="C140" s="114">
        <v>3.44</v>
      </c>
      <c r="D140" s="114">
        <v>3.56</v>
      </c>
      <c r="E140" s="114">
        <v>21.64</v>
      </c>
      <c r="F140" s="113">
        <v>12935.13</v>
      </c>
      <c r="G140" s="113">
        <v>13250.0</v>
      </c>
      <c r="H140" s="113">
        <v>13220.0</v>
      </c>
      <c r="I140" s="113">
        <v>13400.0</v>
      </c>
      <c r="J140" s="115">
        <v>0.47708333333333336</v>
      </c>
      <c r="K140" s="116">
        <v>1363.0</v>
      </c>
      <c r="L140" s="113">
        <v>1.823622E7</v>
      </c>
      <c r="M140" s="114" t="s">
        <v>185</v>
      </c>
      <c r="N140" s="113">
        <v>1537.93</v>
      </c>
    </row>
    <row r="141">
      <c r="A141" s="117" t="s">
        <v>349</v>
      </c>
      <c r="B141" s="113">
        <v>12260.0</v>
      </c>
      <c r="C141" s="114">
        <v>1.62</v>
      </c>
      <c r="D141" s="114">
        <v>-4.22</v>
      </c>
      <c r="E141" s="114">
        <v>21.15</v>
      </c>
      <c r="F141" s="113">
        <v>12065.13</v>
      </c>
      <c r="G141" s="113">
        <v>12240.0</v>
      </c>
      <c r="H141" s="113">
        <v>12240.0</v>
      </c>
      <c r="I141" s="113">
        <v>12260.0</v>
      </c>
      <c r="J141" s="115">
        <v>0.47708333333333336</v>
      </c>
      <c r="K141" s="114">
        <v>475.0</v>
      </c>
      <c r="L141" s="113">
        <v>5823480.0</v>
      </c>
      <c r="M141" s="114" t="s">
        <v>185</v>
      </c>
      <c r="N141" s="114" t="s">
        <v>175</v>
      </c>
    </row>
    <row r="142">
      <c r="A142" s="117" t="s">
        <v>350</v>
      </c>
      <c r="B142" s="113">
        <v>8160.0</v>
      </c>
      <c r="C142" s="114">
        <v>-0.43</v>
      </c>
      <c r="D142" s="114">
        <v>-0.18</v>
      </c>
      <c r="E142" s="114">
        <v>0.8</v>
      </c>
      <c r="F142" s="113">
        <v>8195.0</v>
      </c>
      <c r="G142" s="113">
        <v>8190.0</v>
      </c>
      <c r="H142" s="113">
        <v>8145.0</v>
      </c>
      <c r="I142" s="113">
        <v>8250.0</v>
      </c>
      <c r="J142" s="115">
        <v>0.47708333333333336</v>
      </c>
      <c r="K142" s="116">
        <v>4664.0</v>
      </c>
      <c r="L142" s="113">
        <v>3.8108425E7</v>
      </c>
      <c r="M142" s="114" t="s">
        <v>279</v>
      </c>
      <c r="N142" s="113">
        <v>1490.14</v>
      </c>
    </row>
    <row r="143">
      <c r="A143" s="117" t="s">
        <v>351</v>
      </c>
      <c r="B143" s="114">
        <v>5.71</v>
      </c>
      <c r="C143" s="114">
        <v>-1.38</v>
      </c>
      <c r="D143" s="114">
        <v>1.42</v>
      </c>
      <c r="E143" s="114">
        <v>3.63</v>
      </c>
      <c r="F143" s="114">
        <v>5.79</v>
      </c>
      <c r="G143" s="114">
        <v>5.74</v>
      </c>
      <c r="H143" s="114">
        <v>5.71</v>
      </c>
      <c r="I143" s="114">
        <v>5.74</v>
      </c>
      <c r="J143" s="115">
        <v>0.47708333333333336</v>
      </c>
      <c r="K143" s="116">
        <v>3070.0</v>
      </c>
      <c r="L143" s="113">
        <v>17552.0</v>
      </c>
      <c r="M143" s="114" t="s">
        <v>175</v>
      </c>
      <c r="N143" s="114" t="s">
        <v>175</v>
      </c>
    </row>
    <row r="144">
      <c r="A144" s="117" t="s">
        <v>352</v>
      </c>
      <c r="B144" s="113">
        <v>9310.0</v>
      </c>
      <c r="C144" s="114">
        <v>-0.05</v>
      </c>
      <c r="D144" s="114">
        <v>-0.21</v>
      </c>
      <c r="E144" s="114">
        <v>-1.43</v>
      </c>
      <c r="F144" s="113">
        <v>9315.0</v>
      </c>
      <c r="G144" s="113">
        <v>9395.0</v>
      </c>
      <c r="H144" s="113">
        <v>9240.0</v>
      </c>
      <c r="I144" s="113">
        <v>9395.0</v>
      </c>
      <c r="J144" s="115">
        <v>0.47708333333333336</v>
      </c>
      <c r="K144" s="116">
        <v>5838.0</v>
      </c>
      <c r="L144" s="113">
        <v>5.452559E7</v>
      </c>
      <c r="M144" s="114" t="s">
        <v>179</v>
      </c>
      <c r="N144" s="114" t="s">
        <v>175</v>
      </c>
    </row>
    <row r="145">
      <c r="A145" s="117" t="s">
        <v>353</v>
      </c>
      <c r="B145" s="114">
        <v>6.67</v>
      </c>
      <c r="C145" s="114">
        <v>2.93</v>
      </c>
      <c r="D145" s="114">
        <v>4.55</v>
      </c>
      <c r="E145" s="114">
        <v>4.06</v>
      </c>
      <c r="F145" s="114">
        <v>6.48</v>
      </c>
      <c r="G145" s="114">
        <v>6.55</v>
      </c>
      <c r="H145" s="114">
        <v>6.52</v>
      </c>
      <c r="I145" s="114">
        <v>6.67</v>
      </c>
      <c r="J145" s="115">
        <v>0.47708333333333336</v>
      </c>
      <c r="K145" s="114">
        <v>110.0</v>
      </c>
      <c r="L145" s="114">
        <v>718.0</v>
      </c>
      <c r="M145" s="114" t="s">
        <v>175</v>
      </c>
      <c r="N145" s="114" t="s">
        <v>175</v>
      </c>
    </row>
    <row r="146">
      <c r="A146" s="117" t="s">
        <v>354</v>
      </c>
      <c r="B146" s="113">
        <v>39200.0</v>
      </c>
      <c r="C146" s="114">
        <v>-0.36</v>
      </c>
      <c r="D146" s="114" t="s">
        <v>175</v>
      </c>
      <c r="E146" s="114">
        <v>4.03</v>
      </c>
      <c r="F146" s="113">
        <v>39340.0</v>
      </c>
      <c r="G146" s="113">
        <v>39600.0</v>
      </c>
      <c r="H146" s="113">
        <v>39040.0</v>
      </c>
      <c r="I146" s="113">
        <v>39600.0</v>
      </c>
      <c r="J146" s="115">
        <v>0.47708333333333336</v>
      </c>
      <c r="K146" s="114">
        <v>469.0</v>
      </c>
      <c r="L146" s="113">
        <v>1.837854E7</v>
      </c>
      <c r="M146" s="114" t="s">
        <v>181</v>
      </c>
      <c r="N146" s="113">
        <v>1495.16</v>
      </c>
    </row>
    <row r="147">
      <c r="A147" s="117" t="s">
        <v>355</v>
      </c>
      <c r="B147" s="114">
        <v>26.58</v>
      </c>
      <c r="C147" s="114">
        <v>-2.17</v>
      </c>
      <c r="D147" s="114">
        <v>-2.17</v>
      </c>
      <c r="E147" s="114">
        <v>3.46</v>
      </c>
      <c r="F147" s="114">
        <v>27.17</v>
      </c>
      <c r="G147" s="114">
        <v>27.1</v>
      </c>
      <c r="H147" s="114">
        <v>26.58</v>
      </c>
      <c r="I147" s="114">
        <v>27.1</v>
      </c>
      <c r="J147" s="115">
        <v>0.47708333333333336</v>
      </c>
      <c r="K147" s="114">
        <v>41.0</v>
      </c>
      <c r="L147" s="113">
        <v>1109.0</v>
      </c>
      <c r="M147" s="114" t="s">
        <v>175</v>
      </c>
      <c r="N147" s="114" t="s">
        <v>175</v>
      </c>
    </row>
    <row r="148">
      <c r="A148" s="117" t="s">
        <v>356</v>
      </c>
      <c r="B148" s="113">
        <v>10490.0</v>
      </c>
      <c r="C148" s="114">
        <v>-1.5</v>
      </c>
      <c r="D148" s="114">
        <v>-2.15</v>
      </c>
      <c r="E148" s="114">
        <v>-3.76</v>
      </c>
      <c r="F148" s="113">
        <v>10650.0</v>
      </c>
      <c r="G148" s="113">
        <v>10660.0</v>
      </c>
      <c r="H148" s="113">
        <v>10430.0</v>
      </c>
      <c r="I148" s="113">
        <v>10660.0</v>
      </c>
      <c r="J148" s="115">
        <v>0.47708333333333336</v>
      </c>
      <c r="K148" s="114">
        <v>971.0</v>
      </c>
      <c r="L148" s="113">
        <v>1.018152E7</v>
      </c>
      <c r="M148" s="114" t="s">
        <v>189</v>
      </c>
      <c r="N148" s="113">
        <v>1470.73</v>
      </c>
    </row>
    <row r="149">
      <c r="A149" s="117" t="s">
        <v>357</v>
      </c>
      <c r="B149" s="114">
        <v>7.22</v>
      </c>
      <c r="C149" s="114">
        <v>-1.9</v>
      </c>
      <c r="D149" s="114">
        <v>-2.3</v>
      </c>
      <c r="E149" s="114">
        <v>-2.43</v>
      </c>
      <c r="F149" s="114">
        <v>7.36</v>
      </c>
      <c r="G149" s="114">
        <v>7.25</v>
      </c>
      <c r="H149" s="114">
        <v>7.22</v>
      </c>
      <c r="I149" s="114">
        <v>7.25</v>
      </c>
      <c r="J149" s="115">
        <v>0.47708333333333336</v>
      </c>
      <c r="K149" s="114">
        <v>101.0</v>
      </c>
      <c r="L149" s="114">
        <v>731.0</v>
      </c>
      <c r="M149" s="114" t="s">
        <v>175</v>
      </c>
      <c r="N149" s="114" t="s">
        <v>175</v>
      </c>
    </row>
    <row r="150">
      <c r="A150" s="117" t="s">
        <v>358</v>
      </c>
      <c r="B150" s="113">
        <v>18680.0</v>
      </c>
      <c r="C150" s="114">
        <v>-4.06</v>
      </c>
      <c r="D150" s="114">
        <v>-6.6</v>
      </c>
      <c r="E150" s="114">
        <v>1.63</v>
      </c>
      <c r="F150" s="113">
        <v>19470.0</v>
      </c>
      <c r="G150" s="113">
        <v>19000.0</v>
      </c>
      <c r="H150" s="113">
        <v>18560.0</v>
      </c>
      <c r="I150" s="113">
        <v>19000.0</v>
      </c>
      <c r="J150" s="115">
        <v>0.47708333333333336</v>
      </c>
      <c r="K150" s="114">
        <v>561.0</v>
      </c>
      <c r="L150" s="113">
        <v>1.050797E7</v>
      </c>
      <c r="M150" s="114" t="s">
        <v>185</v>
      </c>
      <c r="N150" s="113">
        <v>1511.33</v>
      </c>
    </row>
    <row r="151">
      <c r="A151" s="117" t="s">
        <v>359</v>
      </c>
      <c r="B151" s="113">
        <v>22870.0</v>
      </c>
      <c r="C151" s="114">
        <v>-0.26</v>
      </c>
      <c r="D151" s="114">
        <v>0.26</v>
      </c>
      <c r="E151" s="114">
        <v>8.75</v>
      </c>
      <c r="F151" s="113">
        <v>22930.0</v>
      </c>
      <c r="G151" s="113">
        <v>23010.0</v>
      </c>
      <c r="H151" s="113">
        <v>22750.0</v>
      </c>
      <c r="I151" s="113">
        <v>23040.0</v>
      </c>
      <c r="J151" s="115">
        <v>0.47708333333333336</v>
      </c>
      <c r="K151" s="116">
        <v>1193.0</v>
      </c>
      <c r="L151" s="113">
        <v>2.737692E7</v>
      </c>
      <c r="M151" s="114" t="s">
        <v>187</v>
      </c>
      <c r="N151" s="113">
        <v>1486.67</v>
      </c>
    </row>
    <row r="152">
      <c r="A152" s="117" t="s">
        <v>360</v>
      </c>
      <c r="B152" s="114">
        <v>15.85</v>
      </c>
      <c r="C152" s="114">
        <v>-0.31</v>
      </c>
      <c r="D152" s="114">
        <v>1.21</v>
      </c>
      <c r="E152" s="114">
        <v>11.23</v>
      </c>
      <c r="F152" s="114">
        <v>15.9</v>
      </c>
      <c r="G152" s="114">
        <v>15.99</v>
      </c>
      <c r="H152" s="114">
        <v>15.51</v>
      </c>
      <c r="I152" s="114">
        <v>15.99</v>
      </c>
      <c r="J152" s="115">
        <v>0.47708333333333336</v>
      </c>
      <c r="K152" s="114">
        <v>132.0</v>
      </c>
      <c r="L152" s="113">
        <v>2095.0</v>
      </c>
      <c r="M152" s="114" t="s">
        <v>175</v>
      </c>
      <c r="N152" s="114" t="s">
        <v>175</v>
      </c>
    </row>
    <row r="153">
      <c r="A153" s="117" t="s">
        <v>361</v>
      </c>
      <c r="B153" s="113">
        <v>30760.0</v>
      </c>
      <c r="C153" s="114">
        <v>0.26</v>
      </c>
      <c r="D153" s="114">
        <v>0.26</v>
      </c>
      <c r="E153" s="114">
        <v>-6.22</v>
      </c>
      <c r="F153" s="113">
        <v>30680.0</v>
      </c>
      <c r="G153" s="113">
        <v>31160.0</v>
      </c>
      <c r="H153" s="113">
        <v>30560.0</v>
      </c>
      <c r="I153" s="113">
        <v>31160.0</v>
      </c>
      <c r="J153" s="115">
        <v>0.47708333333333336</v>
      </c>
      <c r="K153" s="116">
        <v>1811.0</v>
      </c>
      <c r="L153" s="113">
        <v>5.569516E7</v>
      </c>
      <c r="M153" s="114" t="s">
        <v>187</v>
      </c>
      <c r="N153" s="113">
        <v>1497.37</v>
      </c>
    </row>
    <row r="154">
      <c r="A154" s="117" t="s">
        <v>362</v>
      </c>
      <c r="B154" s="114">
        <v>21.21</v>
      </c>
      <c r="C154" s="114">
        <v>0.47</v>
      </c>
      <c r="D154" s="114">
        <v>0.81</v>
      </c>
      <c r="E154" s="114">
        <v>-4.55</v>
      </c>
      <c r="F154" s="114">
        <v>21.11</v>
      </c>
      <c r="G154" s="114">
        <v>21.36</v>
      </c>
      <c r="H154" s="114">
        <v>21.08</v>
      </c>
      <c r="I154" s="114">
        <v>21.37</v>
      </c>
      <c r="J154" s="115">
        <v>0.47708333333333336</v>
      </c>
      <c r="K154" s="114">
        <v>240.0</v>
      </c>
      <c r="L154" s="113">
        <v>5111.0</v>
      </c>
      <c r="M154" s="114" t="s">
        <v>175</v>
      </c>
      <c r="N154" s="114" t="s">
        <v>175</v>
      </c>
    </row>
    <row r="155">
      <c r="A155" s="117" t="s">
        <v>363</v>
      </c>
      <c r="B155" s="113">
        <v>30720.0</v>
      </c>
      <c r="C155" s="114">
        <v>2.95</v>
      </c>
      <c r="D155" s="114">
        <v>0.72</v>
      </c>
      <c r="E155" s="114">
        <v>20.09</v>
      </c>
      <c r="F155" s="113">
        <v>29840.0</v>
      </c>
      <c r="G155" s="113">
        <v>30580.0</v>
      </c>
      <c r="H155" s="113">
        <v>30580.0</v>
      </c>
      <c r="I155" s="113">
        <v>30720.0</v>
      </c>
      <c r="J155" s="115">
        <v>0.47708333333333336</v>
      </c>
      <c r="K155" s="114">
        <v>3.0</v>
      </c>
      <c r="L155" s="113">
        <v>91880.0</v>
      </c>
      <c r="M155" s="114" t="s">
        <v>185</v>
      </c>
      <c r="N155" s="114" t="s">
        <v>175</v>
      </c>
    </row>
    <row r="156">
      <c r="A156" s="117" t="s">
        <v>364</v>
      </c>
      <c r="B156" s="113">
        <v>50300.0</v>
      </c>
      <c r="C156" s="114">
        <v>7.66</v>
      </c>
      <c r="D156" s="114">
        <v>3.67</v>
      </c>
      <c r="E156" s="114">
        <v>14.79</v>
      </c>
      <c r="F156" s="113">
        <v>46720.0</v>
      </c>
      <c r="G156" s="113">
        <v>50025.0</v>
      </c>
      <c r="H156" s="113">
        <v>50025.0</v>
      </c>
      <c r="I156" s="113">
        <v>50525.0</v>
      </c>
      <c r="J156" s="115">
        <v>0.47708333333333336</v>
      </c>
      <c r="K156" s="114">
        <v>64.0</v>
      </c>
      <c r="L156" s="113">
        <v>3209300.0</v>
      </c>
      <c r="M156" s="114" t="s">
        <v>185</v>
      </c>
      <c r="N156" s="113">
        <v>1592.78</v>
      </c>
    </row>
    <row r="157">
      <c r="A157" s="117" t="s">
        <v>365</v>
      </c>
      <c r="B157" s="113">
        <v>25120.0</v>
      </c>
      <c r="C157" s="114">
        <v>1.87</v>
      </c>
      <c r="D157" s="114">
        <v>0.84</v>
      </c>
      <c r="E157" s="114">
        <v>-3.31</v>
      </c>
      <c r="F157" s="113">
        <v>24660.0</v>
      </c>
      <c r="G157" s="113">
        <v>25120.0</v>
      </c>
      <c r="H157" s="113">
        <v>25120.0</v>
      </c>
      <c r="I157" s="113">
        <v>25120.0</v>
      </c>
      <c r="J157" s="115">
        <v>0.4708333333333333</v>
      </c>
      <c r="K157" s="114">
        <v>15.0</v>
      </c>
      <c r="L157" s="113">
        <v>376800.0</v>
      </c>
      <c r="M157" s="114" t="s">
        <v>200</v>
      </c>
      <c r="N157" s="113">
        <v>1514.77</v>
      </c>
    </row>
    <row r="158">
      <c r="A158" s="117" t="s">
        <v>366</v>
      </c>
      <c r="B158" s="113">
        <v>22480.0</v>
      </c>
      <c r="C158" s="114">
        <v>-0.18</v>
      </c>
      <c r="D158" s="114">
        <v>0.9</v>
      </c>
      <c r="E158" s="114">
        <v>5.44</v>
      </c>
      <c r="F158" s="113">
        <v>22520.0</v>
      </c>
      <c r="G158" s="113">
        <v>22500.0</v>
      </c>
      <c r="H158" s="113">
        <v>22340.0</v>
      </c>
      <c r="I158" s="113">
        <v>22600.0</v>
      </c>
      <c r="J158" s="115">
        <v>0.47708333333333336</v>
      </c>
      <c r="K158" s="116">
        <v>8339.0</v>
      </c>
      <c r="L158" s="113">
        <v>1.8724721E8</v>
      </c>
      <c r="M158" s="114" t="s">
        <v>202</v>
      </c>
      <c r="N158" s="113">
        <v>1492.1</v>
      </c>
    </row>
    <row r="159">
      <c r="A159" s="117" t="s">
        <v>367</v>
      </c>
      <c r="B159" s="114">
        <v>15.45</v>
      </c>
      <c r="C159" s="114">
        <v>-0.19</v>
      </c>
      <c r="D159" s="114">
        <v>1.51</v>
      </c>
      <c r="E159" s="114">
        <v>6.92</v>
      </c>
      <c r="F159" s="114">
        <v>15.48</v>
      </c>
      <c r="G159" s="114">
        <v>15.5</v>
      </c>
      <c r="H159" s="114">
        <v>15.39</v>
      </c>
      <c r="I159" s="114">
        <v>15.59</v>
      </c>
      <c r="J159" s="115">
        <v>0.47708333333333336</v>
      </c>
      <c r="K159" s="116">
        <v>1455.0</v>
      </c>
      <c r="L159" s="113">
        <v>22532.0</v>
      </c>
      <c r="M159" s="114" t="s">
        <v>175</v>
      </c>
      <c r="N159" s="114" t="s">
        <v>175</v>
      </c>
    </row>
    <row r="160">
      <c r="A160" s="117" t="s">
        <v>368</v>
      </c>
      <c r="B160" s="113">
        <v>81100.0</v>
      </c>
      <c r="C160" s="114">
        <v>4.14</v>
      </c>
      <c r="D160" s="114">
        <v>2.89</v>
      </c>
      <c r="E160" s="114">
        <v>11.59</v>
      </c>
      <c r="F160" s="113">
        <v>77875.0</v>
      </c>
      <c r="G160" s="113">
        <v>80975.0</v>
      </c>
      <c r="H160" s="113">
        <v>80975.0</v>
      </c>
      <c r="I160" s="113">
        <v>81100.0</v>
      </c>
      <c r="J160" s="115">
        <v>0.47291666666666665</v>
      </c>
      <c r="K160" s="114">
        <v>36.0</v>
      </c>
      <c r="L160" s="113">
        <v>2918975.0</v>
      </c>
      <c r="M160" s="114" t="s">
        <v>173</v>
      </c>
      <c r="N160" s="114" t="s">
        <v>175</v>
      </c>
    </row>
    <row r="161">
      <c r="A161" s="117" t="s">
        <v>369</v>
      </c>
      <c r="B161" s="113">
        <v>7475.0</v>
      </c>
      <c r="C161" s="114">
        <v>4.25</v>
      </c>
      <c r="D161" s="114">
        <v>0.47</v>
      </c>
      <c r="E161" s="114">
        <v>10.62</v>
      </c>
      <c r="F161" s="113">
        <v>7170.0</v>
      </c>
      <c r="G161" s="113">
        <v>7385.0</v>
      </c>
      <c r="H161" s="113">
        <v>7385.0</v>
      </c>
      <c r="I161" s="113">
        <v>7515.0</v>
      </c>
      <c r="J161" s="115">
        <v>0.47708333333333336</v>
      </c>
      <c r="K161" s="116">
        <v>6321.0</v>
      </c>
      <c r="L161" s="113">
        <v>4.7223695E7</v>
      </c>
      <c r="M161" s="114" t="s">
        <v>185</v>
      </c>
      <c r="N161" s="113">
        <v>1570.38</v>
      </c>
    </row>
    <row r="162">
      <c r="A162" s="117" t="s">
        <v>370</v>
      </c>
      <c r="B162" s="114">
        <v>5.18</v>
      </c>
      <c r="C162" s="114">
        <v>4.96</v>
      </c>
      <c r="D162" s="114">
        <v>-3.72</v>
      </c>
      <c r="E162" s="114">
        <v>13.6</v>
      </c>
      <c r="F162" s="114">
        <v>4.93</v>
      </c>
      <c r="G162" s="114" t="s">
        <v>175</v>
      </c>
      <c r="H162" s="114" t="s">
        <v>175</v>
      </c>
      <c r="I162" s="114" t="s">
        <v>175</v>
      </c>
      <c r="J162" s="115">
        <v>0.4673611111111111</v>
      </c>
      <c r="K162" s="114" t="s">
        <v>175</v>
      </c>
      <c r="L162" s="114" t="s">
        <v>175</v>
      </c>
      <c r="M162" s="114" t="s">
        <v>175</v>
      </c>
      <c r="N162" s="114" t="s">
        <v>175</v>
      </c>
    </row>
    <row r="163">
      <c r="A163" s="117" t="s">
        <v>371</v>
      </c>
      <c r="B163" s="113">
        <v>10420.0</v>
      </c>
      <c r="C163" s="114">
        <v>1.96</v>
      </c>
      <c r="D163" s="114">
        <v>-3.52</v>
      </c>
      <c r="E163" s="114">
        <v>19.98</v>
      </c>
      <c r="F163" s="113">
        <v>10220.0</v>
      </c>
      <c r="G163" s="113">
        <v>10600.0</v>
      </c>
      <c r="H163" s="113">
        <v>10290.0</v>
      </c>
      <c r="I163" s="113">
        <v>10600.0</v>
      </c>
      <c r="J163" s="115">
        <v>0.47708333333333336</v>
      </c>
      <c r="K163" s="116">
        <v>8204.0</v>
      </c>
      <c r="L163" s="113">
        <v>8.525583E7</v>
      </c>
      <c r="M163" s="114" t="s">
        <v>185</v>
      </c>
      <c r="N163" s="113">
        <v>1530.1</v>
      </c>
    </row>
    <row r="164">
      <c r="A164" s="117" t="s">
        <v>372</v>
      </c>
      <c r="B164" s="114">
        <v>7.01</v>
      </c>
      <c r="C164" s="114">
        <v>-1.13</v>
      </c>
      <c r="D164" s="114">
        <v>-1.96</v>
      </c>
      <c r="E164" s="114">
        <v>22.55</v>
      </c>
      <c r="F164" s="114">
        <v>7.09</v>
      </c>
      <c r="G164" s="114">
        <v>7.01</v>
      </c>
      <c r="H164" s="114">
        <v>7.01</v>
      </c>
      <c r="I164" s="114">
        <v>7.01</v>
      </c>
      <c r="J164" s="115">
        <v>0.4708333333333333</v>
      </c>
      <c r="K164" s="114">
        <v>1.0</v>
      </c>
      <c r="L164" s="114">
        <v>7.0</v>
      </c>
      <c r="M164" s="114" t="s">
        <v>175</v>
      </c>
      <c r="N164" s="114" t="s">
        <v>175</v>
      </c>
    </row>
    <row r="165">
      <c r="A165" s="117" t="s">
        <v>373</v>
      </c>
      <c r="B165" s="113">
        <v>27800.0</v>
      </c>
      <c r="C165" s="114" t="s">
        <v>175</v>
      </c>
      <c r="D165" s="114">
        <v>-1.07</v>
      </c>
      <c r="E165" s="114">
        <v>-7.64</v>
      </c>
      <c r="F165" s="113">
        <v>27800.0</v>
      </c>
      <c r="G165" s="113">
        <v>27540.0</v>
      </c>
      <c r="H165" s="113">
        <v>27540.0</v>
      </c>
      <c r="I165" s="113">
        <v>27980.0</v>
      </c>
      <c r="J165" s="115">
        <v>0.47708333333333336</v>
      </c>
      <c r="K165" s="114">
        <v>733.0</v>
      </c>
      <c r="L165" s="113">
        <v>2.03326E7</v>
      </c>
      <c r="M165" s="114" t="s">
        <v>374</v>
      </c>
      <c r="N165" s="113">
        <v>1491.0</v>
      </c>
    </row>
    <row r="166">
      <c r="A166" s="117" t="s">
        <v>375</v>
      </c>
      <c r="B166" s="114">
        <v>19.35</v>
      </c>
      <c r="C166" s="114">
        <v>1.26</v>
      </c>
      <c r="D166" s="114">
        <v>1.2</v>
      </c>
      <c r="E166" s="114">
        <v>-1.93</v>
      </c>
      <c r="F166" s="114">
        <v>19.11</v>
      </c>
      <c r="G166" s="114">
        <v>19.35</v>
      </c>
      <c r="H166" s="114">
        <v>19.35</v>
      </c>
      <c r="I166" s="114">
        <v>19.35</v>
      </c>
      <c r="J166" s="115">
        <v>0.47708333333333336</v>
      </c>
      <c r="K166" s="114">
        <v>64.0</v>
      </c>
      <c r="L166" s="113">
        <v>1238.0</v>
      </c>
      <c r="M166" s="114" t="s">
        <v>175</v>
      </c>
      <c r="N166" s="114" t="s">
        <v>175</v>
      </c>
    </row>
    <row r="167">
      <c r="A167" s="117" t="s">
        <v>376</v>
      </c>
      <c r="B167" s="113">
        <v>47560.0</v>
      </c>
      <c r="C167" s="114">
        <v>-0.04</v>
      </c>
      <c r="D167" s="114">
        <v>0.17</v>
      </c>
      <c r="E167" s="114">
        <v>27.3</v>
      </c>
      <c r="F167" s="113">
        <v>47580.0</v>
      </c>
      <c r="G167" s="113">
        <v>48100.0</v>
      </c>
      <c r="H167" s="113">
        <v>47000.0</v>
      </c>
      <c r="I167" s="113">
        <v>48100.0</v>
      </c>
      <c r="J167" s="115">
        <v>0.47708333333333336</v>
      </c>
      <c r="K167" s="114">
        <v>180.0</v>
      </c>
      <c r="L167" s="113">
        <v>8499000.0</v>
      </c>
      <c r="M167" s="114" t="s">
        <v>179</v>
      </c>
      <c r="N167" s="113">
        <v>1495.6</v>
      </c>
    </row>
    <row r="168">
      <c r="A168" s="117" t="s">
        <v>377</v>
      </c>
      <c r="B168" s="113">
        <v>6100.0</v>
      </c>
      <c r="C168" s="114">
        <v>3.13</v>
      </c>
      <c r="D168" s="114">
        <v>2.09</v>
      </c>
      <c r="E168" s="114">
        <v>10.31</v>
      </c>
      <c r="F168" s="113">
        <v>5915.0</v>
      </c>
      <c r="G168" s="113">
        <v>6040.0</v>
      </c>
      <c r="H168" s="113">
        <v>6040.0</v>
      </c>
      <c r="I168" s="113">
        <v>6100.0</v>
      </c>
      <c r="J168" s="115">
        <v>0.46944444444444444</v>
      </c>
      <c r="K168" s="114">
        <v>20.0</v>
      </c>
      <c r="L168" s="113">
        <v>120980.0</v>
      </c>
      <c r="M168" s="114" t="s">
        <v>185</v>
      </c>
      <c r="N168" s="114" t="s">
        <v>175</v>
      </c>
    </row>
    <row r="169">
      <c r="A169" s="117" t="s">
        <v>378</v>
      </c>
      <c r="B169" s="113">
        <v>6440.0</v>
      </c>
      <c r="C169" s="114">
        <v>0.62</v>
      </c>
      <c r="D169" s="114">
        <v>1.18</v>
      </c>
      <c r="E169" s="114">
        <v>36.3</v>
      </c>
      <c r="F169" s="113">
        <v>6400.0</v>
      </c>
      <c r="G169" s="113">
        <v>6420.0</v>
      </c>
      <c r="H169" s="113">
        <v>6420.0</v>
      </c>
      <c r="I169" s="113">
        <v>6515.0</v>
      </c>
      <c r="J169" s="115">
        <v>0.47708333333333336</v>
      </c>
      <c r="K169" s="116">
        <v>5558.0</v>
      </c>
      <c r="L169" s="113">
        <v>3.5746245E7</v>
      </c>
      <c r="M169" s="114" t="s">
        <v>374</v>
      </c>
      <c r="N169" s="113">
        <v>1518.48</v>
      </c>
    </row>
    <row r="170">
      <c r="A170" s="117" t="s">
        <v>379</v>
      </c>
      <c r="B170" s="113">
        <v>4427.5</v>
      </c>
      <c r="C170" s="114">
        <v>4.18</v>
      </c>
      <c r="D170" s="114">
        <v>3.33</v>
      </c>
      <c r="E170" s="114">
        <v>16.51</v>
      </c>
      <c r="F170" s="113">
        <v>4250.0</v>
      </c>
      <c r="G170" s="113">
        <v>4427.5</v>
      </c>
      <c r="H170" s="113">
        <v>4427.5</v>
      </c>
      <c r="I170" s="113">
        <v>4427.5</v>
      </c>
      <c r="J170" s="115">
        <v>0.47708333333333336</v>
      </c>
      <c r="K170" s="114">
        <v>2.0</v>
      </c>
      <c r="L170" s="113">
        <v>8855.0</v>
      </c>
      <c r="M170" s="114" t="s">
        <v>185</v>
      </c>
      <c r="N170" s="114" t="s">
        <v>175</v>
      </c>
    </row>
    <row r="171">
      <c r="A171" s="117" t="s">
        <v>380</v>
      </c>
      <c r="B171" s="113">
        <v>41280.0</v>
      </c>
      <c r="C171" s="114">
        <v>-0.43</v>
      </c>
      <c r="D171" s="114">
        <v>4.82</v>
      </c>
      <c r="E171" s="114">
        <v>-16.84</v>
      </c>
      <c r="F171" s="113">
        <v>41460.0</v>
      </c>
      <c r="G171" s="113">
        <v>41400.0</v>
      </c>
      <c r="H171" s="113">
        <v>41280.0</v>
      </c>
      <c r="I171" s="113">
        <v>41400.0</v>
      </c>
      <c r="J171" s="115">
        <v>0.4736111111111111</v>
      </c>
      <c r="K171" s="114">
        <v>16.0</v>
      </c>
      <c r="L171" s="113">
        <v>660600.0</v>
      </c>
      <c r="M171" s="114" t="s">
        <v>173</v>
      </c>
      <c r="N171" s="113">
        <v>1483.82</v>
      </c>
    </row>
    <row r="172">
      <c r="A172" s="117" t="s">
        <v>381</v>
      </c>
      <c r="B172" s="113">
        <v>4587.5</v>
      </c>
      <c r="C172" s="114">
        <v>0.44</v>
      </c>
      <c r="D172" s="114">
        <v>1.72</v>
      </c>
      <c r="E172" s="114">
        <v>13.69</v>
      </c>
      <c r="F172" s="113">
        <v>4567.5</v>
      </c>
      <c r="G172" s="113">
        <v>4565.0</v>
      </c>
      <c r="H172" s="113">
        <v>4565.0</v>
      </c>
      <c r="I172" s="113">
        <v>4650.0</v>
      </c>
      <c r="J172" s="115">
        <v>0.47708333333333336</v>
      </c>
      <c r="K172" s="116">
        <v>1429.0</v>
      </c>
      <c r="L172" s="113">
        <v>6601558.0</v>
      </c>
      <c r="M172" s="114" t="s">
        <v>173</v>
      </c>
      <c r="N172" s="113">
        <v>1487.03</v>
      </c>
    </row>
    <row r="173">
      <c r="A173" s="117" t="s">
        <v>382</v>
      </c>
      <c r="B173" s="113">
        <v>24870.0</v>
      </c>
      <c r="C173" s="114">
        <v>-1.07</v>
      </c>
      <c r="D173" s="114">
        <v>0.28</v>
      </c>
      <c r="E173" s="114">
        <v>-6.08</v>
      </c>
      <c r="F173" s="113">
        <v>25140.0</v>
      </c>
      <c r="G173" s="113">
        <v>25180.0</v>
      </c>
      <c r="H173" s="113">
        <v>24870.0</v>
      </c>
      <c r="I173" s="113">
        <v>25180.0</v>
      </c>
      <c r="J173" s="115">
        <v>0.47708333333333336</v>
      </c>
      <c r="K173" s="114">
        <v>364.0</v>
      </c>
      <c r="L173" s="113">
        <v>9098750.0</v>
      </c>
      <c r="M173" s="114" t="s">
        <v>383</v>
      </c>
      <c r="N173" s="113">
        <v>1477.77</v>
      </c>
    </row>
    <row r="174">
      <c r="A174" s="117" t="s">
        <v>384</v>
      </c>
      <c r="B174" s="114">
        <v>17.26</v>
      </c>
      <c r="C174" s="114">
        <v>-0.63</v>
      </c>
      <c r="D174" s="114">
        <v>2.13</v>
      </c>
      <c r="E174" s="114">
        <v>-4.16</v>
      </c>
      <c r="F174" s="114">
        <v>17.37</v>
      </c>
      <c r="G174" s="114">
        <v>17.75</v>
      </c>
      <c r="H174" s="114">
        <v>17.26</v>
      </c>
      <c r="I174" s="114">
        <v>17.75</v>
      </c>
      <c r="J174" s="115">
        <v>0.47708333333333336</v>
      </c>
      <c r="K174" s="114">
        <v>175.0</v>
      </c>
      <c r="L174" s="113">
        <v>3041.0</v>
      </c>
      <c r="M174" s="114" t="s">
        <v>175</v>
      </c>
      <c r="N174" s="114" t="s">
        <v>175</v>
      </c>
    </row>
    <row r="175">
      <c r="A175" s="117" t="s">
        <v>385</v>
      </c>
      <c r="B175" s="113">
        <v>19630.0</v>
      </c>
      <c r="C175" s="114">
        <v>-0.91</v>
      </c>
      <c r="D175" s="114">
        <v>-0.15</v>
      </c>
      <c r="E175" s="114">
        <v>0.41</v>
      </c>
      <c r="F175" s="113">
        <v>19810.0</v>
      </c>
      <c r="G175" s="113">
        <v>19820.0</v>
      </c>
      <c r="H175" s="113">
        <v>19610.0</v>
      </c>
      <c r="I175" s="113">
        <v>19870.0</v>
      </c>
      <c r="J175" s="115">
        <v>0.47708333333333336</v>
      </c>
      <c r="K175" s="114">
        <v>443.0</v>
      </c>
      <c r="L175" s="113">
        <v>8724980.0</v>
      </c>
      <c r="M175" s="114" t="s">
        <v>224</v>
      </c>
      <c r="N175" s="113">
        <v>1479.04</v>
      </c>
    </row>
    <row r="176">
      <c r="A176" s="117" t="s">
        <v>386</v>
      </c>
      <c r="B176" s="114">
        <v>13.52</v>
      </c>
      <c r="C176" s="114">
        <v>-1.67</v>
      </c>
      <c r="D176" s="114">
        <v>0.15</v>
      </c>
      <c r="E176" s="114">
        <v>3.52</v>
      </c>
      <c r="F176" s="114">
        <v>13.75</v>
      </c>
      <c r="G176" s="114">
        <v>13.75</v>
      </c>
      <c r="H176" s="114">
        <v>13.52</v>
      </c>
      <c r="I176" s="114">
        <v>13.75</v>
      </c>
      <c r="J176" s="115">
        <v>0.47638888888888886</v>
      </c>
      <c r="K176" s="114">
        <v>24.0</v>
      </c>
      <c r="L176" s="114">
        <v>325.0</v>
      </c>
      <c r="M176" s="114" t="s">
        <v>175</v>
      </c>
      <c r="N176" s="114" t="s">
        <v>175</v>
      </c>
    </row>
    <row r="177">
      <c r="A177" s="117" t="s">
        <v>387</v>
      </c>
      <c r="B177" s="113">
        <v>5830.0</v>
      </c>
      <c r="C177" s="114">
        <v>0.09</v>
      </c>
      <c r="D177" s="114">
        <v>-0.51</v>
      </c>
      <c r="E177" s="114">
        <v>5.52</v>
      </c>
      <c r="F177" s="113">
        <v>5825.0</v>
      </c>
      <c r="G177" s="113">
        <v>5860.0</v>
      </c>
      <c r="H177" s="113">
        <v>5770.0</v>
      </c>
      <c r="I177" s="113">
        <v>5860.0</v>
      </c>
      <c r="J177" s="115">
        <v>0.47708333333333336</v>
      </c>
      <c r="K177" s="114">
        <v>269.0</v>
      </c>
      <c r="L177" s="113">
        <v>1555420.0</v>
      </c>
      <c r="M177" s="114" t="s">
        <v>187</v>
      </c>
      <c r="N177" s="113">
        <v>1490.03</v>
      </c>
    </row>
    <row r="178">
      <c r="A178" s="117" t="s">
        <v>388</v>
      </c>
      <c r="B178" s="113">
        <v>38400.0</v>
      </c>
      <c r="C178" s="114">
        <v>0.31</v>
      </c>
      <c r="D178" s="114">
        <v>-0.52</v>
      </c>
      <c r="E178" s="114">
        <v>4.46</v>
      </c>
      <c r="F178" s="113">
        <v>38280.0</v>
      </c>
      <c r="G178" s="113">
        <v>38100.0</v>
      </c>
      <c r="H178" s="113">
        <v>38100.0</v>
      </c>
      <c r="I178" s="113">
        <v>38400.0</v>
      </c>
      <c r="J178" s="115">
        <v>0.47708333333333336</v>
      </c>
      <c r="K178" s="114">
        <v>59.0</v>
      </c>
      <c r="L178" s="113">
        <v>2262920.0</v>
      </c>
      <c r="M178" s="114" t="s">
        <v>189</v>
      </c>
      <c r="N178" s="113">
        <v>1495.47</v>
      </c>
    </row>
    <row r="179">
      <c r="A179" s="117" t="s">
        <v>389</v>
      </c>
      <c r="B179" s="113">
        <v>26920.0</v>
      </c>
      <c r="C179" s="114">
        <v>0.67</v>
      </c>
      <c r="D179" s="114">
        <v>-0.74</v>
      </c>
      <c r="E179" s="114">
        <v>5.32</v>
      </c>
      <c r="F179" s="113">
        <v>26740.0</v>
      </c>
      <c r="G179" s="113">
        <v>26700.0</v>
      </c>
      <c r="H179" s="113">
        <v>26700.0</v>
      </c>
      <c r="I179" s="113">
        <v>27080.0</v>
      </c>
      <c r="J179" s="115">
        <v>0.47708333333333336</v>
      </c>
      <c r="K179" s="116">
        <v>9128.0</v>
      </c>
      <c r="L179" s="113">
        <v>2.456509E8</v>
      </c>
      <c r="M179" s="114" t="s">
        <v>390</v>
      </c>
      <c r="N179" s="113">
        <v>1504.46</v>
      </c>
    </row>
    <row r="180">
      <c r="A180" s="117" t="s">
        <v>391</v>
      </c>
      <c r="B180" s="113">
        <v>43840.0</v>
      </c>
      <c r="C180" s="114">
        <v>-0.9</v>
      </c>
      <c r="D180" s="114">
        <v>-2.36</v>
      </c>
      <c r="E180" s="114">
        <v>4.53</v>
      </c>
      <c r="F180" s="113">
        <v>44240.0</v>
      </c>
      <c r="G180" s="113">
        <v>44200.0</v>
      </c>
      <c r="H180" s="113">
        <v>43660.0</v>
      </c>
      <c r="I180" s="113">
        <v>44200.0</v>
      </c>
      <c r="J180" s="115">
        <v>0.47708333333333336</v>
      </c>
      <c r="K180" s="116">
        <v>4397.0</v>
      </c>
      <c r="L180" s="113">
        <v>1.9266752E8</v>
      </c>
      <c r="M180" s="114" t="s">
        <v>224</v>
      </c>
      <c r="N180" s="113">
        <v>1489.45</v>
      </c>
    </row>
    <row r="181">
      <c r="A181" s="117" t="s">
        <v>392</v>
      </c>
      <c r="B181" s="113">
        <v>22800.0</v>
      </c>
      <c r="C181" s="114">
        <v>0.44</v>
      </c>
      <c r="D181" s="114">
        <v>-0.52</v>
      </c>
      <c r="E181" s="114">
        <v>-7.01</v>
      </c>
      <c r="F181" s="113">
        <v>22700.0</v>
      </c>
      <c r="G181" s="113">
        <v>22840.0</v>
      </c>
      <c r="H181" s="113">
        <v>22780.0</v>
      </c>
      <c r="I181" s="113">
        <v>23070.0</v>
      </c>
      <c r="J181" s="115">
        <v>0.47708333333333336</v>
      </c>
      <c r="K181" s="114">
        <v>71.0</v>
      </c>
      <c r="L181" s="113">
        <v>1621240.0</v>
      </c>
      <c r="M181" s="114" t="s">
        <v>181</v>
      </c>
      <c r="N181" s="113">
        <v>1486.02</v>
      </c>
    </row>
    <row r="182">
      <c r="A182" s="117" t="s">
        <v>393</v>
      </c>
      <c r="B182" s="114">
        <v>15.98</v>
      </c>
      <c r="C182" s="114">
        <v>4.1</v>
      </c>
      <c r="D182" s="114">
        <v>1.46</v>
      </c>
      <c r="E182" s="114">
        <v>-2.02</v>
      </c>
      <c r="F182" s="114">
        <v>15.35</v>
      </c>
      <c r="G182" s="114">
        <v>15.98</v>
      </c>
      <c r="H182" s="114">
        <v>15.98</v>
      </c>
      <c r="I182" s="114">
        <v>15.98</v>
      </c>
      <c r="J182" s="115">
        <v>0.47291666666666665</v>
      </c>
      <c r="K182" s="114">
        <v>2.0</v>
      </c>
      <c r="L182" s="114">
        <v>32.0</v>
      </c>
      <c r="M182" s="114" t="s">
        <v>175</v>
      </c>
      <c r="N182" s="114" t="s">
        <v>175</v>
      </c>
    </row>
    <row r="183">
      <c r="A183" s="117" t="s">
        <v>394</v>
      </c>
      <c r="B183" s="113">
        <v>23220.0</v>
      </c>
      <c r="C183" s="114">
        <v>-0.09</v>
      </c>
      <c r="D183" s="114">
        <v>0.39</v>
      </c>
      <c r="E183" s="114">
        <v>6.32</v>
      </c>
      <c r="F183" s="113">
        <v>23240.0</v>
      </c>
      <c r="G183" s="113">
        <v>22910.0</v>
      </c>
      <c r="H183" s="113">
        <v>22910.0</v>
      </c>
      <c r="I183" s="113">
        <v>23320.0</v>
      </c>
      <c r="J183" s="115">
        <v>0.47708333333333336</v>
      </c>
      <c r="K183" s="114">
        <v>841.0</v>
      </c>
      <c r="L183" s="113">
        <v>1.942284E7</v>
      </c>
      <c r="M183" s="114" t="s">
        <v>189</v>
      </c>
      <c r="N183" s="113">
        <v>1492.53</v>
      </c>
    </row>
    <row r="184">
      <c r="A184" s="117" t="s">
        <v>395</v>
      </c>
      <c r="B184" s="114">
        <v>16.03</v>
      </c>
      <c r="C184" s="114">
        <v>-1.29</v>
      </c>
      <c r="D184" s="114">
        <v>2.23</v>
      </c>
      <c r="E184" s="114">
        <v>7.73</v>
      </c>
      <c r="F184" s="114">
        <v>16.24</v>
      </c>
      <c r="G184" s="114">
        <v>16.12</v>
      </c>
      <c r="H184" s="114">
        <v>16.03</v>
      </c>
      <c r="I184" s="114">
        <v>16.12</v>
      </c>
      <c r="J184" s="115">
        <v>0.47708333333333336</v>
      </c>
      <c r="K184" s="114">
        <v>10.0</v>
      </c>
      <c r="L184" s="114">
        <v>161.0</v>
      </c>
      <c r="M184" s="114" t="s">
        <v>175</v>
      </c>
      <c r="N184" s="114" t="s">
        <v>175</v>
      </c>
    </row>
    <row r="185">
      <c r="A185" s="117" t="s">
        <v>396</v>
      </c>
      <c r="B185" s="113">
        <v>8110.0</v>
      </c>
      <c r="C185" s="114">
        <v>-0.25</v>
      </c>
      <c r="D185" s="114">
        <v>-1.82</v>
      </c>
      <c r="E185" s="114">
        <v>9.45</v>
      </c>
      <c r="F185" s="113">
        <v>8130.0</v>
      </c>
      <c r="G185" s="113">
        <v>8135.0</v>
      </c>
      <c r="H185" s="113">
        <v>8110.0</v>
      </c>
      <c r="I185" s="113">
        <v>8135.0</v>
      </c>
      <c r="J185" s="115">
        <v>0.47708333333333336</v>
      </c>
      <c r="K185" s="114">
        <v>98.0</v>
      </c>
      <c r="L185" s="113">
        <v>795305.0</v>
      </c>
      <c r="M185" s="114" t="s">
        <v>202</v>
      </c>
      <c r="N185" s="113">
        <v>1486.98</v>
      </c>
    </row>
    <row r="186">
      <c r="A186" s="117" t="s">
        <v>397</v>
      </c>
      <c r="B186" s="113">
        <v>33300.0</v>
      </c>
      <c r="C186" s="114">
        <v>-1.25</v>
      </c>
      <c r="D186" s="114">
        <v>0.79</v>
      </c>
      <c r="E186" s="114">
        <v>3.03</v>
      </c>
      <c r="F186" s="113">
        <v>33720.0</v>
      </c>
      <c r="G186" s="113">
        <v>33800.0</v>
      </c>
      <c r="H186" s="113">
        <v>32820.0</v>
      </c>
      <c r="I186" s="113">
        <v>33800.0</v>
      </c>
      <c r="J186" s="115">
        <v>0.47708333333333336</v>
      </c>
      <c r="K186" s="114">
        <v>399.0</v>
      </c>
      <c r="L186" s="113">
        <v>1.31561E7</v>
      </c>
      <c r="M186" s="114" t="s">
        <v>202</v>
      </c>
      <c r="N186" s="113">
        <v>1468.64</v>
      </c>
    </row>
    <row r="187">
      <c r="A187" s="117" t="s">
        <v>398</v>
      </c>
      <c r="B187" s="114">
        <v>22.63</v>
      </c>
      <c r="C187" s="114">
        <v>-3.33</v>
      </c>
      <c r="D187" s="114">
        <v>0.31</v>
      </c>
      <c r="E187" s="114">
        <v>3.19</v>
      </c>
      <c r="F187" s="114">
        <v>23.41</v>
      </c>
      <c r="G187" s="114">
        <v>22.63</v>
      </c>
      <c r="H187" s="114">
        <v>22.63</v>
      </c>
      <c r="I187" s="114">
        <v>22.63</v>
      </c>
      <c r="J187" s="115">
        <v>0.47708333333333336</v>
      </c>
      <c r="K187" s="114">
        <v>2.0</v>
      </c>
      <c r="L187" s="114">
        <v>45.0</v>
      </c>
      <c r="M187" s="114" t="s">
        <v>175</v>
      </c>
      <c r="N187" s="114" t="s">
        <v>175</v>
      </c>
    </row>
    <row r="188">
      <c r="A188" s="117" t="s">
        <v>399</v>
      </c>
      <c r="B188" s="113">
        <v>3345.0</v>
      </c>
      <c r="C188" s="114">
        <v>-2.19</v>
      </c>
      <c r="D188" s="114">
        <v>-4.5</v>
      </c>
      <c r="E188" s="114">
        <v>35.04</v>
      </c>
      <c r="F188" s="113">
        <v>3420.0</v>
      </c>
      <c r="G188" s="113">
        <v>3322.5</v>
      </c>
      <c r="H188" s="113">
        <v>3320.0</v>
      </c>
      <c r="I188" s="113">
        <v>3405.0</v>
      </c>
      <c r="J188" s="115">
        <v>0.47708333333333336</v>
      </c>
      <c r="K188" s="114">
        <v>728.0</v>
      </c>
      <c r="L188" s="113">
        <v>2424520.0</v>
      </c>
      <c r="M188" s="114" t="s">
        <v>400</v>
      </c>
      <c r="N188" s="113">
        <v>1493.65</v>
      </c>
    </row>
    <row r="189">
      <c r="A189" s="117" t="s">
        <v>401</v>
      </c>
      <c r="B189" s="113">
        <v>8410.0</v>
      </c>
      <c r="C189" s="114">
        <v>0.9</v>
      </c>
      <c r="D189" s="114">
        <v>-1.52</v>
      </c>
      <c r="E189" s="114">
        <v>-10.82</v>
      </c>
      <c r="F189" s="113">
        <v>8335.0</v>
      </c>
      <c r="G189" s="113">
        <v>8360.0</v>
      </c>
      <c r="H189" s="113">
        <v>8360.0</v>
      </c>
      <c r="I189" s="113">
        <v>8565.0</v>
      </c>
      <c r="J189" s="115">
        <v>0.47708333333333336</v>
      </c>
      <c r="K189" s="116">
        <v>4111.0</v>
      </c>
      <c r="L189" s="113">
        <v>3.4875615E7</v>
      </c>
      <c r="M189" s="114" t="s">
        <v>177</v>
      </c>
      <c r="N189" s="113">
        <v>1496.82</v>
      </c>
    </row>
    <row r="190">
      <c r="A190" s="117" t="s">
        <v>402</v>
      </c>
      <c r="B190" s="113">
        <v>21030.0</v>
      </c>
      <c r="C190" s="114">
        <v>-0.19</v>
      </c>
      <c r="D190" s="114">
        <v>-2.55</v>
      </c>
      <c r="E190" s="114">
        <v>-14.96</v>
      </c>
      <c r="F190" s="113">
        <v>21070.0</v>
      </c>
      <c r="G190" s="113">
        <v>21190.0</v>
      </c>
      <c r="H190" s="113">
        <v>20880.0</v>
      </c>
      <c r="I190" s="113">
        <v>21190.0</v>
      </c>
      <c r="J190" s="115">
        <v>0.47708333333333336</v>
      </c>
      <c r="K190" s="116">
        <v>28353.0</v>
      </c>
      <c r="L190" s="113">
        <v>5.9545988E8</v>
      </c>
      <c r="M190" s="114" t="s">
        <v>207</v>
      </c>
      <c r="N190" s="113">
        <v>1490.19</v>
      </c>
    </row>
    <row r="191">
      <c r="A191" s="117" t="s">
        <v>403</v>
      </c>
      <c r="B191" s="113">
        <v>29760.0</v>
      </c>
      <c r="C191" s="114">
        <v>-1.46</v>
      </c>
      <c r="D191" s="114">
        <v>-1.0</v>
      </c>
      <c r="E191" s="114">
        <v>2.06</v>
      </c>
      <c r="F191" s="113">
        <v>30200.0</v>
      </c>
      <c r="G191" s="113">
        <v>29840.0</v>
      </c>
      <c r="H191" s="113">
        <v>29760.0</v>
      </c>
      <c r="I191" s="113">
        <v>29840.0</v>
      </c>
      <c r="J191" s="115">
        <v>0.47708333333333336</v>
      </c>
      <c r="K191" s="114">
        <v>101.0</v>
      </c>
      <c r="L191" s="113">
        <v>3005840.0</v>
      </c>
      <c r="M191" s="114" t="s">
        <v>179</v>
      </c>
      <c r="N191" s="113">
        <v>1474.44</v>
      </c>
    </row>
    <row r="192">
      <c r="A192" s="117" t="s">
        <v>404</v>
      </c>
      <c r="B192" s="113">
        <v>10460.0</v>
      </c>
      <c r="C192" s="114">
        <v>-1.97</v>
      </c>
      <c r="D192" s="114">
        <v>-6.77</v>
      </c>
      <c r="E192" s="114">
        <v>-11.95</v>
      </c>
      <c r="F192" s="113">
        <v>10670.0</v>
      </c>
      <c r="G192" s="113">
        <v>10590.0</v>
      </c>
      <c r="H192" s="113">
        <v>10430.0</v>
      </c>
      <c r="I192" s="113">
        <v>10660.0</v>
      </c>
      <c r="J192" s="115">
        <v>0.47708333333333336</v>
      </c>
      <c r="K192" s="116">
        <v>4377.0</v>
      </c>
      <c r="L192" s="113">
        <v>4.591986E7</v>
      </c>
      <c r="M192" s="114" t="s">
        <v>179</v>
      </c>
      <c r="N192" s="113">
        <v>1498.25</v>
      </c>
    </row>
    <row r="193">
      <c r="A193" s="117" t="s">
        <v>405</v>
      </c>
      <c r="B193" s="113">
        <v>132000.0</v>
      </c>
      <c r="C193" s="114">
        <v>1.23</v>
      </c>
      <c r="D193" s="114">
        <v>-2.82</v>
      </c>
      <c r="E193" s="114">
        <v>46.67</v>
      </c>
      <c r="F193" s="113">
        <v>130400.0</v>
      </c>
      <c r="G193" s="113">
        <v>134275.0</v>
      </c>
      <c r="H193" s="113">
        <v>131275.0</v>
      </c>
      <c r="I193" s="113">
        <v>134275.0</v>
      </c>
      <c r="J193" s="115">
        <v>0.47708333333333336</v>
      </c>
      <c r="K193" s="116">
        <v>3764.0</v>
      </c>
      <c r="L193" s="113">
        <v>4.972236E8</v>
      </c>
      <c r="M193" s="114" t="s">
        <v>202</v>
      </c>
      <c r="N193" s="113">
        <v>1507.54</v>
      </c>
    </row>
    <row r="194">
      <c r="A194" s="117" t="s">
        <v>406</v>
      </c>
      <c r="B194" s="114">
        <v>91.1</v>
      </c>
      <c r="C194" s="114">
        <v>1.22</v>
      </c>
      <c r="D194" s="114">
        <v>4.59</v>
      </c>
      <c r="E194" s="114">
        <v>47.41</v>
      </c>
      <c r="F194" s="114">
        <v>90.0</v>
      </c>
      <c r="G194" s="114">
        <v>93.0</v>
      </c>
      <c r="H194" s="114">
        <v>90.7</v>
      </c>
      <c r="I194" s="114">
        <v>93.4</v>
      </c>
      <c r="J194" s="115">
        <v>0.47708333333333336</v>
      </c>
      <c r="K194" s="114">
        <v>126.0</v>
      </c>
      <c r="L194" s="113">
        <v>11583.0</v>
      </c>
      <c r="M194" s="114" t="s">
        <v>175</v>
      </c>
      <c r="N194" s="114" t="s">
        <v>175</v>
      </c>
    </row>
    <row r="195">
      <c r="A195" s="117" t="s">
        <v>407</v>
      </c>
      <c r="B195" s="113">
        <v>27200.0</v>
      </c>
      <c r="C195" s="114">
        <v>0.07</v>
      </c>
      <c r="D195" s="114">
        <v>0.67</v>
      </c>
      <c r="E195" s="114">
        <v>11.89</v>
      </c>
      <c r="F195" s="113">
        <v>27180.0</v>
      </c>
      <c r="G195" s="113">
        <v>27200.0</v>
      </c>
      <c r="H195" s="113">
        <v>27200.0</v>
      </c>
      <c r="I195" s="113">
        <v>27200.0</v>
      </c>
      <c r="J195" s="115">
        <v>0.4708333333333333</v>
      </c>
      <c r="K195" s="114">
        <v>46.0</v>
      </c>
      <c r="L195" s="113">
        <v>1251200.0</v>
      </c>
      <c r="M195" s="114" t="s">
        <v>185</v>
      </c>
      <c r="N195" s="113">
        <v>1491.23</v>
      </c>
    </row>
    <row r="196">
      <c r="A196" s="117" t="s">
        <v>408</v>
      </c>
      <c r="B196" s="113">
        <v>18980.0</v>
      </c>
      <c r="C196" s="114">
        <v>8.58</v>
      </c>
      <c r="D196" s="114">
        <v>3.26</v>
      </c>
      <c r="E196" s="114">
        <v>30.72</v>
      </c>
      <c r="F196" s="113">
        <v>17480.0</v>
      </c>
      <c r="G196" s="113">
        <v>18790.0</v>
      </c>
      <c r="H196" s="113">
        <v>18500.0</v>
      </c>
      <c r="I196" s="113">
        <v>19440.0</v>
      </c>
      <c r="J196" s="115">
        <v>0.47708333333333336</v>
      </c>
      <c r="K196" s="116">
        <v>1697.0</v>
      </c>
      <c r="L196" s="113">
        <v>3.207255E7</v>
      </c>
      <c r="M196" s="114" t="s">
        <v>173</v>
      </c>
      <c r="N196" s="113">
        <v>1618.76</v>
      </c>
    </row>
    <row r="197">
      <c r="A197" s="117" t="s">
        <v>409</v>
      </c>
      <c r="B197" s="114">
        <v>13.3</v>
      </c>
      <c r="C197" s="114">
        <v>10.83</v>
      </c>
      <c r="D197" s="114">
        <v>2.78</v>
      </c>
      <c r="E197" s="114">
        <v>35.3</v>
      </c>
      <c r="F197" s="114">
        <v>12.0</v>
      </c>
      <c r="G197" s="114">
        <v>12.8</v>
      </c>
      <c r="H197" s="114">
        <v>12.8</v>
      </c>
      <c r="I197" s="114">
        <v>13.3</v>
      </c>
      <c r="J197" s="115">
        <v>0.47708333333333336</v>
      </c>
      <c r="K197" s="114">
        <v>336.0</v>
      </c>
      <c r="L197" s="113">
        <v>4462.0</v>
      </c>
      <c r="M197" s="114" t="s">
        <v>175</v>
      </c>
      <c r="N197" s="114" t="s">
        <v>175</v>
      </c>
    </row>
    <row r="198">
      <c r="A198" s="117" t="s">
        <v>410</v>
      </c>
      <c r="B198" s="113">
        <v>58575.0</v>
      </c>
      <c r="C198" s="114">
        <v>4.97</v>
      </c>
      <c r="D198" s="114">
        <v>-0.64</v>
      </c>
      <c r="E198" s="114">
        <v>13.46</v>
      </c>
      <c r="F198" s="113">
        <v>55800.0</v>
      </c>
      <c r="G198" s="113">
        <v>58425.0</v>
      </c>
      <c r="H198" s="113">
        <v>58425.0</v>
      </c>
      <c r="I198" s="113">
        <v>59575.0</v>
      </c>
      <c r="J198" s="115">
        <v>0.47708333333333336</v>
      </c>
      <c r="K198" s="114">
        <v>124.0</v>
      </c>
      <c r="L198" s="113">
        <v>7314550.0</v>
      </c>
      <c r="M198" s="114" t="s">
        <v>231</v>
      </c>
      <c r="N198" s="113">
        <v>1557.16</v>
      </c>
    </row>
    <row r="199">
      <c r="A199" s="117" t="s">
        <v>411</v>
      </c>
      <c r="B199" s="114">
        <v>42.5</v>
      </c>
      <c r="C199" s="114">
        <v>8.14</v>
      </c>
      <c r="D199" s="114">
        <v>12.37</v>
      </c>
      <c r="E199" s="114">
        <v>21.46</v>
      </c>
      <c r="F199" s="114">
        <v>39.3</v>
      </c>
      <c r="G199" s="114">
        <v>39.9</v>
      </c>
      <c r="H199" s="114">
        <v>39.9</v>
      </c>
      <c r="I199" s="114">
        <v>42.5</v>
      </c>
      <c r="J199" s="115">
        <v>0.47708333333333336</v>
      </c>
      <c r="K199" s="114">
        <v>53.0</v>
      </c>
      <c r="L199" s="113">
        <v>2167.0</v>
      </c>
      <c r="M199" s="114" t="s">
        <v>175</v>
      </c>
      <c r="N199" s="114" t="s">
        <v>175</v>
      </c>
    </row>
    <row r="200">
      <c r="A200" s="117" t="s">
        <v>412</v>
      </c>
      <c r="B200" s="113">
        <v>2580.0</v>
      </c>
      <c r="C200" s="114">
        <v>-0.19</v>
      </c>
      <c r="D200" s="114">
        <v>-1.71</v>
      </c>
      <c r="E200" s="114">
        <v>-13.57</v>
      </c>
      <c r="F200" s="113">
        <v>2585.0</v>
      </c>
      <c r="G200" s="113">
        <v>2600.0</v>
      </c>
      <c r="H200" s="113">
        <v>2560.0</v>
      </c>
      <c r="I200" s="113">
        <v>2612.5</v>
      </c>
      <c r="J200" s="115">
        <v>0.47708333333333336</v>
      </c>
      <c r="K200" s="116">
        <v>29660.0</v>
      </c>
      <c r="L200" s="113">
        <v>7.6366578E7</v>
      </c>
      <c r="M200" s="114" t="s">
        <v>265</v>
      </c>
      <c r="N200" s="113">
        <v>1496.38</v>
      </c>
    </row>
    <row r="201">
      <c r="A201" s="117" t="s">
        <v>413</v>
      </c>
      <c r="B201" s="113">
        <v>54800.0</v>
      </c>
      <c r="C201" s="114">
        <v>7.35</v>
      </c>
      <c r="D201" s="114">
        <v>-2.45</v>
      </c>
      <c r="E201" s="114">
        <v>-5.39</v>
      </c>
      <c r="F201" s="113">
        <v>51050.0</v>
      </c>
      <c r="G201" s="113">
        <v>53450.0</v>
      </c>
      <c r="H201" s="113">
        <v>53450.0</v>
      </c>
      <c r="I201" s="113">
        <v>54800.0</v>
      </c>
      <c r="J201" s="115">
        <v>0.47708333333333336</v>
      </c>
      <c r="K201" s="114">
        <v>111.0</v>
      </c>
      <c r="L201" s="113">
        <v>6028600.0</v>
      </c>
      <c r="M201" s="114" t="s">
        <v>308</v>
      </c>
      <c r="N201" s="113">
        <v>1604.22</v>
      </c>
    </row>
    <row r="202">
      <c r="A202" s="117" t="s">
        <v>414</v>
      </c>
      <c r="B202" s="113">
        <v>1700.0</v>
      </c>
      <c r="C202" s="114">
        <v>0.95</v>
      </c>
      <c r="D202" s="114">
        <v>-7.61</v>
      </c>
      <c r="E202" s="114">
        <v>-19.66</v>
      </c>
      <c r="F202" s="113">
        <v>1684.0</v>
      </c>
      <c r="G202" s="113">
        <v>1699.0</v>
      </c>
      <c r="H202" s="113">
        <v>1690.0</v>
      </c>
      <c r="I202" s="113">
        <v>1719.0</v>
      </c>
      <c r="J202" s="115">
        <v>0.47708333333333336</v>
      </c>
      <c r="K202" s="116">
        <v>36260.0</v>
      </c>
      <c r="L202" s="113">
        <v>6.1686565E7</v>
      </c>
      <c r="M202" s="114" t="s">
        <v>189</v>
      </c>
      <c r="N202" s="113">
        <v>1504.42</v>
      </c>
    </row>
    <row r="203">
      <c r="A203" s="117" t="s">
        <v>415</v>
      </c>
      <c r="B203" s="114">
        <v>1.21</v>
      </c>
      <c r="C203" s="114">
        <v>3.42</v>
      </c>
      <c r="D203" s="114">
        <v>-2.42</v>
      </c>
      <c r="E203" s="114">
        <v>-15.97</v>
      </c>
      <c r="F203" s="114">
        <v>1.17</v>
      </c>
      <c r="G203" s="114">
        <v>1.16</v>
      </c>
      <c r="H203" s="114">
        <v>1.15</v>
      </c>
      <c r="I203" s="114">
        <v>1.21</v>
      </c>
      <c r="J203" s="115">
        <v>0.47708333333333336</v>
      </c>
      <c r="K203" s="114">
        <v>998.0</v>
      </c>
      <c r="L203" s="113">
        <v>1180.0</v>
      </c>
      <c r="M203" s="114" t="s">
        <v>175</v>
      </c>
      <c r="N203" s="114" t="s">
        <v>175</v>
      </c>
    </row>
    <row r="204">
      <c r="A204" s="117" t="s">
        <v>416</v>
      </c>
      <c r="B204" s="113">
        <v>7675.0</v>
      </c>
      <c r="C204" s="114">
        <v>-0.97</v>
      </c>
      <c r="D204" s="114">
        <v>-0.65</v>
      </c>
      <c r="E204" s="114">
        <v>-0.71</v>
      </c>
      <c r="F204" s="113">
        <v>7750.0</v>
      </c>
      <c r="G204" s="113">
        <v>7785.0</v>
      </c>
      <c r="H204" s="113">
        <v>7655.0</v>
      </c>
      <c r="I204" s="113">
        <v>7785.0</v>
      </c>
      <c r="J204" s="115">
        <v>0.47708333333333336</v>
      </c>
      <c r="K204" s="116">
        <v>1239.0</v>
      </c>
      <c r="L204" s="113">
        <v>9529375.0</v>
      </c>
      <c r="M204" s="114" t="s">
        <v>286</v>
      </c>
      <c r="N204" s="113">
        <v>1481.18</v>
      </c>
    </row>
    <row r="205">
      <c r="A205" s="117" t="s">
        <v>417</v>
      </c>
      <c r="B205" s="114">
        <v>5.57</v>
      </c>
      <c r="C205" s="114">
        <v>4.11</v>
      </c>
      <c r="D205" s="114">
        <v>4.7</v>
      </c>
      <c r="E205" s="114">
        <v>6.3</v>
      </c>
      <c r="F205" s="114">
        <v>5.35</v>
      </c>
      <c r="G205" s="114">
        <v>5.33</v>
      </c>
      <c r="H205" s="114">
        <v>5.28</v>
      </c>
      <c r="I205" s="114">
        <v>5.57</v>
      </c>
      <c r="J205" s="115">
        <v>0.47708333333333336</v>
      </c>
      <c r="K205" s="114">
        <v>665.0</v>
      </c>
      <c r="L205" s="113">
        <v>3558.0</v>
      </c>
      <c r="M205" s="114" t="s">
        <v>175</v>
      </c>
      <c r="N205" s="114" t="s">
        <v>175</v>
      </c>
    </row>
    <row r="206">
      <c r="A206" s="117" t="s">
        <v>418</v>
      </c>
      <c r="B206" s="113">
        <v>9830.0</v>
      </c>
      <c r="C206" s="114">
        <v>-0.17</v>
      </c>
      <c r="D206" s="114">
        <v>1.5</v>
      </c>
      <c r="E206" s="114">
        <v>-1.21</v>
      </c>
      <c r="F206" s="113">
        <v>9846.43</v>
      </c>
      <c r="G206" s="113">
        <v>9870.0</v>
      </c>
      <c r="H206" s="113">
        <v>9775.0</v>
      </c>
      <c r="I206" s="113">
        <v>9870.0</v>
      </c>
      <c r="J206" s="115">
        <v>0.47708333333333336</v>
      </c>
      <c r="K206" s="114">
        <v>54.0</v>
      </c>
      <c r="L206" s="113">
        <v>530090.0</v>
      </c>
      <c r="M206" s="114" t="s">
        <v>185</v>
      </c>
      <c r="N206" s="114" t="s">
        <v>175</v>
      </c>
    </row>
    <row r="207">
      <c r="A207" s="117" t="s">
        <v>419</v>
      </c>
      <c r="B207" s="113">
        <v>13570.0</v>
      </c>
      <c r="C207" s="114">
        <v>-1.31</v>
      </c>
      <c r="D207" s="114">
        <v>-1.67</v>
      </c>
      <c r="E207" s="114">
        <v>-11.02</v>
      </c>
      <c r="F207" s="113">
        <v>13750.0</v>
      </c>
      <c r="G207" s="113">
        <v>13660.0</v>
      </c>
      <c r="H207" s="113">
        <v>13570.0</v>
      </c>
      <c r="I207" s="113">
        <v>13660.0</v>
      </c>
      <c r="J207" s="115">
        <v>0.47708333333333336</v>
      </c>
      <c r="K207" s="114">
        <v>53.0</v>
      </c>
      <c r="L207" s="113">
        <v>719300.0</v>
      </c>
      <c r="M207" s="114" t="s">
        <v>177</v>
      </c>
      <c r="N207" s="114" t="s">
        <v>175</v>
      </c>
    </row>
    <row r="208">
      <c r="A208" s="117" t="s">
        <v>420</v>
      </c>
      <c r="B208" s="113">
        <v>13640.0</v>
      </c>
      <c r="C208" s="114">
        <v>0.96</v>
      </c>
      <c r="D208" s="114">
        <v>1.04</v>
      </c>
      <c r="E208" s="114">
        <v>5.82</v>
      </c>
      <c r="F208" s="113">
        <v>13510.0</v>
      </c>
      <c r="G208" s="113">
        <v>13640.0</v>
      </c>
      <c r="H208" s="113">
        <v>13570.0</v>
      </c>
      <c r="I208" s="113">
        <v>13770.0</v>
      </c>
      <c r="J208" s="115">
        <v>0.47708333333333336</v>
      </c>
      <c r="K208" s="116">
        <v>10041.0</v>
      </c>
      <c r="L208" s="113">
        <v>1.3701953E8</v>
      </c>
      <c r="M208" s="114" t="s">
        <v>175</v>
      </c>
      <c r="N208" s="114" t="s">
        <v>175</v>
      </c>
    </row>
    <row r="209">
      <c r="A209" s="117" t="s">
        <v>421</v>
      </c>
      <c r="B209" s="114">
        <v>9.41</v>
      </c>
      <c r="C209" s="114">
        <v>0.86</v>
      </c>
      <c r="D209" s="114">
        <v>0.97</v>
      </c>
      <c r="E209" s="114">
        <v>7.18</v>
      </c>
      <c r="F209" s="114">
        <v>9.33</v>
      </c>
      <c r="G209" s="114">
        <v>9.35</v>
      </c>
      <c r="H209" s="114">
        <v>9.35</v>
      </c>
      <c r="I209" s="114">
        <v>9.54</v>
      </c>
      <c r="J209" s="115">
        <v>0.47708333333333336</v>
      </c>
      <c r="K209" s="114">
        <v>867.0</v>
      </c>
      <c r="L209" s="113">
        <v>8192.0</v>
      </c>
      <c r="M209" s="114" t="s">
        <v>175</v>
      </c>
      <c r="N209" s="114" t="s">
        <v>175</v>
      </c>
    </row>
    <row r="210">
      <c r="A210" s="117" t="s">
        <v>422</v>
      </c>
      <c r="B210" s="113">
        <v>11610.0</v>
      </c>
      <c r="C210" s="114">
        <v>-0.94</v>
      </c>
      <c r="D210" s="114">
        <v>-2.44</v>
      </c>
      <c r="E210" s="114">
        <v>-3.25</v>
      </c>
      <c r="F210" s="113">
        <v>11720.0</v>
      </c>
      <c r="G210" s="113">
        <v>11700.0</v>
      </c>
      <c r="H210" s="113">
        <v>11540.0</v>
      </c>
      <c r="I210" s="113">
        <v>11720.0</v>
      </c>
      <c r="J210" s="115">
        <v>0.47708333333333336</v>
      </c>
      <c r="K210" s="116">
        <v>19558.0</v>
      </c>
      <c r="L210" s="113">
        <v>2.2707392E8</v>
      </c>
      <c r="M210" s="114" t="s">
        <v>224</v>
      </c>
      <c r="N210" s="113">
        <v>1501.21</v>
      </c>
    </row>
    <row r="211">
      <c r="A211" s="117" t="s">
        <v>423</v>
      </c>
      <c r="B211" s="113">
        <v>18400.0</v>
      </c>
      <c r="C211" s="114">
        <v>1.1</v>
      </c>
      <c r="D211" s="114">
        <v>-4.61</v>
      </c>
      <c r="E211" s="114">
        <v>31.9</v>
      </c>
      <c r="F211" s="113">
        <v>18200.0</v>
      </c>
      <c r="G211" s="113">
        <v>18200.0</v>
      </c>
      <c r="H211" s="113">
        <v>18200.0</v>
      </c>
      <c r="I211" s="113">
        <v>18400.0</v>
      </c>
      <c r="J211" s="115">
        <v>0.4625</v>
      </c>
      <c r="K211" s="114">
        <v>64.0</v>
      </c>
      <c r="L211" s="113">
        <v>1165000.0</v>
      </c>
      <c r="M211" s="114" t="s">
        <v>185</v>
      </c>
      <c r="N211" s="114" t="s">
        <v>175</v>
      </c>
    </row>
    <row r="212">
      <c r="A212" s="117" t="s">
        <v>424</v>
      </c>
      <c r="B212" s="113">
        <v>79150.0</v>
      </c>
      <c r="C212" s="114">
        <v>-2.46</v>
      </c>
      <c r="D212" s="114">
        <v>-5.94</v>
      </c>
      <c r="E212" s="114">
        <v>-21.75</v>
      </c>
      <c r="F212" s="113">
        <v>81150.0</v>
      </c>
      <c r="G212" s="113">
        <v>79950.0</v>
      </c>
      <c r="H212" s="113">
        <v>77525.0</v>
      </c>
      <c r="I212" s="113">
        <v>79950.0</v>
      </c>
      <c r="J212" s="115">
        <v>0.47708333333333336</v>
      </c>
      <c r="K212" s="116">
        <v>46196.0</v>
      </c>
      <c r="L212" s="113">
        <v>3.622894475E9</v>
      </c>
      <c r="M212" s="114" t="s">
        <v>231</v>
      </c>
      <c r="N212" s="113">
        <v>1483.51</v>
      </c>
    </row>
    <row r="213">
      <c r="A213" s="117" t="s">
        <v>425</v>
      </c>
      <c r="B213" s="114">
        <v>660.0</v>
      </c>
      <c r="C213" s="114">
        <v>-1.05</v>
      </c>
      <c r="D213" s="114">
        <v>-0.75</v>
      </c>
      <c r="E213" s="114">
        <v>2.48</v>
      </c>
      <c r="F213" s="114">
        <v>667.0</v>
      </c>
      <c r="G213" s="114">
        <v>666.0</v>
      </c>
      <c r="H213" s="114">
        <v>632.5</v>
      </c>
      <c r="I213" s="114">
        <v>669.5</v>
      </c>
      <c r="J213" s="115">
        <v>0.47708333333333336</v>
      </c>
      <c r="K213" s="114">
        <v>952.0</v>
      </c>
      <c r="L213" s="113">
        <v>618424.0</v>
      </c>
      <c r="M213" s="114" t="s">
        <v>426</v>
      </c>
      <c r="N213" s="113">
        <v>1494.95</v>
      </c>
    </row>
    <row r="214">
      <c r="A214" s="117" t="s">
        <v>427</v>
      </c>
      <c r="B214" s="113">
        <v>13200.0</v>
      </c>
      <c r="C214" s="114" t="s">
        <v>175</v>
      </c>
      <c r="D214" s="114">
        <v>-3.01</v>
      </c>
      <c r="E214" s="114">
        <v>5.18</v>
      </c>
      <c r="F214" s="113">
        <v>13200.0</v>
      </c>
      <c r="G214" s="113">
        <v>13070.0</v>
      </c>
      <c r="H214" s="113">
        <v>13020.0</v>
      </c>
      <c r="I214" s="113">
        <v>13200.0</v>
      </c>
      <c r="J214" s="115">
        <v>0.47708333333333336</v>
      </c>
      <c r="K214" s="114">
        <v>819.0</v>
      </c>
      <c r="L214" s="113">
        <v>1.075778E7</v>
      </c>
      <c r="M214" s="114" t="s">
        <v>202</v>
      </c>
      <c r="N214" s="113">
        <v>1506.85</v>
      </c>
    </row>
    <row r="215">
      <c r="A215" s="117" t="s">
        <v>428</v>
      </c>
      <c r="B215" s="114">
        <v>9.0</v>
      </c>
      <c r="C215" s="114">
        <v>-0.88</v>
      </c>
      <c r="D215" s="114">
        <v>-2.81</v>
      </c>
      <c r="E215" s="114">
        <v>5.63</v>
      </c>
      <c r="F215" s="114">
        <v>9.08</v>
      </c>
      <c r="G215" s="114" t="s">
        <v>175</v>
      </c>
      <c r="H215" s="114" t="s">
        <v>175</v>
      </c>
      <c r="I215" s="114" t="s">
        <v>175</v>
      </c>
      <c r="J215" s="115">
        <v>0.46944444444444444</v>
      </c>
      <c r="K215" s="114" t="s">
        <v>175</v>
      </c>
      <c r="L215" s="114" t="s">
        <v>175</v>
      </c>
      <c r="M215" s="114" t="s">
        <v>175</v>
      </c>
      <c r="N215" s="114" t="s">
        <v>175</v>
      </c>
    </row>
    <row r="216">
      <c r="A216" s="117" t="s">
        <v>429</v>
      </c>
      <c r="B216" s="113">
        <v>28680.0</v>
      </c>
      <c r="C216" s="114">
        <v>7.58</v>
      </c>
      <c r="D216" s="114">
        <v>-0.07</v>
      </c>
      <c r="E216" s="114">
        <v>7.01</v>
      </c>
      <c r="F216" s="113">
        <v>26660.0</v>
      </c>
      <c r="G216" s="113">
        <v>27620.0</v>
      </c>
      <c r="H216" s="113">
        <v>27620.0</v>
      </c>
      <c r="I216" s="113">
        <v>29060.0</v>
      </c>
      <c r="J216" s="115">
        <v>0.47708333333333336</v>
      </c>
      <c r="K216" s="116">
        <v>4113.0</v>
      </c>
      <c r="L216" s="113">
        <v>1.1828164E8</v>
      </c>
      <c r="M216" s="114" t="s">
        <v>231</v>
      </c>
      <c r="N216" s="113">
        <v>1604.33</v>
      </c>
    </row>
    <row r="217">
      <c r="A217" s="117" t="s">
        <v>430</v>
      </c>
      <c r="B217" s="113">
        <v>5660.0</v>
      </c>
      <c r="C217" s="114">
        <v>0.09</v>
      </c>
      <c r="D217" s="114">
        <v>0.44</v>
      </c>
      <c r="E217" s="114">
        <v>15.16</v>
      </c>
      <c r="F217" s="113">
        <v>5655.0</v>
      </c>
      <c r="G217" s="113">
        <v>5680.0</v>
      </c>
      <c r="H217" s="113">
        <v>5645.0</v>
      </c>
      <c r="I217" s="113">
        <v>5755.0</v>
      </c>
      <c r="J217" s="115">
        <v>0.47708333333333336</v>
      </c>
      <c r="K217" s="116">
        <v>4436.0</v>
      </c>
      <c r="L217" s="113">
        <v>2.5184355E7</v>
      </c>
      <c r="M217" s="114" t="s">
        <v>231</v>
      </c>
      <c r="N217" s="113">
        <v>1484.27</v>
      </c>
    </row>
    <row r="218">
      <c r="A218" s="117" t="s">
        <v>431</v>
      </c>
      <c r="B218" s="113">
        <v>5250.0</v>
      </c>
      <c r="C218" s="114">
        <v>0.57</v>
      </c>
      <c r="D218" s="114">
        <v>-0.76</v>
      </c>
      <c r="E218" s="114">
        <v>-7.89</v>
      </c>
      <c r="F218" s="113">
        <v>5220.0</v>
      </c>
      <c r="G218" s="113">
        <v>5205.0</v>
      </c>
      <c r="H218" s="113">
        <v>5160.0</v>
      </c>
      <c r="I218" s="113">
        <v>5290.0</v>
      </c>
      <c r="J218" s="115">
        <v>0.47708333333333336</v>
      </c>
      <c r="K218" s="116">
        <v>1292.0</v>
      </c>
      <c r="L218" s="113">
        <v>6729880.0</v>
      </c>
      <c r="M218" s="114" t="s">
        <v>312</v>
      </c>
      <c r="N218" s="113">
        <v>1496.41</v>
      </c>
    </row>
    <row r="219">
      <c r="A219" s="117" t="s">
        <v>432</v>
      </c>
      <c r="B219" s="113">
        <v>22940.0</v>
      </c>
      <c r="C219" s="114">
        <v>2.64</v>
      </c>
      <c r="D219" s="114">
        <v>-1.55</v>
      </c>
      <c r="E219" s="114">
        <v>26.74</v>
      </c>
      <c r="F219" s="113">
        <v>22350.0</v>
      </c>
      <c r="G219" s="113">
        <v>22530.0</v>
      </c>
      <c r="H219" s="113">
        <v>22530.0</v>
      </c>
      <c r="I219" s="113">
        <v>23080.0</v>
      </c>
      <c r="J219" s="115">
        <v>0.47708333333333336</v>
      </c>
      <c r="K219" s="116">
        <v>13858.0</v>
      </c>
      <c r="L219" s="113">
        <v>3.1739953E8</v>
      </c>
      <c r="M219" s="114" t="s">
        <v>185</v>
      </c>
      <c r="N219" s="113">
        <v>1526.28</v>
      </c>
    </row>
    <row r="220">
      <c r="A220" s="117" t="s">
        <v>433</v>
      </c>
      <c r="B220" s="114">
        <v>15.81</v>
      </c>
      <c r="C220" s="114">
        <v>2.8</v>
      </c>
      <c r="D220" s="114">
        <v>1.54</v>
      </c>
      <c r="E220" s="114">
        <v>29.27</v>
      </c>
      <c r="F220" s="114">
        <v>15.38</v>
      </c>
      <c r="G220" s="114">
        <v>15.57</v>
      </c>
      <c r="H220" s="114">
        <v>15.56</v>
      </c>
      <c r="I220" s="114">
        <v>15.97</v>
      </c>
      <c r="J220" s="115">
        <v>0.47708333333333336</v>
      </c>
      <c r="K220" s="116">
        <v>2510.0</v>
      </c>
      <c r="L220" s="113">
        <v>39366.0</v>
      </c>
      <c r="M220" s="114" t="s">
        <v>175</v>
      </c>
      <c r="N220" s="114" t="s">
        <v>175</v>
      </c>
    </row>
    <row r="221">
      <c r="A221" s="117" t="s">
        <v>434</v>
      </c>
      <c r="B221" s="113">
        <v>12980.0</v>
      </c>
      <c r="C221" s="114">
        <v>0.39</v>
      </c>
      <c r="D221" s="114">
        <v>2.29</v>
      </c>
      <c r="E221" s="114">
        <v>5.44</v>
      </c>
      <c r="F221" s="113">
        <v>12930.0</v>
      </c>
      <c r="G221" s="113">
        <v>12960.0</v>
      </c>
      <c r="H221" s="113">
        <v>12900.0</v>
      </c>
      <c r="I221" s="113">
        <v>13040.0</v>
      </c>
      <c r="J221" s="115">
        <v>0.47708333333333336</v>
      </c>
      <c r="K221" s="116">
        <v>2479.0</v>
      </c>
      <c r="L221" s="113">
        <v>3.211932E7</v>
      </c>
      <c r="M221" s="114" t="s">
        <v>267</v>
      </c>
      <c r="N221" s="113">
        <v>1505.41</v>
      </c>
    </row>
    <row r="222">
      <c r="A222" s="117" t="s">
        <v>435</v>
      </c>
      <c r="B222" s="114">
        <v>9.0</v>
      </c>
      <c r="C222" s="114">
        <v>1.12</v>
      </c>
      <c r="D222" s="114">
        <v>4.29</v>
      </c>
      <c r="E222" s="114">
        <v>8.83</v>
      </c>
      <c r="F222" s="114">
        <v>8.9</v>
      </c>
      <c r="G222" s="114">
        <v>8.98</v>
      </c>
      <c r="H222" s="114">
        <v>8.94</v>
      </c>
      <c r="I222" s="114">
        <v>9.07</v>
      </c>
      <c r="J222" s="115">
        <v>0.47708333333333336</v>
      </c>
      <c r="K222" s="114">
        <v>178.0</v>
      </c>
      <c r="L222" s="113">
        <v>1601.0</v>
      </c>
      <c r="M222" s="114" t="s">
        <v>175</v>
      </c>
      <c r="N222" s="114" t="s">
        <v>175</v>
      </c>
    </row>
    <row r="223">
      <c r="A223" s="117" t="s">
        <v>436</v>
      </c>
      <c r="B223" s="113">
        <v>11470.0</v>
      </c>
      <c r="C223" s="114">
        <v>2.96</v>
      </c>
      <c r="D223" s="114">
        <v>-4.42</v>
      </c>
      <c r="E223" s="114">
        <v>26.25</v>
      </c>
      <c r="F223" s="113">
        <v>11140.0</v>
      </c>
      <c r="G223" s="113">
        <v>11480.0</v>
      </c>
      <c r="H223" s="113">
        <v>11480.0</v>
      </c>
      <c r="I223" s="113">
        <v>11480.0</v>
      </c>
      <c r="J223" s="115">
        <v>0.4597222222222222</v>
      </c>
      <c r="K223" s="114">
        <v>4.0</v>
      </c>
      <c r="L223" s="113">
        <v>45920.0</v>
      </c>
      <c r="M223" s="114" t="s">
        <v>185</v>
      </c>
      <c r="N223" s="114" t="s">
        <v>175</v>
      </c>
    </row>
    <row r="224">
      <c r="A224" s="117" t="s">
        <v>437</v>
      </c>
      <c r="B224" s="113">
        <v>9480.0</v>
      </c>
      <c r="C224" s="114">
        <v>-4.24</v>
      </c>
      <c r="D224" s="114">
        <v>-2.72</v>
      </c>
      <c r="E224" s="114">
        <v>-0.05</v>
      </c>
      <c r="F224" s="113">
        <v>9900.0</v>
      </c>
      <c r="G224" s="113">
        <v>9610.0</v>
      </c>
      <c r="H224" s="113">
        <v>9390.0</v>
      </c>
      <c r="I224" s="113">
        <v>9610.0</v>
      </c>
      <c r="J224" s="115">
        <v>0.47708333333333336</v>
      </c>
      <c r="K224" s="116">
        <v>9060.0</v>
      </c>
      <c r="L224" s="113">
        <v>8.5809625E7</v>
      </c>
      <c r="M224" s="114" t="s">
        <v>189</v>
      </c>
      <c r="N224" s="113">
        <v>1422.36</v>
      </c>
    </row>
    <row r="225">
      <c r="A225" s="117" t="s">
        <v>438</v>
      </c>
      <c r="B225" s="114">
        <v>6.61</v>
      </c>
      <c r="C225" s="114">
        <v>-2.94</v>
      </c>
      <c r="D225" s="114">
        <v>-4.12</v>
      </c>
      <c r="E225" s="114">
        <v>1.4</v>
      </c>
      <c r="F225" s="114">
        <v>6.81</v>
      </c>
      <c r="G225" s="114">
        <v>6.74</v>
      </c>
      <c r="H225" s="114">
        <v>6.36</v>
      </c>
      <c r="I225" s="114">
        <v>6.74</v>
      </c>
      <c r="J225" s="115">
        <v>0.47708333333333336</v>
      </c>
      <c r="K225" s="116">
        <v>1280.0</v>
      </c>
      <c r="L225" s="113">
        <v>8396.0</v>
      </c>
      <c r="M225" s="114" t="s">
        <v>175</v>
      </c>
      <c r="N225" s="114" t="s">
        <v>175</v>
      </c>
    </row>
    <row r="226">
      <c r="A226" s="117" t="s">
        <v>439</v>
      </c>
      <c r="B226" s="113">
        <v>15120.0</v>
      </c>
      <c r="C226" s="114">
        <v>-0.92</v>
      </c>
      <c r="D226" s="114">
        <v>-0.33</v>
      </c>
      <c r="E226" s="114">
        <v>3.49</v>
      </c>
      <c r="F226" s="113">
        <v>15260.0</v>
      </c>
      <c r="G226" s="113">
        <v>15220.0</v>
      </c>
      <c r="H226" s="113">
        <v>15080.0</v>
      </c>
      <c r="I226" s="113">
        <v>15300.0</v>
      </c>
      <c r="J226" s="115">
        <v>0.47708333333333336</v>
      </c>
      <c r="K226" s="116">
        <v>4713.0</v>
      </c>
      <c r="L226" s="113">
        <v>7.167974E7</v>
      </c>
      <c r="M226" s="114" t="s">
        <v>187</v>
      </c>
      <c r="N226" s="113">
        <v>1480.51</v>
      </c>
    </row>
    <row r="227">
      <c r="A227" s="117" t="s">
        <v>440</v>
      </c>
      <c r="B227" s="114">
        <v>10.5</v>
      </c>
      <c r="C227" s="114">
        <v>-0.28</v>
      </c>
      <c r="D227" s="114">
        <v>0.86</v>
      </c>
      <c r="E227" s="114">
        <v>5.95</v>
      </c>
      <c r="F227" s="114">
        <v>10.53</v>
      </c>
      <c r="G227" s="114">
        <v>10.48</v>
      </c>
      <c r="H227" s="114">
        <v>10.4</v>
      </c>
      <c r="I227" s="114">
        <v>10.59</v>
      </c>
      <c r="J227" s="115">
        <v>0.47708333333333336</v>
      </c>
      <c r="K227" s="114">
        <v>36.0</v>
      </c>
      <c r="L227" s="114">
        <v>376.0</v>
      </c>
      <c r="M227" s="114" t="s">
        <v>175</v>
      </c>
      <c r="N227" s="114" t="s">
        <v>175</v>
      </c>
    </row>
    <row r="228">
      <c r="A228" s="117" t="s">
        <v>441</v>
      </c>
      <c r="B228" s="113">
        <v>4707.5</v>
      </c>
      <c r="C228" s="114">
        <v>-0.05</v>
      </c>
      <c r="D228" s="114">
        <v>-0.53</v>
      </c>
      <c r="E228" s="114">
        <v>-16.61</v>
      </c>
      <c r="F228" s="113">
        <v>4710.0</v>
      </c>
      <c r="G228" s="113">
        <v>4752.5</v>
      </c>
      <c r="H228" s="113">
        <v>4640.0</v>
      </c>
      <c r="I228" s="113">
        <v>4752.5</v>
      </c>
      <c r="J228" s="115">
        <v>0.47708333333333336</v>
      </c>
      <c r="K228" s="114">
        <v>31.0</v>
      </c>
      <c r="L228" s="113">
        <v>147170.0</v>
      </c>
      <c r="M228" s="114" t="s">
        <v>442</v>
      </c>
      <c r="N228" s="113">
        <v>1497.84</v>
      </c>
    </row>
    <row r="229">
      <c r="A229" s="117" t="s">
        <v>443</v>
      </c>
      <c r="B229" s="113">
        <v>30280.0</v>
      </c>
      <c r="C229" s="114">
        <v>1.0</v>
      </c>
      <c r="D229" s="114">
        <v>2.37</v>
      </c>
      <c r="E229" s="114">
        <v>11.0</v>
      </c>
      <c r="F229" s="113">
        <v>29980.0</v>
      </c>
      <c r="G229" s="113">
        <v>30060.0</v>
      </c>
      <c r="H229" s="113">
        <v>30060.0</v>
      </c>
      <c r="I229" s="113">
        <v>30280.0</v>
      </c>
      <c r="J229" s="115">
        <v>0.47708333333333336</v>
      </c>
      <c r="K229" s="114">
        <v>3.0</v>
      </c>
      <c r="L229" s="113">
        <v>90400.0</v>
      </c>
      <c r="M229" s="114" t="s">
        <v>231</v>
      </c>
      <c r="N229" s="114" t="s">
        <v>175</v>
      </c>
    </row>
    <row r="230">
      <c r="A230" s="117" t="s">
        <v>444</v>
      </c>
      <c r="B230" s="113">
        <v>82000.0</v>
      </c>
      <c r="C230" s="114">
        <v>11.19</v>
      </c>
      <c r="D230" s="114">
        <v>11.6</v>
      </c>
      <c r="E230" s="114">
        <v>-11.45</v>
      </c>
      <c r="F230" s="113">
        <v>73750.0</v>
      </c>
      <c r="G230" s="113">
        <v>77400.0</v>
      </c>
      <c r="H230" s="113">
        <v>77400.0</v>
      </c>
      <c r="I230" s="113">
        <v>82600.0</v>
      </c>
      <c r="J230" s="115">
        <v>0.47708333333333336</v>
      </c>
      <c r="K230" s="116">
        <v>94949.0</v>
      </c>
      <c r="L230" s="113">
        <v>7.770746875E9</v>
      </c>
      <c r="M230" s="114" t="s">
        <v>231</v>
      </c>
      <c r="N230" s="113">
        <v>1664.86</v>
      </c>
    </row>
    <row r="231">
      <c r="A231" s="117" t="s">
        <v>445</v>
      </c>
      <c r="B231" s="113">
        <v>14980.0</v>
      </c>
      <c r="C231" s="114">
        <v>0.54</v>
      </c>
      <c r="D231" s="114">
        <v>0.4</v>
      </c>
      <c r="E231" s="114">
        <v>9.34</v>
      </c>
      <c r="F231" s="113">
        <v>14900.0</v>
      </c>
      <c r="G231" s="113">
        <v>14880.0</v>
      </c>
      <c r="H231" s="113">
        <v>14790.0</v>
      </c>
      <c r="I231" s="113">
        <v>15060.0</v>
      </c>
      <c r="J231" s="115">
        <v>0.47708333333333336</v>
      </c>
      <c r="K231" s="114">
        <v>66.0</v>
      </c>
      <c r="L231" s="113">
        <v>982570.0</v>
      </c>
      <c r="M231" s="114" t="s">
        <v>267</v>
      </c>
      <c r="N231" s="113">
        <v>1498.5</v>
      </c>
    </row>
    <row r="232">
      <c r="A232" s="117" t="s">
        <v>446</v>
      </c>
      <c r="B232" s="113">
        <v>7470.0</v>
      </c>
      <c r="C232" s="114">
        <v>4.99</v>
      </c>
      <c r="D232" s="114">
        <v>3.75</v>
      </c>
      <c r="E232" s="114">
        <v>31.28</v>
      </c>
      <c r="F232" s="113">
        <v>7115.0</v>
      </c>
      <c r="G232" s="113">
        <v>7280.0</v>
      </c>
      <c r="H232" s="113">
        <v>7280.0</v>
      </c>
      <c r="I232" s="113">
        <v>7470.0</v>
      </c>
      <c r="J232" s="115">
        <v>0.47708333333333336</v>
      </c>
      <c r="K232" s="114">
        <v>15.0</v>
      </c>
      <c r="L232" s="113">
        <v>110515.0</v>
      </c>
      <c r="M232" s="114" t="s">
        <v>173</v>
      </c>
      <c r="N232" s="114" t="s">
        <v>175</v>
      </c>
    </row>
    <row r="233">
      <c r="A233" s="117" t="s">
        <v>447</v>
      </c>
      <c r="B233" s="113">
        <v>35220.0</v>
      </c>
      <c r="C233" s="114">
        <v>-0.79</v>
      </c>
      <c r="D233" s="114">
        <v>-1.45</v>
      </c>
      <c r="E233" s="114">
        <v>7.64</v>
      </c>
      <c r="F233" s="113">
        <v>35500.0</v>
      </c>
      <c r="G233" s="113">
        <v>36000.0</v>
      </c>
      <c r="H233" s="113">
        <v>35220.0</v>
      </c>
      <c r="I233" s="113">
        <v>36000.0</v>
      </c>
      <c r="J233" s="115">
        <v>0.46875</v>
      </c>
      <c r="K233" s="114">
        <v>10.0</v>
      </c>
      <c r="L233" s="113">
        <v>353780.0</v>
      </c>
      <c r="M233" s="114" t="s">
        <v>200</v>
      </c>
      <c r="N233" s="113">
        <v>1485.66</v>
      </c>
    </row>
    <row r="234">
      <c r="A234" s="117" t="s">
        <v>448</v>
      </c>
      <c r="B234" s="113">
        <v>8090.0</v>
      </c>
      <c r="C234" s="114">
        <v>-17.95</v>
      </c>
      <c r="D234" s="114">
        <v>-17.78</v>
      </c>
      <c r="E234" s="114">
        <v>-28.22</v>
      </c>
      <c r="F234" s="113">
        <v>9860.0</v>
      </c>
      <c r="G234" s="113">
        <v>9310.0</v>
      </c>
      <c r="H234" s="113">
        <v>7975.0</v>
      </c>
      <c r="I234" s="113">
        <v>9310.0</v>
      </c>
      <c r="J234" s="115">
        <v>0.47708333333333336</v>
      </c>
      <c r="K234" s="116">
        <v>143756.0</v>
      </c>
      <c r="L234" s="113">
        <v>1.16000288E9</v>
      </c>
      <c r="M234" s="114" t="s">
        <v>277</v>
      </c>
      <c r="N234" s="113">
        <v>1236.77</v>
      </c>
    </row>
    <row r="235">
      <c r="A235" s="117" t="s">
        <v>449</v>
      </c>
      <c r="B235" s="113">
        <v>20510.0</v>
      </c>
      <c r="C235" s="114">
        <v>-0.97</v>
      </c>
      <c r="D235" s="114">
        <v>-1.3</v>
      </c>
      <c r="E235" s="114">
        <v>-14.51</v>
      </c>
      <c r="F235" s="113">
        <v>20710.0</v>
      </c>
      <c r="G235" s="113">
        <v>20620.0</v>
      </c>
      <c r="H235" s="113">
        <v>20380.0</v>
      </c>
      <c r="I235" s="113">
        <v>20670.0</v>
      </c>
      <c r="J235" s="115">
        <v>0.47708333333333336</v>
      </c>
      <c r="K235" s="114">
        <v>293.0</v>
      </c>
      <c r="L235" s="113">
        <v>6001440.0</v>
      </c>
      <c r="M235" s="114" t="s">
        <v>240</v>
      </c>
      <c r="N235" s="113">
        <v>1478.25</v>
      </c>
    </row>
    <row r="236">
      <c r="A236" s="117" t="s">
        <v>450</v>
      </c>
      <c r="B236" s="113">
        <v>46880.0</v>
      </c>
      <c r="C236" s="114">
        <v>0.04</v>
      </c>
      <c r="D236" s="114">
        <v>0.21</v>
      </c>
      <c r="E236" s="114">
        <v>-1.51</v>
      </c>
      <c r="F236" s="113">
        <v>46860.0</v>
      </c>
      <c r="G236" s="113">
        <v>47580.0</v>
      </c>
      <c r="H236" s="113">
        <v>46680.0</v>
      </c>
      <c r="I236" s="113">
        <v>47580.0</v>
      </c>
      <c r="J236" s="115">
        <v>0.47708333333333336</v>
      </c>
      <c r="K236" s="116">
        <v>3481.0</v>
      </c>
      <c r="L236" s="113">
        <v>1.6337638E8</v>
      </c>
      <c r="M236" s="114" t="s">
        <v>179</v>
      </c>
      <c r="N236" s="113">
        <v>1497.43</v>
      </c>
    </row>
    <row r="237">
      <c r="A237" s="117" t="s">
        <v>451</v>
      </c>
      <c r="B237" s="114">
        <v>32.26</v>
      </c>
      <c r="C237" s="114">
        <v>-0.19</v>
      </c>
      <c r="D237" s="114">
        <v>0.47</v>
      </c>
      <c r="E237" s="114">
        <v>1.13</v>
      </c>
      <c r="F237" s="114">
        <v>32.32</v>
      </c>
      <c r="G237" s="114">
        <v>32.37</v>
      </c>
      <c r="H237" s="114">
        <v>32.25</v>
      </c>
      <c r="I237" s="114">
        <v>32.75</v>
      </c>
      <c r="J237" s="115">
        <v>0.47708333333333336</v>
      </c>
      <c r="K237" s="114">
        <v>590.0</v>
      </c>
      <c r="L237" s="113">
        <v>19131.0</v>
      </c>
      <c r="M237" s="114" t="s">
        <v>175</v>
      </c>
      <c r="N237" s="114" t="s">
        <v>175</v>
      </c>
    </row>
    <row r="238">
      <c r="A238" s="117" t="s">
        <v>452</v>
      </c>
      <c r="B238" s="113">
        <v>6025.0</v>
      </c>
      <c r="C238" s="114">
        <v>-0.82</v>
      </c>
      <c r="D238" s="114">
        <v>-0.58</v>
      </c>
      <c r="E238" s="114">
        <v>-12.17</v>
      </c>
      <c r="F238" s="113">
        <v>6075.0</v>
      </c>
      <c r="G238" s="113">
        <v>6105.0</v>
      </c>
      <c r="H238" s="113">
        <v>5990.0</v>
      </c>
      <c r="I238" s="113">
        <v>6105.0</v>
      </c>
      <c r="J238" s="115">
        <v>0.47708333333333336</v>
      </c>
      <c r="K238" s="114">
        <v>728.0</v>
      </c>
      <c r="L238" s="113">
        <v>4383525.0</v>
      </c>
      <c r="M238" s="114" t="s">
        <v>453</v>
      </c>
      <c r="N238" s="113">
        <v>1486.86</v>
      </c>
    </row>
    <row r="239">
      <c r="A239" s="117" t="s">
        <v>454</v>
      </c>
      <c r="B239" s="113">
        <v>49500.0</v>
      </c>
      <c r="C239" s="114">
        <v>-2.75</v>
      </c>
      <c r="D239" s="114">
        <v>0.77</v>
      </c>
      <c r="E239" s="114">
        <v>-21.02</v>
      </c>
      <c r="F239" s="113">
        <v>50900.0</v>
      </c>
      <c r="G239" s="113">
        <v>50750.0</v>
      </c>
      <c r="H239" s="113">
        <v>49500.0</v>
      </c>
      <c r="I239" s="113">
        <v>50775.0</v>
      </c>
      <c r="J239" s="115">
        <v>0.47708333333333336</v>
      </c>
      <c r="K239" s="114">
        <v>232.0</v>
      </c>
      <c r="L239" s="113">
        <v>1.1583855E7</v>
      </c>
      <c r="M239" s="114" t="s">
        <v>173</v>
      </c>
      <c r="N239" s="113">
        <v>1467.1</v>
      </c>
    </row>
    <row r="240">
      <c r="A240" s="117" t="s">
        <v>455</v>
      </c>
      <c r="B240" s="113">
        <v>7190.0</v>
      </c>
      <c r="C240" s="114">
        <v>2.28</v>
      </c>
      <c r="D240" s="114">
        <v>2.13</v>
      </c>
      <c r="E240" s="114">
        <v>17.87</v>
      </c>
      <c r="F240" s="113">
        <v>7030.0</v>
      </c>
      <c r="G240" s="113">
        <v>7190.0</v>
      </c>
      <c r="H240" s="113">
        <v>7190.0</v>
      </c>
      <c r="I240" s="113">
        <v>7190.0</v>
      </c>
      <c r="J240" s="115">
        <v>0.4701388888888889</v>
      </c>
      <c r="K240" s="114">
        <v>3.0</v>
      </c>
      <c r="L240" s="113">
        <v>21570.0</v>
      </c>
      <c r="M240" s="114" t="s">
        <v>173</v>
      </c>
      <c r="N240" s="114" t="s">
        <v>175</v>
      </c>
    </row>
    <row r="241">
      <c r="A241" s="117" t="s">
        <v>456</v>
      </c>
      <c r="B241" s="113">
        <v>17710.0</v>
      </c>
      <c r="C241" s="114">
        <v>2.43</v>
      </c>
      <c r="D241" s="114">
        <v>2.67</v>
      </c>
      <c r="E241" s="114">
        <v>15.0</v>
      </c>
      <c r="F241" s="113">
        <v>17290.0</v>
      </c>
      <c r="G241" s="113">
        <v>17510.0</v>
      </c>
      <c r="H241" s="113">
        <v>17510.0</v>
      </c>
      <c r="I241" s="113">
        <v>17880.0</v>
      </c>
      <c r="J241" s="115">
        <v>0.47708333333333336</v>
      </c>
      <c r="K241" s="114">
        <v>930.0</v>
      </c>
      <c r="L241" s="113">
        <v>1.647209E7</v>
      </c>
      <c r="M241" s="114" t="s">
        <v>277</v>
      </c>
      <c r="N241" s="113">
        <v>1531.34</v>
      </c>
    </row>
    <row r="242">
      <c r="A242" s="117" t="s">
        <v>457</v>
      </c>
      <c r="B242" s="114">
        <v>12.29</v>
      </c>
      <c r="C242" s="114">
        <v>3.36</v>
      </c>
      <c r="D242" s="114">
        <v>4.33</v>
      </c>
      <c r="E242" s="114">
        <v>18.29</v>
      </c>
      <c r="F242" s="114">
        <v>11.89</v>
      </c>
      <c r="G242" s="114">
        <v>12.01</v>
      </c>
      <c r="H242" s="114">
        <v>12.01</v>
      </c>
      <c r="I242" s="114">
        <v>12.48</v>
      </c>
      <c r="J242" s="115">
        <v>0.47708333333333336</v>
      </c>
      <c r="K242" s="114">
        <v>370.0</v>
      </c>
      <c r="L242" s="113">
        <v>4528.0</v>
      </c>
      <c r="M242" s="114" t="s">
        <v>175</v>
      </c>
      <c r="N242" s="114" t="s">
        <v>175</v>
      </c>
    </row>
    <row r="243">
      <c r="A243" s="117" t="s">
        <v>458</v>
      </c>
      <c r="B243" s="113">
        <v>7690.0</v>
      </c>
      <c r="C243" s="114">
        <v>-1.28</v>
      </c>
      <c r="D243" s="114">
        <v>-1.28</v>
      </c>
      <c r="E243" s="114">
        <v>16.16</v>
      </c>
      <c r="F243" s="113">
        <v>7790.0</v>
      </c>
      <c r="G243" s="113">
        <v>7685.0</v>
      </c>
      <c r="H243" s="113">
        <v>7675.0</v>
      </c>
      <c r="I243" s="113">
        <v>7800.0</v>
      </c>
      <c r="J243" s="115">
        <v>0.47708333333333336</v>
      </c>
      <c r="K243" s="116">
        <v>1103.0</v>
      </c>
      <c r="L243" s="113">
        <v>8524880.0</v>
      </c>
      <c r="M243" s="114" t="s">
        <v>231</v>
      </c>
      <c r="N243" s="113">
        <v>1505.87</v>
      </c>
    </row>
    <row r="244">
      <c r="A244" s="117" t="s">
        <v>459</v>
      </c>
      <c r="B244" s="113">
        <v>11190.0</v>
      </c>
      <c r="C244" s="114">
        <v>0.63</v>
      </c>
      <c r="D244" s="114">
        <v>0.72</v>
      </c>
      <c r="E244" s="114">
        <v>-14.78</v>
      </c>
      <c r="F244" s="113">
        <v>11120.0</v>
      </c>
      <c r="G244" s="113">
        <v>11280.0</v>
      </c>
      <c r="H244" s="113">
        <v>10960.0</v>
      </c>
      <c r="I244" s="113">
        <v>11280.0</v>
      </c>
      <c r="J244" s="115">
        <v>0.47708333333333336</v>
      </c>
      <c r="K244" s="114">
        <v>32.0</v>
      </c>
      <c r="L244" s="113">
        <v>357670.0</v>
      </c>
      <c r="M244" s="114" t="s">
        <v>242</v>
      </c>
      <c r="N244" s="113">
        <v>1512.48</v>
      </c>
    </row>
    <row r="245">
      <c r="A245" s="117" t="s">
        <v>460</v>
      </c>
      <c r="B245" s="113">
        <v>71400.0</v>
      </c>
      <c r="C245" s="114">
        <v>0.11</v>
      </c>
      <c r="D245" s="114">
        <v>1.89</v>
      </c>
      <c r="E245" s="114">
        <v>2.7</v>
      </c>
      <c r="F245" s="113">
        <v>71325.0</v>
      </c>
      <c r="G245" s="114" t="s">
        <v>175</v>
      </c>
      <c r="H245" s="114" t="s">
        <v>175</v>
      </c>
      <c r="I245" s="114" t="s">
        <v>175</v>
      </c>
      <c r="J245" s="115">
        <v>0.47291666666666665</v>
      </c>
      <c r="K245" s="114" t="s">
        <v>175</v>
      </c>
      <c r="L245" s="114" t="s">
        <v>175</v>
      </c>
      <c r="M245" s="114" t="s">
        <v>189</v>
      </c>
      <c r="N245" s="113">
        <v>1502.29</v>
      </c>
    </row>
    <row r="246">
      <c r="A246" s="117" t="s">
        <v>461</v>
      </c>
      <c r="B246" s="113">
        <v>59500.0</v>
      </c>
      <c r="C246" s="114">
        <v>-0.87</v>
      </c>
      <c r="D246" s="114">
        <v>-1.41</v>
      </c>
      <c r="E246" s="114">
        <v>6.3</v>
      </c>
      <c r="F246" s="113">
        <v>60025.0</v>
      </c>
      <c r="G246" s="113">
        <v>59975.0</v>
      </c>
      <c r="H246" s="113">
        <v>59500.0</v>
      </c>
      <c r="I246" s="113">
        <v>60225.0</v>
      </c>
      <c r="J246" s="115">
        <v>0.47708333333333336</v>
      </c>
      <c r="K246" s="114">
        <v>28.0</v>
      </c>
      <c r="L246" s="113">
        <v>1674100.0</v>
      </c>
      <c r="M246" s="114" t="s">
        <v>202</v>
      </c>
      <c r="N246" s="113">
        <v>1479.44</v>
      </c>
    </row>
    <row r="247">
      <c r="A247" s="117" t="s">
        <v>462</v>
      </c>
      <c r="B247" s="113">
        <v>77725.0</v>
      </c>
      <c r="C247" s="114">
        <v>-0.42</v>
      </c>
      <c r="D247" s="114">
        <v>1.14</v>
      </c>
      <c r="E247" s="114">
        <v>7.95</v>
      </c>
      <c r="F247" s="113">
        <v>78050.0</v>
      </c>
      <c r="G247" s="113">
        <v>78050.0</v>
      </c>
      <c r="H247" s="113">
        <v>77700.0</v>
      </c>
      <c r="I247" s="113">
        <v>78450.0</v>
      </c>
      <c r="J247" s="115">
        <v>0.47708333333333336</v>
      </c>
      <c r="K247" s="114">
        <v>212.0</v>
      </c>
      <c r="L247" s="113">
        <v>1.65501E7</v>
      </c>
      <c r="M247" s="114" t="s">
        <v>308</v>
      </c>
      <c r="N247" s="113">
        <v>1487.84</v>
      </c>
    </row>
    <row r="248">
      <c r="A248" s="117" t="s">
        <v>463</v>
      </c>
      <c r="B248" s="113">
        <v>49960.0</v>
      </c>
      <c r="C248" s="114">
        <v>-3.08</v>
      </c>
      <c r="D248" s="114">
        <v>-1.31</v>
      </c>
      <c r="E248" s="114">
        <v>-19.81</v>
      </c>
      <c r="F248" s="113">
        <v>51550.0</v>
      </c>
      <c r="G248" s="113">
        <v>51300.0</v>
      </c>
      <c r="H248" s="113">
        <v>49700.0</v>
      </c>
      <c r="I248" s="113">
        <v>51300.0</v>
      </c>
      <c r="J248" s="115">
        <v>0.47708333333333336</v>
      </c>
      <c r="K248" s="114">
        <v>215.0</v>
      </c>
      <c r="L248" s="113">
        <v>1.081763E7</v>
      </c>
      <c r="M248" s="114" t="s">
        <v>200</v>
      </c>
      <c r="N248" s="113">
        <v>1446.51</v>
      </c>
    </row>
    <row r="249">
      <c r="A249" s="117" t="s">
        <v>464</v>
      </c>
      <c r="B249" s="114">
        <v>34.9</v>
      </c>
      <c r="C249" s="114">
        <v>-1.08</v>
      </c>
      <c r="D249" s="114">
        <v>-0.71</v>
      </c>
      <c r="E249" s="114">
        <v>-16.9</v>
      </c>
      <c r="F249" s="114">
        <v>35.28</v>
      </c>
      <c r="G249" s="114">
        <v>35.0</v>
      </c>
      <c r="H249" s="114">
        <v>34.9</v>
      </c>
      <c r="I249" s="114">
        <v>35.0</v>
      </c>
      <c r="J249" s="115">
        <v>0.47152777777777777</v>
      </c>
      <c r="K249" s="114">
        <v>96.0</v>
      </c>
      <c r="L249" s="113">
        <v>3351.0</v>
      </c>
      <c r="M249" s="114" t="s">
        <v>175</v>
      </c>
      <c r="N249" s="114" t="s">
        <v>175</v>
      </c>
    </row>
    <row r="250">
      <c r="A250" s="117" t="s">
        <v>465</v>
      </c>
      <c r="B250" s="113">
        <v>5835.0</v>
      </c>
      <c r="C250" s="114">
        <v>-1.44</v>
      </c>
      <c r="D250" s="114">
        <v>-25.38</v>
      </c>
      <c r="E250" s="114">
        <v>104.2</v>
      </c>
      <c r="F250" s="113">
        <v>5920.0</v>
      </c>
      <c r="G250" s="113">
        <v>6030.0</v>
      </c>
      <c r="H250" s="113">
        <v>5750.0</v>
      </c>
      <c r="I250" s="113">
        <v>6030.0</v>
      </c>
      <c r="J250" s="115">
        <v>0.47708333333333336</v>
      </c>
      <c r="K250" s="116">
        <v>40237.0</v>
      </c>
      <c r="L250" s="113">
        <v>2.38560325E8</v>
      </c>
      <c r="M250" s="114" t="s">
        <v>185</v>
      </c>
      <c r="N250" s="113">
        <v>1585.6</v>
      </c>
    </row>
    <row r="251">
      <c r="A251" s="117" t="s">
        <v>466</v>
      </c>
      <c r="B251" s="113">
        <v>83775.0</v>
      </c>
      <c r="C251" s="114">
        <v>3.59</v>
      </c>
      <c r="D251" s="114">
        <v>3.11</v>
      </c>
      <c r="E251" s="114">
        <v>8.41</v>
      </c>
      <c r="F251" s="113">
        <v>80875.0</v>
      </c>
      <c r="G251" s="114" t="s">
        <v>175</v>
      </c>
      <c r="H251" s="114" t="s">
        <v>175</v>
      </c>
      <c r="I251" s="114" t="s">
        <v>175</v>
      </c>
      <c r="J251" s="115">
        <v>0.4673611111111111</v>
      </c>
      <c r="K251" s="114" t="s">
        <v>175</v>
      </c>
      <c r="L251" s="114" t="s">
        <v>175</v>
      </c>
      <c r="M251" s="114" t="s">
        <v>212</v>
      </c>
      <c r="N251" s="113">
        <v>1532.66</v>
      </c>
    </row>
    <row r="252">
      <c r="A252" s="117" t="s">
        <v>467</v>
      </c>
      <c r="B252" s="113">
        <v>11350.0</v>
      </c>
      <c r="C252" s="114">
        <v>-0.53</v>
      </c>
      <c r="D252" s="114">
        <v>-2.16</v>
      </c>
      <c r="E252" s="114">
        <v>5.39</v>
      </c>
      <c r="F252" s="113">
        <v>11410.0</v>
      </c>
      <c r="G252" s="113">
        <v>11260.0</v>
      </c>
      <c r="H252" s="113">
        <v>11260.0</v>
      </c>
      <c r="I252" s="113">
        <v>11470.0</v>
      </c>
      <c r="J252" s="115">
        <v>0.47708333333333336</v>
      </c>
      <c r="K252" s="114">
        <v>114.0</v>
      </c>
      <c r="L252" s="113">
        <v>1292400.0</v>
      </c>
      <c r="M252" s="114" t="s">
        <v>286</v>
      </c>
      <c r="N252" s="113">
        <v>1485.44</v>
      </c>
    </row>
    <row r="253">
      <c r="A253" s="117" t="s">
        <v>468</v>
      </c>
      <c r="B253" s="113">
        <v>150750.0</v>
      </c>
      <c r="C253" s="114">
        <v>4.52</v>
      </c>
      <c r="D253" s="114">
        <v>-0.99</v>
      </c>
      <c r="E253" s="114">
        <v>35.57</v>
      </c>
      <c r="F253" s="113">
        <v>144225.0</v>
      </c>
      <c r="G253" s="113">
        <v>151150.0</v>
      </c>
      <c r="H253" s="113">
        <v>149425.0</v>
      </c>
      <c r="I253" s="113">
        <v>151550.0</v>
      </c>
      <c r="J253" s="115">
        <v>0.47708333333333336</v>
      </c>
      <c r="K253" s="114">
        <v>116.0</v>
      </c>
      <c r="L253" s="113">
        <v>1.7491225E7</v>
      </c>
      <c r="M253" s="114" t="s">
        <v>173</v>
      </c>
      <c r="N253" s="113">
        <v>1563.8</v>
      </c>
    </row>
    <row r="254">
      <c r="A254" s="117" t="s">
        <v>469</v>
      </c>
      <c r="B254" s="113">
        <v>1464.0</v>
      </c>
      <c r="C254" s="114">
        <v>-2.2</v>
      </c>
      <c r="D254" s="114">
        <v>-4.31</v>
      </c>
      <c r="E254" s="114">
        <v>-2.59</v>
      </c>
      <c r="F254" s="113">
        <v>1497.0</v>
      </c>
      <c r="G254" s="114" t="s">
        <v>175</v>
      </c>
      <c r="H254" s="114" t="s">
        <v>175</v>
      </c>
      <c r="I254" s="114" t="s">
        <v>175</v>
      </c>
      <c r="J254" s="115">
        <v>0.47152777777777777</v>
      </c>
      <c r="K254" s="114" t="s">
        <v>175</v>
      </c>
      <c r="L254" s="114" t="s">
        <v>175</v>
      </c>
      <c r="M254" s="114" t="s">
        <v>173</v>
      </c>
      <c r="N254" s="114" t="s">
        <v>175</v>
      </c>
    </row>
    <row r="255">
      <c r="A255" s="117" t="s">
        <v>470</v>
      </c>
      <c r="B255" s="113">
        <v>5290.0</v>
      </c>
      <c r="C255" s="114">
        <v>0.19</v>
      </c>
      <c r="D255" s="114">
        <v>-4.28</v>
      </c>
      <c r="E255" s="114">
        <v>-14.33</v>
      </c>
      <c r="F255" s="113">
        <v>5280.0</v>
      </c>
      <c r="G255" s="113">
        <v>5295.0</v>
      </c>
      <c r="H255" s="113">
        <v>5260.0</v>
      </c>
      <c r="I255" s="113">
        <v>5320.0</v>
      </c>
      <c r="J255" s="115">
        <v>0.47708333333333336</v>
      </c>
      <c r="K255" s="114">
        <v>946.0</v>
      </c>
      <c r="L255" s="113">
        <v>5008095.0</v>
      </c>
      <c r="M255" s="114" t="s">
        <v>326</v>
      </c>
      <c r="N255" s="113">
        <v>1490.27</v>
      </c>
    </row>
    <row r="256">
      <c r="A256" s="117" t="s">
        <v>471</v>
      </c>
      <c r="B256" s="114">
        <v>3.65</v>
      </c>
      <c r="C256" s="114">
        <v>0.27</v>
      </c>
      <c r="D256" s="114">
        <v>-3.44</v>
      </c>
      <c r="E256" s="114">
        <v>-13.3</v>
      </c>
      <c r="F256" s="114">
        <v>3.64</v>
      </c>
      <c r="G256" s="114">
        <v>3.65</v>
      </c>
      <c r="H256" s="114">
        <v>3.65</v>
      </c>
      <c r="I256" s="114">
        <v>3.65</v>
      </c>
      <c r="J256" s="115">
        <v>0.4673611111111111</v>
      </c>
      <c r="K256" s="114">
        <v>9.0</v>
      </c>
      <c r="L256" s="114">
        <v>33.0</v>
      </c>
      <c r="M256" s="114" t="s">
        <v>175</v>
      </c>
      <c r="N256" s="114" t="s">
        <v>175</v>
      </c>
    </row>
    <row r="257">
      <c r="A257" s="117" t="s">
        <v>472</v>
      </c>
      <c r="B257" s="113">
        <v>6620.0</v>
      </c>
      <c r="C257" s="114">
        <v>-0.15</v>
      </c>
      <c r="D257" s="114">
        <v>-1.56</v>
      </c>
      <c r="E257" s="114">
        <v>-2.86</v>
      </c>
      <c r="F257" s="113">
        <v>6630.0</v>
      </c>
      <c r="G257" s="113">
        <v>6605.0</v>
      </c>
      <c r="H257" s="113">
        <v>6580.0</v>
      </c>
      <c r="I257" s="113">
        <v>6645.0</v>
      </c>
      <c r="J257" s="115">
        <v>0.47708333333333336</v>
      </c>
      <c r="K257" s="114">
        <v>492.0</v>
      </c>
      <c r="L257" s="113">
        <v>3244815.0</v>
      </c>
      <c r="M257" s="114" t="s">
        <v>277</v>
      </c>
      <c r="N257" s="113">
        <v>1491.83</v>
      </c>
    </row>
    <row r="258">
      <c r="A258" s="117" t="s">
        <v>473</v>
      </c>
      <c r="B258" s="114">
        <v>4.51</v>
      </c>
      <c r="C258" s="114">
        <v>-1.85</v>
      </c>
      <c r="D258" s="114">
        <v>-2.8</v>
      </c>
      <c r="E258" s="114">
        <v>-2.17</v>
      </c>
      <c r="F258" s="114">
        <v>4.59</v>
      </c>
      <c r="G258" s="114">
        <v>4.55</v>
      </c>
      <c r="H258" s="114">
        <v>4.51</v>
      </c>
      <c r="I258" s="114">
        <v>4.55</v>
      </c>
      <c r="J258" s="115">
        <v>0.47708333333333336</v>
      </c>
      <c r="K258" s="114">
        <v>25.0</v>
      </c>
      <c r="L258" s="114">
        <v>114.0</v>
      </c>
      <c r="M258" s="114" t="s">
        <v>175</v>
      </c>
      <c r="N258" s="114" t="s">
        <v>175</v>
      </c>
    </row>
    <row r="259">
      <c r="A259" s="117" t="s">
        <v>474</v>
      </c>
      <c r="B259" s="113">
        <v>56225.0</v>
      </c>
      <c r="C259" s="114">
        <v>-0.71</v>
      </c>
      <c r="D259" s="114">
        <v>-2.47</v>
      </c>
      <c r="E259" s="114">
        <v>0.67</v>
      </c>
      <c r="F259" s="113">
        <v>56625.0</v>
      </c>
      <c r="G259" s="113">
        <v>56225.0</v>
      </c>
      <c r="H259" s="113">
        <v>56050.0</v>
      </c>
      <c r="I259" s="113">
        <v>56225.0</v>
      </c>
      <c r="J259" s="115">
        <v>0.47708333333333336</v>
      </c>
      <c r="K259" s="114">
        <v>5.0</v>
      </c>
      <c r="L259" s="113">
        <v>280600.0</v>
      </c>
      <c r="M259" s="114" t="s">
        <v>173</v>
      </c>
      <c r="N259" s="113">
        <v>1484.88</v>
      </c>
    </row>
    <row r="260">
      <c r="A260" s="117" t="s">
        <v>475</v>
      </c>
      <c r="B260" s="113">
        <v>1849.0</v>
      </c>
      <c r="C260" s="114">
        <v>0.54</v>
      </c>
      <c r="D260" s="114">
        <v>-0.16</v>
      </c>
      <c r="E260" s="114">
        <v>-21.07</v>
      </c>
      <c r="F260" s="113">
        <v>1839.0</v>
      </c>
      <c r="G260" s="113">
        <v>1885.0</v>
      </c>
      <c r="H260" s="113">
        <v>1822.0</v>
      </c>
      <c r="I260" s="113">
        <v>1885.0</v>
      </c>
      <c r="J260" s="115">
        <v>0.47708333333333336</v>
      </c>
      <c r="K260" s="116">
        <v>2203.0</v>
      </c>
      <c r="L260" s="113">
        <v>4078869.0</v>
      </c>
      <c r="M260" s="114" t="s">
        <v>476</v>
      </c>
      <c r="N260" s="113">
        <v>1496.54</v>
      </c>
    </row>
    <row r="261">
      <c r="A261" s="117" t="s">
        <v>477</v>
      </c>
      <c r="B261" s="113">
        <v>23800.0</v>
      </c>
      <c r="C261" s="114">
        <v>3.93</v>
      </c>
      <c r="D261" s="114">
        <v>2.28</v>
      </c>
      <c r="E261" s="114">
        <v>20.51</v>
      </c>
      <c r="F261" s="113">
        <v>22900.0</v>
      </c>
      <c r="G261" s="113">
        <v>23500.0</v>
      </c>
      <c r="H261" s="113">
        <v>23500.0</v>
      </c>
      <c r="I261" s="113">
        <v>23800.0</v>
      </c>
      <c r="J261" s="115">
        <v>0.47708333333333336</v>
      </c>
      <c r="K261" s="114">
        <v>763.0</v>
      </c>
      <c r="L261" s="113">
        <v>1.81241E7</v>
      </c>
      <c r="M261" s="114" t="s">
        <v>478</v>
      </c>
      <c r="N261" s="113">
        <v>1565.79</v>
      </c>
    </row>
    <row r="262">
      <c r="A262" s="117" t="s">
        <v>479</v>
      </c>
      <c r="B262" s="113">
        <v>24080.0</v>
      </c>
      <c r="C262" s="114">
        <v>-0.12</v>
      </c>
      <c r="D262" s="114">
        <v>-1.31</v>
      </c>
      <c r="E262" s="114">
        <v>23.42</v>
      </c>
      <c r="F262" s="113">
        <v>24110.0</v>
      </c>
      <c r="G262" s="113">
        <v>24060.0</v>
      </c>
      <c r="H262" s="113">
        <v>24060.0</v>
      </c>
      <c r="I262" s="113">
        <v>24080.0</v>
      </c>
      <c r="J262" s="115">
        <v>0.46805555555555556</v>
      </c>
      <c r="K262" s="114">
        <v>4.0</v>
      </c>
      <c r="L262" s="113">
        <v>96300.0</v>
      </c>
      <c r="M262" s="114" t="s">
        <v>231</v>
      </c>
      <c r="N262" s="113">
        <v>1503.43</v>
      </c>
    </row>
    <row r="263">
      <c r="A263" s="117" t="s">
        <v>480</v>
      </c>
      <c r="B263" s="113">
        <v>9990.0</v>
      </c>
      <c r="C263" s="114">
        <v>-0.7</v>
      </c>
      <c r="D263" s="114">
        <v>-4.86</v>
      </c>
      <c r="E263" s="114">
        <v>-18.52</v>
      </c>
      <c r="F263" s="113">
        <v>10060.0</v>
      </c>
      <c r="G263" s="113">
        <v>9900.0</v>
      </c>
      <c r="H263" s="113">
        <v>9900.0</v>
      </c>
      <c r="I263" s="113">
        <v>10080.0</v>
      </c>
      <c r="J263" s="115">
        <v>0.47708333333333336</v>
      </c>
      <c r="K263" s="114">
        <v>98.0</v>
      </c>
      <c r="L263" s="113">
        <v>977490.0</v>
      </c>
      <c r="M263" s="114" t="s">
        <v>185</v>
      </c>
      <c r="N263" s="113">
        <v>1500.0</v>
      </c>
    </row>
    <row r="264">
      <c r="A264" s="117" t="s">
        <v>481</v>
      </c>
      <c r="B264" s="113">
        <v>9410.0</v>
      </c>
      <c r="C264" s="114">
        <v>-1.36</v>
      </c>
      <c r="D264" s="114">
        <v>-3.6</v>
      </c>
      <c r="E264" s="114">
        <v>-15.85</v>
      </c>
      <c r="F264" s="113">
        <v>9540.0</v>
      </c>
      <c r="G264" s="113">
        <v>9565.0</v>
      </c>
      <c r="H264" s="113">
        <v>9410.0</v>
      </c>
      <c r="I264" s="113">
        <v>9565.0</v>
      </c>
      <c r="J264" s="115">
        <v>0.47708333333333336</v>
      </c>
      <c r="K264" s="114">
        <v>173.0</v>
      </c>
      <c r="L264" s="113">
        <v>1647630.0</v>
      </c>
      <c r="M264" s="114" t="s">
        <v>207</v>
      </c>
      <c r="N264" s="113">
        <v>1480.49</v>
      </c>
    </row>
    <row r="265">
      <c r="A265" s="117" t="s">
        <v>482</v>
      </c>
      <c r="B265" s="113">
        <v>4135.0</v>
      </c>
      <c r="C265" s="114">
        <v>-0.06</v>
      </c>
      <c r="D265" s="114">
        <v>0.12</v>
      </c>
      <c r="E265" s="114">
        <v>-15.57</v>
      </c>
      <c r="F265" s="113">
        <v>4137.5</v>
      </c>
      <c r="G265" s="113">
        <v>4130.0</v>
      </c>
      <c r="H265" s="113">
        <v>4130.0</v>
      </c>
      <c r="I265" s="113">
        <v>4217.5</v>
      </c>
      <c r="J265" s="115">
        <v>0.47708333333333336</v>
      </c>
      <c r="K265" s="114">
        <v>342.0</v>
      </c>
      <c r="L265" s="113">
        <v>1424095.0</v>
      </c>
      <c r="M265" s="114" t="s">
        <v>277</v>
      </c>
      <c r="N265" s="113">
        <v>1495.48</v>
      </c>
    </row>
    <row r="266">
      <c r="A266" s="117" t="s">
        <v>483</v>
      </c>
      <c r="B266" s="113">
        <v>8180.0</v>
      </c>
      <c r="C266" s="114">
        <v>0.86</v>
      </c>
      <c r="D266" s="114">
        <v>-4.88</v>
      </c>
      <c r="E266" s="114">
        <v>-18.2</v>
      </c>
      <c r="F266" s="113">
        <v>8110.0</v>
      </c>
      <c r="G266" s="113">
        <v>8110.0</v>
      </c>
      <c r="H266" s="113">
        <v>8110.0</v>
      </c>
      <c r="I266" s="113">
        <v>8180.0</v>
      </c>
      <c r="J266" s="115">
        <v>0.4722222222222222</v>
      </c>
      <c r="K266" s="114">
        <v>5.0</v>
      </c>
      <c r="L266" s="113">
        <v>40690.0</v>
      </c>
      <c r="M266" s="114" t="s">
        <v>212</v>
      </c>
      <c r="N266" s="113">
        <v>1526.12</v>
      </c>
    </row>
    <row r="267">
      <c r="A267" s="117" t="s">
        <v>484</v>
      </c>
      <c r="B267" s="113">
        <v>16920.0</v>
      </c>
      <c r="C267" s="114">
        <v>-3.26</v>
      </c>
      <c r="D267" s="114">
        <v>-4.41</v>
      </c>
      <c r="E267" s="114">
        <v>-5.21</v>
      </c>
      <c r="F267" s="113">
        <v>17490.0</v>
      </c>
      <c r="G267" s="113">
        <v>17290.0</v>
      </c>
      <c r="H267" s="113">
        <v>16800.0</v>
      </c>
      <c r="I267" s="113">
        <v>17290.0</v>
      </c>
      <c r="J267" s="115">
        <v>0.47708333333333336</v>
      </c>
      <c r="K267" s="114">
        <v>342.0</v>
      </c>
      <c r="L267" s="113">
        <v>5767970.0</v>
      </c>
      <c r="M267" s="114" t="s">
        <v>485</v>
      </c>
      <c r="N267" s="113">
        <v>1442.97</v>
      </c>
    </row>
    <row r="268">
      <c r="A268" s="117" t="s">
        <v>486</v>
      </c>
      <c r="B268" s="113">
        <v>27180.0</v>
      </c>
      <c r="C268" s="114">
        <v>0.3</v>
      </c>
      <c r="D268" s="114">
        <v>-0.07</v>
      </c>
      <c r="E268" s="114">
        <v>-13.6</v>
      </c>
      <c r="F268" s="113">
        <v>27100.0</v>
      </c>
      <c r="G268" s="113">
        <v>27520.0</v>
      </c>
      <c r="H268" s="113">
        <v>27020.0</v>
      </c>
      <c r="I268" s="113">
        <v>27520.0</v>
      </c>
      <c r="J268" s="115">
        <v>0.47708333333333336</v>
      </c>
      <c r="K268" s="114">
        <v>298.0</v>
      </c>
      <c r="L268" s="113">
        <v>8096220.0</v>
      </c>
      <c r="M268" s="114" t="s">
        <v>487</v>
      </c>
      <c r="N268" s="113">
        <v>1496.4</v>
      </c>
    </row>
    <row r="269">
      <c r="A269" s="117" t="s">
        <v>488</v>
      </c>
      <c r="B269" s="113">
        <v>51950.0</v>
      </c>
      <c r="C269" s="114">
        <v>-0.19</v>
      </c>
      <c r="D269" s="114">
        <v>-1.24</v>
      </c>
      <c r="E269" s="114">
        <v>-0.57</v>
      </c>
      <c r="F269" s="113">
        <v>52050.0</v>
      </c>
      <c r="G269" s="113">
        <v>52400.0</v>
      </c>
      <c r="H269" s="113">
        <v>51725.0</v>
      </c>
      <c r="I269" s="113">
        <v>52400.0</v>
      </c>
      <c r="J269" s="115">
        <v>0.47708333333333336</v>
      </c>
      <c r="K269" s="116">
        <v>14472.0</v>
      </c>
      <c r="L269" s="113">
        <v>7.5250625E8</v>
      </c>
      <c r="M269" s="114" t="s">
        <v>179</v>
      </c>
      <c r="N269" s="113">
        <v>1494.08</v>
      </c>
    </row>
    <row r="270">
      <c r="A270" s="117" t="s">
        <v>489</v>
      </c>
      <c r="B270" s="114">
        <v>35.76</v>
      </c>
      <c r="C270" s="114">
        <v>-0.47</v>
      </c>
      <c r="D270" s="114">
        <v>-0.11</v>
      </c>
      <c r="E270" s="114">
        <v>1.33</v>
      </c>
      <c r="F270" s="114">
        <v>35.93</v>
      </c>
      <c r="G270" s="114">
        <v>35.93</v>
      </c>
      <c r="H270" s="114">
        <v>35.76</v>
      </c>
      <c r="I270" s="114">
        <v>36.47</v>
      </c>
      <c r="J270" s="115">
        <v>0.47708333333333336</v>
      </c>
      <c r="K270" s="116">
        <v>5102.0</v>
      </c>
      <c r="L270" s="113">
        <v>183411.0</v>
      </c>
      <c r="M270" s="114" t="s">
        <v>175</v>
      </c>
      <c r="N270" s="114" t="s">
        <v>175</v>
      </c>
    </row>
    <row r="271">
      <c r="A271" s="117" t="s">
        <v>490</v>
      </c>
      <c r="B271" s="113">
        <v>2910.0</v>
      </c>
      <c r="C271" s="114">
        <v>-1.69</v>
      </c>
      <c r="D271" s="114">
        <v>-0.34</v>
      </c>
      <c r="E271" s="114">
        <v>-12.54</v>
      </c>
      <c r="F271" s="113">
        <v>2960.0</v>
      </c>
      <c r="G271" s="113">
        <v>2925.0</v>
      </c>
      <c r="H271" s="113">
        <v>2910.0</v>
      </c>
      <c r="I271" s="113">
        <v>2967.5</v>
      </c>
      <c r="J271" s="115">
        <v>0.47708333333333336</v>
      </c>
      <c r="K271" s="114">
        <v>784.0</v>
      </c>
      <c r="L271" s="113">
        <v>2302845.0</v>
      </c>
      <c r="M271" s="114" t="s">
        <v>202</v>
      </c>
      <c r="N271" s="113">
        <v>1469.7</v>
      </c>
    </row>
    <row r="272">
      <c r="A272" s="117" t="s">
        <v>491</v>
      </c>
      <c r="B272" s="113">
        <v>8535.0</v>
      </c>
      <c r="C272" s="114">
        <v>2.03</v>
      </c>
      <c r="D272" s="114">
        <v>5.76</v>
      </c>
      <c r="E272" s="114">
        <v>11.93</v>
      </c>
      <c r="F272" s="113">
        <v>8365.0</v>
      </c>
      <c r="G272" s="113">
        <v>8570.0</v>
      </c>
      <c r="H272" s="113">
        <v>8390.0</v>
      </c>
      <c r="I272" s="113">
        <v>8570.0</v>
      </c>
      <c r="J272" s="115">
        <v>0.47708333333333336</v>
      </c>
      <c r="K272" s="116">
        <v>2151.0</v>
      </c>
      <c r="L272" s="113">
        <v>1.8111685E7</v>
      </c>
      <c r="M272" s="114" t="s">
        <v>231</v>
      </c>
      <c r="N272" s="113">
        <v>1512.4</v>
      </c>
    </row>
    <row r="273">
      <c r="A273" s="117" t="s">
        <v>492</v>
      </c>
      <c r="B273" s="113">
        <v>13860.0</v>
      </c>
      <c r="C273" s="114">
        <v>0.65</v>
      </c>
      <c r="D273" s="114">
        <v>-3.21</v>
      </c>
      <c r="E273" s="114">
        <v>-1.07</v>
      </c>
      <c r="F273" s="113">
        <v>13770.0</v>
      </c>
      <c r="G273" s="113">
        <v>13860.0</v>
      </c>
      <c r="H273" s="113">
        <v>13860.0</v>
      </c>
      <c r="I273" s="113">
        <v>13860.0</v>
      </c>
      <c r="J273" s="115">
        <v>0.47291666666666665</v>
      </c>
      <c r="K273" s="114">
        <v>1.0</v>
      </c>
      <c r="L273" s="113">
        <v>13860.0</v>
      </c>
      <c r="M273" s="114" t="s">
        <v>185</v>
      </c>
      <c r="N273" s="114" t="s">
        <v>175</v>
      </c>
    </row>
    <row r="274">
      <c r="A274" s="117" t="s">
        <v>493</v>
      </c>
      <c r="B274" s="113">
        <v>12910.0</v>
      </c>
      <c r="C274" s="114">
        <v>-1.9</v>
      </c>
      <c r="D274" s="114">
        <v>2.46</v>
      </c>
      <c r="E274" s="114">
        <v>1.73</v>
      </c>
      <c r="F274" s="113">
        <v>13160.0</v>
      </c>
      <c r="G274" s="113">
        <v>13100.0</v>
      </c>
      <c r="H274" s="113">
        <v>12910.0</v>
      </c>
      <c r="I274" s="113">
        <v>13100.0</v>
      </c>
      <c r="J274" s="115">
        <v>0.47708333333333336</v>
      </c>
      <c r="K274" s="116">
        <v>1643.0</v>
      </c>
      <c r="L274" s="113">
        <v>2.139156E7</v>
      </c>
      <c r="M274" s="114" t="s">
        <v>231</v>
      </c>
      <c r="N274" s="113">
        <v>1472.62</v>
      </c>
    </row>
    <row r="275">
      <c r="A275" s="117" t="s">
        <v>494</v>
      </c>
      <c r="B275" s="114">
        <v>9.11</v>
      </c>
      <c r="C275" s="114">
        <v>0.55</v>
      </c>
      <c r="D275" s="114">
        <v>1.33</v>
      </c>
      <c r="E275" s="114">
        <v>7.81</v>
      </c>
      <c r="F275" s="114">
        <v>9.06</v>
      </c>
      <c r="G275" s="114">
        <v>9.15</v>
      </c>
      <c r="H275" s="114">
        <v>9.11</v>
      </c>
      <c r="I275" s="114">
        <v>9.15</v>
      </c>
      <c r="J275" s="115">
        <v>0.47708333333333336</v>
      </c>
      <c r="K275" s="114">
        <v>59.0</v>
      </c>
      <c r="L275" s="114">
        <v>539.0</v>
      </c>
      <c r="M275" s="114" t="s">
        <v>175</v>
      </c>
      <c r="N275" s="114" t="s">
        <v>175</v>
      </c>
    </row>
    <row r="276">
      <c r="A276" s="117" t="s">
        <v>495</v>
      </c>
      <c r="B276" s="113">
        <v>66850.0</v>
      </c>
      <c r="C276" s="114">
        <v>0.04</v>
      </c>
      <c r="D276" s="114">
        <v>0.34</v>
      </c>
      <c r="E276" s="114">
        <v>13.31</v>
      </c>
      <c r="F276" s="113">
        <v>66825.0</v>
      </c>
      <c r="G276" s="113">
        <v>67400.0</v>
      </c>
      <c r="H276" s="113">
        <v>66700.0</v>
      </c>
      <c r="I276" s="113">
        <v>67425.0</v>
      </c>
      <c r="J276" s="115">
        <v>0.47708333333333336</v>
      </c>
      <c r="K276" s="114">
        <v>22.0</v>
      </c>
      <c r="L276" s="113">
        <v>1473225.0</v>
      </c>
      <c r="M276" s="114" t="s">
        <v>185</v>
      </c>
      <c r="N276" s="113">
        <v>2471.35</v>
      </c>
    </row>
    <row r="277">
      <c r="A277" s="117" t="s">
        <v>496</v>
      </c>
      <c r="B277" s="113">
        <v>6820.0</v>
      </c>
      <c r="C277" s="114" t="s">
        <v>175</v>
      </c>
      <c r="D277" s="114">
        <v>4.12</v>
      </c>
      <c r="E277" s="114">
        <v>10.62</v>
      </c>
      <c r="F277" s="113">
        <v>6820.0</v>
      </c>
      <c r="G277" s="113">
        <v>6875.0</v>
      </c>
      <c r="H277" s="113">
        <v>6815.0</v>
      </c>
      <c r="I277" s="113">
        <v>6880.0</v>
      </c>
      <c r="J277" s="115">
        <v>0.47708333333333336</v>
      </c>
      <c r="K277" s="114">
        <v>311.0</v>
      </c>
      <c r="L277" s="113">
        <v>2124980.0</v>
      </c>
      <c r="M277" s="114" t="s">
        <v>224</v>
      </c>
      <c r="N277" s="113">
        <v>1494.39</v>
      </c>
    </row>
    <row r="278">
      <c r="A278" s="117" t="s">
        <v>497</v>
      </c>
      <c r="B278" s="114">
        <v>4.76</v>
      </c>
      <c r="C278" s="114">
        <v>1.93</v>
      </c>
      <c r="D278" s="114">
        <v>6.01</v>
      </c>
      <c r="E278" s="114">
        <v>14.15</v>
      </c>
      <c r="F278" s="114">
        <v>4.67</v>
      </c>
      <c r="G278" s="114" t="s">
        <v>175</v>
      </c>
      <c r="H278" s="114" t="s">
        <v>175</v>
      </c>
      <c r="I278" s="114" t="s">
        <v>175</v>
      </c>
      <c r="J278" s="115">
        <v>0.46805555555555556</v>
      </c>
      <c r="K278" s="114" t="s">
        <v>175</v>
      </c>
      <c r="L278" s="114" t="s">
        <v>175</v>
      </c>
      <c r="M278" s="114" t="s">
        <v>175</v>
      </c>
      <c r="N278" s="114" t="s">
        <v>175</v>
      </c>
    </row>
    <row r="279">
      <c r="A279" s="117" t="s">
        <v>498</v>
      </c>
      <c r="B279" s="113">
        <v>22490.0</v>
      </c>
      <c r="C279" s="114">
        <v>-2.0</v>
      </c>
      <c r="D279" s="114">
        <v>-0.93</v>
      </c>
      <c r="E279" s="114">
        <v>2.83</v>
      </c>
      <c r="F279" s="113">
        <v>22950.0</v>
      </c>
      <c r="G279" s="113">
        <v>22860.0</v>
      </c>
      <c r="H279" s="113">
        <v>22490.0</v>
      </c>
      <c r="I279" s="113">
        <v>23040.0</v>
      </c>
      <c r="J279" s="115">
        <v>0.47708333333333336</v>
      </c>
      <c r="K279" s="114">
        <v>94.0</v>
      </c>
      <c r="L279" s="113">
        <v>2142720.0</v>
      </c>
      <c r="M279" s="114" t="s">
        <v>187</v>
      </c>
      <c r="N279" s="113">
        <v>1456.73</v>
      </c>
    </row>
    <row r="280">
      <c r="A280" s="117" t="s">
        <v>499</v>
      </c>
      <c r="B280" s="114">
        <v>16.01</v>
      </c>
      <c r="C280" s="114">
        <v>1.33</v>
      </c>
      <c r="D280" s="114">
        <v>2.56</v>
      </c>
      <c r="E280" s="114">
        <v>7.81</v>
      </c>
      <c r="F280" s="114">
        <v>15.8</v>
      </c>
      <c r="G280" s="114">
        <v>16.01</v>
      </c>
      <c r="H280" s="114">
        <v>16.01</v>
      </c>
      <c r="I280" s="114">
        <v>16.01</v>
      </c>
      <c r="J280" s="115">
        <v>0.4673611111111111</v>
      </c>
      <c r="K280" s="114">
        <v>9.0</v>
      </c>
      <c r="L280" s="114">
        <v>144.0</v>
      </c>
      <c r="M280" s="114" t="s">
        <v>175</v>
      </c>
      <c r="N280" s="114" t="s">
        <v>175</v>
      </c>
    </row>
    <row r="281">
      <c r="A281" s="117" t="s">
        <v>500</v>
      </c>
      <c r="B281" s="113">
        <v>38960.0</v>
      </c>
      <c r="C281" s="114">
        <v>-1.47</v>
      </c>
      <c r="D281" s="114">
        <v>-1.02</v>
      </c>
      <c r="E281" s="114">
        <v>-3.42</v>
      </c>
      <c r="F281" s="113">
        <v>39540.0</v>
      </c>
      <c r="G281" s="113">
        <v>38960.0</v>
      </c>
      <c r="H281" s="113">
        <v>38960.0</v>
      </c>
      <c r="I281" s="113">
        <v>38960.0</v>
      </c>
      <c r="J281" s="115">
        <v>0.475</v>
      </c>
      <c r="K281" s="114">
        <v>1.0</v>
      </c>
      <c r="L281" s="113">
        <v>38960.0</v>
      </c>
      <c r="M281" s="114" t="s">
        <v>254</v>
      </c>
      <c r="N281" s="113">
        <v>1473.3</v>
      </c>
    </row>
    <row r="282">
      <c r="A282" s="117" t="s">
        <v>501</v>
      </c>
      <c r="B282" s="113">
        <v>9000.0</v>
      </c>
      <c r="C282" s="114">
        <v>0.67</v>
      </c>
      <c r="D282" s="114">
        <v>-0.11</v>
      </c>
      <c r="E282" s="114">
        <v>-8.26</v>
      </c>
      <c r="F282" s="113">
        <v>8940.0</v>
      </c>
      <c r="G282" s="113">
        <v>9000.0</v>
      </c>
      <c r="H282" s="113">
        <v>9000.0</v>
      </c>
      <c r="I282" s="113">
        <v>9000.0</v>
      </c>
      <c r="J282" s="115">
        <v>0.46875</v>
      </c>
      <c r="K282" s="114">
        <v>75.0</v>
      </c>
      <c r="L282" s="113">
        <v>675000.0</v>
      </c>
      <c r="M282" s="114" t="s">
        <v>383</v>
      </c>
      <c r="N282" s="113">
        <v>1523.16</v>
      </c>
    </row>
    <row r="283">
      <c r="A283" s="117" t="s">
        <v>502</v>
      </c>
      <c r="B283" s="113">
        <v>71100.0</v>
      </c>
      <c r="C283" s="114">
        <v>-0.14</v>
      </c>
      <c r="D283" s="114">
        <v>0.35</v>
      </c>
      <c r="E283" s="114">
        <v>-4.44</v>
      </c>
      <c r="F283" s="113">
        <v>71200.0</v>
      </c>
      <c r="G283" s="114" t="s">
        <v>175</v>
      </c>
      <c r="H283" s="114" t="s">
        <v>175</v>
      </c>
      <c r="I283" s="114" t="s">
        <v>175</v>
      </c>
      <c r="J283" s="115">
        <v>0.475</v>
      </c>
      <c r="K283" s="114" t="s">
        <v>175</v>
      </c>
      <c r="L283" s="114" t="s">
        <v>175</v>
      </c>
      <c r="M283" s="114" t="s">
        <v>200</v>
      </c>
      <c r="N283" s="114" t="s">
        <v>175</v>
      </c>
    </row>
    <row r="284">
      <c r="A284" s="117" t="s">
        <v>503</v>
      </c>
      <c r="B284" s="113">
        <v>42340.0</v>
      </c>
      <c r="C284" s="114">
        <v>0.28</v>
      </c>
      <c r="D284" s="114">
        <v>0.24</v>
      </c>
      <c r="E284" s="114">
        <v>-8.55</v>
      </c>
      <c r="F284" s="113">
        <v>42220.0</v>
      </c>
      <c r="G284" s="113">
        <v>42200.0</v>
      </c>
      <c r="H284" s="113">
        <v>42160.0</v>
      </c>
      <c r="I284" s="113">
        <v>42640.0</v>
      </c>
      <c r="J284" s="115">
        <v>0.47708333333333336</v>
      </c>
      <c r="K284" s="116">
        <v>2064.0</v>
      </c>
      <c r="L284" s="113">
        <v>8.731004E7</v>
      </c>
      <c r="M284" s="114" t="s">
        <v>187</v>
      </c>
      <c r="N284" s="113">
        <v>1505.65</v>
      </c>
    </row>
    <row r="285">
      <c r="A285" s="117" t="s">
        <v>504</v>
      </c>
      <c r="B285" s="113">
        <v>56800.0</v>
      </c>
      <c r="C285" s="114">
        <v>-0.04</v>
      </c>
      <c r="D285" s="114">
        <v>2.62</v>
      </c>
      <c r="E285" s="114">
        <v>11.7</v>
      </c>
      <c r="F285" s="113">
        <v>56825.0</v>
      </c>
      <c r="G285" s="113">
        <v>57925.0</v>
      </c>
      <c r="H285" s="113">
        <v>56775.0</v>
      </c>
      <c r="I285" s="113">
        <v>57925.0</v>
      </c>
      <c r="J285" s="115">
        <v>0.47708333333333336</v>
      </c>
      <c r="K285" s="116">
        <v>1654.0</v>
      </c>
      <c r="L285" s="113">
        <v>9.4298625E7</v>
      </c>
      <c r="M285" s="114" t="s">
        <v>227</v>
      </c>
      <c r="N285" s="113">
        <v>1497.54</v>
      </c>
    </row>
    <row r="286">
      <c r="A286" s="117" t="s">
        <v>505</v>
      </c>
      <c r="B286" s="114">
        <v>39.87</v>
      </c>
      <c r="C286" s="114">
        <v>1.68</v>
      </c>
      <c r="D286" s="114">
        <v>4.84</v>
      </c>
      <c r="E286" s="114">
        <v>15.6</v>
      </c>
      <c r="F286" s="114">
        <v>39.21</v>
      </c>
      <c r="G286" s="114">
        <v>39.3</v>
      </c>
      <c r="H286" s="114">
        <v>39.3</v>
      </c>
      <c r="I286" s="114">
        <v>39.99</v>
      </c>
      <c r="J286" s="115">
        <v>0.47708333333333336</v>
      </c>
      <c r="K286" s="114">
        <v>408.0</v>
      </c>
      <c r="L286" s="113">
        <v>16112.0</v>
      </c>
      <c r="M286" s="114" t="s">
        <v>175</v>
      </c>
      <c r="N286" s="114" t="s">
        <v>175</v>
      </c>
    </row>
    <row r="287">
      <c r="A287" s="117" t="s">
        <v>506</v>
      </c>
      <c r="B287" s="113">
        <v>35540.0</v>
      </c>
      <c r="C287" s="114">
        <v>-0.84</v>
      </c>
      <c r="D287" s="114">
        <v>-3.69</v>
      </c>
      <c r="E287" s="114">
        <v>5.46</v>
      </c>
      <c r="F287" s="113">
        <v>35840.0</v>
      </c>
      <c r="G287" s="113">
        <v>36260.0</v>
      </c>
      <c r="H287" s="113">
        <v>35540.0</v>
      </c>
      <c r="I287" s="113">
        <v>36260.0</v>
      </c>
      <c r="J287" s="115">
        <v>0.47708333333333336</v>
      </c>
      <c r="K287" s="114">
        <v>14.0</v>
      </c>
      <c r="L287" s="113">
        <v>501020.0</v>
      </c>
      <c r="M287" s="114" t="s">
        <v>231</v>
      </c>
      <c r="N287" s="113">
        <v>1483.31</v>
      </c>
    </row>
    <row r="288">
      <c r="A288" s="117" t="s">
        <v>507</v>
      </c>
      <c r="B288" s="113">
        <v>1690.0</v>
      </c>
      <c r="C288" s="114">
        <v>4.64</v>
      </c>
      <c r="D288" s="114">
        <v>4.39</v>
      </c>
      <c r="E288" s="114">
        <v>13.04</v>
      </c>
      <c r="F288" s="113">
        <v>1615.0</v>
      </c>
      <c r="G288" s="114" t="s">
        <v>175</v>
      </c>
      <c r="H288" s="114" t="s">
        <v>175</v>
      </c>
      <c r="I288" s="114" t="s">
        <v>175</v>
      </c>
      <c r="J288" s="115">
        <v>0.47152777777777777</v>
      </c>
      <c r="K288" s="114" t="s">
        <v>175</v>
      </c>
      <c r="L288" s="114" t="s">
        <v>175</v>
      </c>
      <c r="M288" s="114" t="s">
        <v>231</v>
      </c>
      <c r="N288" s="113">
        <v>1564.81</v>
      </c>
    </row>
    <row r="289">
      <c r="A289" s="117" t="s">
        <v>508</v>
      </c>
      <c r="B289" s="113">
        <v>4837.5</v>
      </c>
      <c r="C289" s="114">
        <v>-2.07</v>
      </c>
      <c r="D289" s="114">
        <v>-4.21</v>
      </c>
      <c r="E289" s="114">
        <v>-20.24</v>
      </c>
      <c r="F289" s="113">
        <v>4940.0</v>
      </c>
      <c r="G289" s="113">
        <v>4837.5</v>
      </c>
      <c r="H289" s="113">
        <v>4837.5</v>
      </c>
      <c r="I289" s="113">
        <v>4837.5</v>
      </c>
      <c r="J289" s="115">
        <v>0.4708333333333333</v>
      </c>
      <c r="K289" s="114">
        <v>1.0</v>
      </c>
      <c r="L289" s="113">
        <v>4838.0</v>
      </c>
      <c r="M289" s="114" t="s">
        <v>509</v>
      </c>
      <c r="N289" s="113">
        <v>1451.25</v>
      </c>
    </row>
    <row r="290">
      <c r="A290" s="117" t="s">
        <v>510</v>
      </c>
      <c r="B290" s="113">
        <v>66900.0</v>
      </c>
      <c r="C290" s="114">
        <v>-0.15</v>
      </c>
      <c r="D290" s="114">
        <v>3.6</v>
      </c>
      <c r="E290" s="114">
        <v>24.52</v>
      </c>
      <c r="F290" s="113">
        <v>67000.0</v>
      </c>
      <c r="G290" s="113">
        <v>67450.0</v>
      </c>
      <c r="H290" s="113">
        <v>66900.0</v>
      </c>
      <c r="I290" s="113">
        <v>67450.0</v>
      </c>
      <c r="J290" s="115">
        <v>0.47708333333333336</v>
      </c>
      <c r="K290" s="114">
        <v>2.0</v>
      </c>
      <c r="L290" s="113">
        <v>134350.0</v>
      </c>
      <c r="M290" s="114" t="s">
        <v>202</v>
      </c>
      <c r="N290" s="113">
        <v>1486.6</v>
      </c>
    </row>
    <row r="291">
      <c r="A291" s="117" t="s">
        <v>511</v>
      </c>
      <c r="B291" s="113">
        <v>16440.0</v>
      </c>
      <c r="C291" s="114">
        <v>3.07</v>
      </c>
      <c r="D291" s="114">
        <v>2.62</v>
      </c>
      <c r="E291" s="114">
        <v>12.37</v>
      </c>
      <c r="F291" s="113">
        <v>15950.0</v>
      </c>
      <c r="G291" s="113">
        <v>16440.0</v>
      </c>
      <c r="H291" s="113">
        <v>16410.0</v>
      </c>
      <c r="I291" s="113">
        <v>16440.0</v>
      </c>
      <c r="J291" s="115">
        <v>0.47708333333333336</v>
      </c>
      <c r="K291" s="114">
        <v>84.0</v>
      </c>
      <c r="L291" s="113">
        <v>1379300.0</v>
      </c>
      <c r="M291" s="114" t="s">
        <v>189</v>
      </c>
      <c r="N291" s="114" t="s">
        <v>175</v>
      </c>
    </row>
    <row r="292">
      <c r="A292" s="117" t="s">
        <v>512</v>
      </c>
      <c r="B292" s="113">
        <v>32120.0</v>
      </c>
      <c r="C292" s="114">
        <v>-0.31</v>
      </c>
      <c r="D292" s="114">
        <v>5.87</v>
      </c>
      <c r="E292" s="114">
        <v>-5.75</v>
      </c>
      <c r="F292" s="113">
        <v>32220.0</v>
      </c>
      <c r="G292" s="113">
        <v>32500.0</v>
      </c>
      <c r="H292" s="113">
        <v>32120.0</v>
      </c>
      <c r="I292" s="113">
        <v>32560.0</v>
      </c>
      <c r="J292" s="115">
        <v>0.47708333333333336</v>
      </c>
      <c r="K292" s="114">
        <v>31.0</v>
      </c>
      <c r="L292" s="113">
        <v>1005360.0</v>
      </c>
      <c r="M292" s="114" t="s">
        <v>202</v>
      </c>
      <c r="N292" s="113">
        <v>1496.04</v>
      </c>
    </row>
    <row r="293">
      <c r="A293" s="117" t="s">
        <v>513</v>
      </c>
      <c r="B293" s="113">
        <v>59950.0</v>
      </c>
      <c r="C293" s="114">
        <v>-0.66</v>
      </c>
      <c r="D293" s="114">
        <v>-0.12</v>
      </c>
      <c r="E293" s="114">
        <v>-4.08</v>
      </c>
      <c r="F293" s="113">
        <v>60350.0</v>
      </c>
      <c r="G293" s="113">
        <v>60500.0</v>
      </c>
      <c r="H293" s="113">
        <v>59950.0</v>
      </c>
      <c r="I293" s="113">
        <v>60750.0</v>
      </c>
      <c r="J293" s="115">
        <v>0.47708333333333336</v>
      </c>
      <c r="K293" s="116">
        <v>5527.0</v>
      </c>
      <c r="L293" s="113">
        <v>3.32671175E8</v>
      </c>
      <c r="M293" s="114" t="s">
        <v>173</v>
      </c>
      <c r="N293" s="113">
        <v>1483.18</v>
      </c>
    </row>
    <row r="294">
      <c r="A294" s="117" t="s">
        <v>514</v>
      </c>
      <c r="B294" s="113">
        <v>33580.0</v>
      </c>
      <c r="C294" s="114">
        <v>-1.52</v>
      </c>
      <c r="D294" s="114">
        <v>-1.23</v>
      </c>
      <c r="E294" s="114">
        <v>1.14</v>
      </c>
      <c r="F294" s="113">
        <v>34100.0</v>
      </c>
      <c r="G294" s="113">
        <v>33740.0</v>
      </c>
      <c r="H294" s="113">
        <v>33580.0</v>
      </c>
      <c r="I294" s="113">
        <v>34000.0</v>
      </c>
      <c r="J294" s="115">
        <v>0.47708333333333336</v>
      </c>
      <c r="K294" s="114">
        <v>78.0</v>
      </c>
      <c r="L294" s="113">
        <v>2623320.0</v>
      </c>
      <c r="M294" s="114" t="s">
        <v>231</v>
      </c>
      <c r="N294" s="113">
        <v>1464.88</v>
      </c>
    </row>
    <row r="295">
      <c r="A295" s="117" t="s">
        <v>515</v>
      </c>
      <c r="B295" s="113">
        <v>12910.0</v>
      </c>
      <c r="C295" s="114">
        <v>-0.23</v>
      </c>
      <c r="D295" s="114">
        <v>-0.84</v>
      </c>
      <c r="E295" s="114">
        <v>-15.57</v>
      </c>
      <c r="F295" s="113">
        <v>12940.0</v>
      </c>
      <c r="G295" s="113">
        <v>13090.0</v>
      </c>
      <c r="H295" s="113">
        <v>12840.0</v>
      </c>
      <c r="I295" s="113">
        <v>13090.0</v>
      </c>
      <c r="J295" s="115">
        <v>0.47708333333333336</v>
      </c>
      <c r="K295" s="116">
        <v>2818.0</v>
      </c>
      <c r="L295" s="113">
        <v>3.633122E7</v>
      </c>
      <c r="M295" s="114" t="s">
        <v>383</v>
      </c>
      <c r="N295" s="113">
        <v>1491.75</v>
      </c>
    </row>
    <row r="296">
      <c r="A296" s="117" t="s">
        <v>516</v>
      </c>
      <c r="B296" s="114">
        <v>8.9</v>
      </c>
      <c r="C296" s="114">
        <v>-0.34</v>
      </c>
      <c r="D296" s="114">
        <v>-1.22</v>
      </c>
      <c r="E296" s="114">
        <v>-14.26</v>
      </c>
      <c r="F296" s="114">
        <v>8.93</v>
      </c>
      <c r="G296" s="114">
        <v>9.25</v>
      </c>
      <c r="H296" s="114">
        <v>8.86</v>
      </c>
      <c r="I296" s="114">
        <v>9.25</v>
      </c>
      <c r="J296" s="115">
        <v>0.47708333333333336</v>
      </c>
      <c r="K296" s="114">
        <v>766.0</v>
      </c>
      <c r="L296" s="113">
        <v>6893.0</v>
      </c>
      <c r="M296" s="114" t="s">
        <v>175</v>
      </c>
      <c r="N296" s="114" t="s">
        <v>175</v>
      </c>
    </row>
    <row r="297">
      <c r="A297" s="117" t="s">
        <v>517</v>
      </c>
      <c r="B297" s="113">
        <v>11940.0</v>
      </c>
      <c r="C297" s="114">
        <v>-0.33</v>
      </c>
      <c r="D297" s="114">
        <v>0.76</v>
      </c>
      <c r="E297" s="114">
        <v>-13.16</v>
      </c>
      <c r="F297" s="113">
        <v>11980.0</v>
      </c>
      <c r="G297" s="113">
        <v>12000.0</v>
      </c>
      <c r="H297" s="113">
        <v>11900.0</v>
      </c>
      <c r="I297" s="113">
        <v>12010.0</v>
      </c>
      <c r="J297" s="115">
        <v>0.47708333333333336</v>
      </c>
      <c r="K297" s="116">
        <v>2192.0</v>
      </c>
      <c r="L297" s="113">
        <v>2.609001E7</v>
      </c>
      <c r="M297" s="114" t="s">
        <v>202</v>
      </c>
      <c r="N297" s="113">
        <v>1504.16</v>
      </c>
    </row>
    <row r="298">
      <c r="A298" s="117" t="s">
        <v>518</v>
      </c>
      <c r="B298" s="113">
        <v>56025.0</v>
      </c>
      <c r="C298" s="114">
        <v>3.03</v>
      </c>
      <c r="D298" s="114">
        <v>5.61</v>
      </c>
      <c r="E298" s="114">
        <v>-1.88</v>
      </c>
      <c r="F298" s="113">
        <v>54375.0</v>
      </c>
      <c r="G298" s="113">
        <v>56025.0</v>
      </c>
      <c r="H298" s="113">
        <v>56025.0</v>
      </c>
      <c r="I298" s="113">
        <v>56025.0</v>
      </c>
      <c r="J298" s="115">
        <v>0.47708333333333336</v>
      </c>
      <c r="K298" s="114">
        <v>9.0</v>
      </c>
      <c r="L298" s="113">
        <v>504225.0</v>
      </c>
      <c r="M298" s="114" t="s">
        <v>173</v>
      </c>
      <c r="N298" s="114" t="s">
        <v>175</v>
      </c>
    </row>
    <row r="299">
      <c r="A299" s="117" t="s">
        <v>519</v>
      </c>
      <c r="B299" s="113">
        <v>27420.0</v>
      </c>
      <c r="C299" s="114">
        <v>-1.15</v>
      </c>
      <c r="D299" s="114">
        <v>-0.29</v>
      </c>
      <c r="E299" s="114">
        <v>-8.17</v>
      </c>
      <c r="F299" s="113">
        <v>27740.0</v>
      </c>
      <c r="G299" s="113">
        <v>27800.0</v>
      </c>
      <c r="H299" s="113">
        <v>27420.0</v>
      </c>
      <c r="I299" s="113">
        <v>27800.0</v>
      </c>
      <c r="J299" s="115">
        <v>0.47708333333333336</v>
      </c>
      <c r="K299" s="116">
        <v>1332.0</v>
      </c>
      <c r="L299" s="113">
        <v>3.675586E7</v>
      </c>
      <c r="M299" s="114" t="s">
        <v>267</v>
      </c>
      <c r="N299" s="113">
        <v>1478.43</v>
      </c>
    </row>
    <row r="300">
      <c r="A300" s="117" t="s">
        <v>520</v>
      </c>
      <c r="B300" s="113">
        <v>12470.0</v>
      </c>
      <c r="C300" s="114">
        <v>3.83</v>
      </c>
      <c r="D300" s="114">
        <v>2.55</v>
      </c>
      <c r="E300" s="114">
        <v>24.95</v>
      </c>
      <c r="F300" s="113">
        <v>12010.0</v>
      </c>
      <c r="G300" s="113">
        <v>12320.0</v>
      </c>
      <c r="H300" s="113">
        <v>12320.0</v>
      </c>
      <c r="I300" s="113">
        <v>12480.0</v>
      </c>
      <c r="J300" s="115">
        <v>0.47708333333333336</v>
      </c>
      <c r="K300" s="116">
        <v>18710.0</v>
      </c>
      <c r="L300" s="113">
        <v>2.3217143E8</v>
      </c>
      <c r="M300" s="114" t="s">
        <v>173</v>
      </c>
      <c r="N300" s="113">
        <v>1545.23</v>
      </c>
    </row>
    <row r="301">
      <c r="A301" s="117" t="s">
        <v>521</v>
      </c>
      <c r="B301" s="113">
        <v>24940.0</v>
      </c>
      <c r="C301" s="114">
        <v>4.26</v>
      </c>
      <c r="D301" s="114">
        <v>2.63</v>
      </c>
      <c r="E301" s="114">
        <v>23.4</v>
      </c>
      <c r="F301" s="113">
        <v>23920.0</v>
      </c>
      <c r="G301" s="113">
        <v>24300.0</v>
      </c>
      <c r="H301" s="113">
        <v>24300.0</v>
      </c>
      <c r="I301" s="113">
        <v>24940.0</v>
      </c>
      <c r="J301" s="115">
        <v>0.4618055555555556</v>
      </c>
      <c r="K301" s="114">
        <v>13.0</v>
      </c>
      <c r="L301" s="113">
        <v>321020.0</v>
      </c>
      <c r="M301" s="114" t="s">
        <v>185</v>
      </c>
      <c r="N301" s="114" t="s">
        <v>175</v>
      </c>
    </row>
    <row r="302">
      <c r="A302" s="117" t="s">
        <v>522</v>
      </c>
      <c r="B302" s="114">
        <v>19.0</v>
      </c>
      <c r="C302" s="114">
        <v>-0.52</v>
      </c>
      <c r="D302" s="114">
        <v>2.43</v>
      </c>
      <c r="E302" s="114">
        <v>-5.99</v>
      </c>
      <c r="F302" s="114">
        <v>19.1</v>
      </c>
      <c r="G302" s="114">
        <v>19.1</v>
      </c>
      <c r="H302" s="114">
        <v>18.81</v>
      </c>
      <c r="I302" s="114">
        <v>19.2</v>
      </c>
      <c r="J302" s="115">
        <v>0.47708333333333336</v>
      </c>
      <c r="K302" s="114">
        <v>265.0</v>
      </c>
      <c r="L302" s="113">
        <v>5059.0</v>
      </c>
      <c r="M302" s="114" t="s">
        <v>175</v>
      </c>
      <c r="N302" s="114" t="s">
        <v>175</v>
      </c>
    </row>
    <row r="303">
      <c r="A303" s="117" t="s">
        <v>523</v>
      </c>
      <c r="B303" s="113">
        <v>9945.0</v>
      </c>
      <c r="C303" s="114">
        <v>0.2</v>
      </c>
      <c r="D303" s="114">
        <v>-0.4</v>
      </c>
      <c r="E303" s="114">
        <v>4.14</v>
      </c>
      <c r="F303" s="113">
        <v>9925.0</v>
      </c>
      <c r="G303" s="113">
        <v>10010.0</v>
      </c>
      <c r="H303" s="113">
        <v>9920.0</v>
      </c>
      <c r="I303" s="113">
        <v>10020.0</v>
      </c>
      <c r="J303" s="115">
        <v>0.47708333333333336</v>
      </c>
      <c r="K303" s="116">
        <v>1582.0</v>
      </c>
      <c r="L303" s="113">
        <v>1.5772185E7</v>
      </c>
      <c r="M303" s="114" t="s">
        <v>181</v>
      </c>
      <c r="N303" s="113">
        <v>1496.39</v>
      </c>
    </row>
    <row r="304">
      <c r="A304" s="117" t="s">
        <v>524</v>
      </c>
      <c r="B304" s="114">
        <v>6.95</v>
      </c>
      <c r="C304" s="114">
        <v>1.46</v>
      </c>
      <c r="D304" s="114">
        <v>0.72</v>
      </c>
      <c r="E304" s="114">
        <v>7.75</v>
      </c>
      <c r="F304" s="114">
        <v>6.85</v>
      </c>
      <c r="G304" s="114">
        <v>6.95</v>
      </c>
      <c r="H304" s="114">
        <v>6.95</v>
      </c>
      <c r="I304" s="114">
        <v>6.95</v>
      </c>
      <c r="J304" s="115">
        <v>0.47152777777777777</v>
      </c>
      <c r="K304" s="114">
        <v>142.0</v>
      </c>
      <c r="L304" s="114">
        <v>987.0</v>
      </c>
      <c r="M304" s="114" t="s">
        <v>175</v>
      </c>
      <c r="N304" s="114" t="s">
        <v>175</v>
      </c>
    </row>
    <row r="305">
      <c r="A305" s="117" t="s">
        <v>525</v>
      </c>
      <c r="B305" s="113">
        <v>27980.0</v>
      </c>
      <c r="C305" s="114">
        <v>-5.15</v>
      </c>
      <c r="D305" s="114">
        <v>-7.72</v>
      </c>
      <c r="E305" s="114">
        <v>14.2</v>
      </c>
      <c r="F305" s="113">
        <v>29500.0</v>
      </c>
      <c r="G305" s="113">
        <v>28560.0</v>
      </c>
      <c r="H305" s="113">
        <v>27420.0</v>
      </c>
      <c r="I305" s="113">
        <v>28560.0</v>
      </c>
      <c r="J305" s="115">
        <v>0.47708333333333336</v>
      </c>
      <c r="K305" s="116">
        <v>207146.0</v>
      </c>
      <c r="L305" s="113">
        <v>5.76347978E9</v>
      </c>
      <c r="M305" s="114" t="s">
        <v>231</v>
      </c>
      <c r="N305" s="113">
        <v>1393.66</v>
      </c>
    </row>
    <row r="306">
      <c r="A306" s="117" t="s">
        <v>526</v>
      </c>
      <c r="B306" s="113">
        <v>10820.0</v>
      </c>
      <c r="C306" s="114">
        <v>1.12</v>
      </c>
      <c r="D306" s="114">
        <v>2.08</v>
      </c>
      <c r="E306" s="114">
        <v>18.12</v>
      </c>
      <c r="F306" s="113">
        <v>10700.0</v>
      </c>
      <c r="G306" s="113">
        <v>10820.0</v>
      </c>
      <c r="H306" s="113">
        <v>10820.0</v>
      </c>
      <c r="I306" s="113">
        <v>10820.0</v>
      </c>
      <c r="J306" s="115">
        <v>0.4756944444444444</v>
      </c>
      <c r="K306" s="114">
        <v>1.0</v>
      </c>
      <c r="L306" s="113">
        <v>10820.0</v>
      </c>
      <c r="M306" s="114" t="s">
        <v>185</v>
      </c>
      <c r="N306" s="114" t="s">
        <v>175</v>
      </c>
    </row>
    <row r="307">
      <c r="A307" s="117" t="s">
        <v>527</v>
      </c>
      <c r="B307" s="113">
        <v>22310.0</v>
      </c>
      <c r="C307" s="114">
        <v>0.5</v>
      </c>
      <c r="D307" s="114">
        <v>1.64</v>
      </c>
      <c r="E307" s="114">
        <v>10.5</v>
      </c>
      <c r="F307" s="113">
        <v>22200.0</v>
      </c>
      <c r="G307" s="113">
        <v>22310.0</v>
      </c>
      <c r="H307" s="113">
        <v>22310.0</v>
      </c>
      <c r="I307" s="113">
        <v>22310.0</v>
      </c>
      <c r="J307" s="115">
        <v>0.4736111111111111</v>
      </c>
      <c r="K307" s="114">
        <v>3.0</v>
      </c>
      <c r="L307" s="113">
        <v>66930.0</v>
      </c>
      <c r="M307" s="114" t="s">
        <v>185</v>
      </c>
      <c r="N307" s="113">
        <v>1496.31</v>
      </c>
    </row>
    <row r="308">
      <c r="A308" s="117" t="s">
        <v>528</v>
      </c>
      <c r="B308" s="113">
        <v>16500.0</v>
      </c>
      <c r="C308" s="114">
        <v>-0.6</v>
      </c>
      <c r="D308" s="114">
        <v>8.76</v>
      </c>
      <c r="E308" s="114">
        <v>6.02</v>
      </c>
      <c r="F308" s="113">
        <v>16600.0</v>
      </c>
      <c r="G308" s="113">
        <v>16430.0</v>
      </c>
      <c r="H308" s="113">
        <v>16380.0</v>
      </c>
      <c r="I308" s="113">
        <v>16570.0</v>
      </c>
      <c r="J308" s="115">
        <v>0.47708333333333336</v>
      </c>
      <c r="K308" s="114">
        <v>535.0</v>
      </c>
      <c r="L308" s="113">
        <v>8810220.0</v>
      </c>
      <c r="M308" s="114" t="s">
        <v>189</v>
      </c>
      <c r="N308" s="113">
        <v>1479.49</v>
      </c>
    </row>
    <row r="309">
      <c r="A309" s="117" t="s">
        <v>529</v>
      </c>
      <c r="B309" s="114">
        <v>11.33</v>
      </c>
      <c r="C309" s="114">
        <v>-0.96</v>
      </c>
      <c r="D309" s="114">
        <v>0.53</v>
      </c>
      <c r="E309" s="114">
        <v>8.42</v>
      </c>
      <c r="F309" s="114">
        <v>11.44</v>
      </c>
      <c r="G309" s="114">
        <v>11.33</v>
      </c>
      <c r="H309" s="114">
        <v>11.33</v>
      </c>
      <c r="I309" s="114">
        <v>11.33</v>
      </c>
      <c r="J309" s="115">
        <v>0.46805555555555556</v>
      </c>
      <c r="K309" s="114">
        <v>22.0</v>
      </c>
      <c r="L309" s="114">
        <v>249.0</v>
      </c>
      <c r="M309" s="114" t="s">
        <v>175</v>
      </c>
      <c r="N309" s="114" t="s">
        <v>175</v>
      </c>
    </row>
    <row r="310">
      <c r="A310" s="117" t="s">
        <v>530</v>
      </c>
      <c r="B310" s="113">
        <v>2595.0</v>
      </c>
      <c r="C310" s="114" t="s">
        <v>175</v>
      </c>
      <c r="D310" s="114">
        <v>-1.24</v>
      </c>
      <c r="E310" s="114">
        <v>-0.1</v>
      </c>
      <c r="F310" s="113">
        <v>2595.0</v>
      </c>
      <c r="G310" s="113">
        <v>2597.5</v>
      </c>
      <c r="H310" s="113">
        <v>2595.0</v>
      </c>
      <c r="I310" s="113">
        <v>2597.5</v>
      </c>
      <c r="J310" s="115">
        <v>0.47708333333333336</v>
      </c>
      <c r="K310" s="114">
        <v>232.0</v>
      </c>
      <c r="L310" s="113">
        <v>602368.0</v>
      </c>
      <c r="M310" s="114" t="s">
        <v>200</v>
      </c>
      <c r="N310" s="114" t="s">
        <v>175</v>
      </c>
    </row>
    <row r="311">
      <c r="A311" s="117" t="s">
        <v>531</v>
      </c>
      <c r="B311" s="113">
        <v>14930.0</v>
      </c>
      <c r="C311" s="114" t="s">
        <v>175</v>
      </c>
      <c r="D311" s="114">
        <v>-0.47</v>
      </c>
      <c r="E311" s="114">
        <v>11.58</v>
      </c>
      <c r="F311" s="113">
        <v>14930.0</v>
      </c>
      <c r="G311" s="113">
        <v>14930.0</v>
      </c>
      <c r="H311" s="113">
        <v>14930.0</v>
      </c>
      <c r="I311" s="113">
        <v>14930.0</v>
      </c>
      <c r="J311" s="115">
        <v>0.47291666666666665</v>
      </c>
      <c r="K311" s="114">
        <v>5.0</v>
      </c>
      <c r="L311" s="113">
        <v>74650.0</v>
      </c>
      <c r="M311" s="114" t="s">
        <v>185</v>
      </c>
      <c r="N311" s="114" t="s">
        <v>175</v>
      </c>
    </row>
    <row r="312">
      <c r="A312" s="117" t="s">
        <v>532</v>
      </c>
      <c r="B312" s="113">
        <v>27500.0</v>
      </c>
      <c r="C312" s="114">
        <v>-0.43</v>
      </c>
      <c r="D312" s="114">
        <v>0.73</v>
      </c>
      <c r="E312" s="114">
        <v>-4.65</v>
      </c>
      <c r="F312" s="113">
        <v>27620.0</v>
      </c>
      <c r="G312" s="113">
        <v>27620.0</v>
      </c>
      <c r="H312" s="113">
        <v>27480.0</v>
      </c>
      <c r="I312" s="113">
        <v>27760.0</v>
      </c>
      <c r="J312" s="115">
        <v>0.47708333333333336</v>
      </c>
      <c r="K312" s="114">
        <v>169.0</v>
      </c>
      <c r="L312" s="113">
        <v>4666740.0</v>
      </c>
      <c r="M312" s="114" t="s">
        <v>202</v>
      </c>
      <c r="N312" s="113">
        <v>1490.19</v>
      </c>
    </row>
    <row r="313">
      <c r="A313" s="117" t="s">
        <v>533</v>
      </c>
      <c r="B313" s="113">
        <v>10220.0</v>
      </c>
      <c r="C313" s="114">
        <v>-0.49</v>
      </c>
      <c r="D313" s="114">
        <v>3.97</v>
      </c>
      <c r="E313" s="114">
        <v>7.98</v>
      </c>
      <c r="F313" s="113">
        <v>10270.0</v>
      </c>
      <c r="G313" s="113">
        <v>10270.0</v>
      </c>
      <c r="H313" s="113">
        <v>10200.0</v>
      </c>
      <c r="I313" s="113">
        <v>10340.0</v>
      </c>
      <c r="J313" s="115">
        <v>0.47708333333333336</v>
      </c>
      <c r="K313" s="116">
        <v>6595.0</v>
      </c>
      <c r="L313" s="113">
        <v>6.778934E7</v>
      </c>
      <c r="M313" s="114" t="s">
        <v>267</v>
      </c>
      <c r="N313" s="113">
        <v>1482.83</v>
      </c>
    </row>
    <row r="314">
      <c r="A314" s="117" t="s">
        <v>534</v>
      </c>
      <c r="B314" s="114">
        <v>7.05</v>
      </c>
      <c r="C314" s="114">
        <v>-0.7</v>
      </c>
      <c r="D314" s="114">
        <v>3.68</v>
      </c>
      <c r="E314" s="114">
        <v>9.98</v>
      </c>
      <c r="F314" s="114">
        <v>7.1</v>
      </c>
      <c r="G314" s="114">
        <v>7.1</v>
      </c>
      <c r="H314" s="114">
        <v>6.95</v>
      </c>
      <c r="I314" s="114">
        <v>7.13</v>
      </c>
      <c r="J314" s="115">
        <v>0.47708333333333336</v>
      </c>
      <c r="K314" s="114">
        <v>205.0</v>
      </c>
      <c r="L314" s="113">
        <v>1446.0</v>
      </c>
      <c r="M314" s="114" t="s">
        <v>175</v>
      </c>
      <c r="N314" s="114" t="s">
        <v>175</v>
      </c>
    </row>
    <row r="315">
      <c r="A315" s="117" t="s">
        <v>535</v>
      </c>
      <c r="B315" s="113">
        <v>4115.0</v>
      </c>
      <c r="C315" s="114">
        <v>-0.48</v>
      </c>
      <c r="D315" s="114">
        <v>0.24</v>
      </c>
      <c r="E315" s="114">
        <v>6.13</v>
      </c>
      <c r="F315" s="113">
        <v>4135.0</v>
      </c>
      <c r="G315" s="113">
        <v>4122.5</v>
      </c>
      <c r="H315" s="113">
        <v>4115.0</v>
      </c>
      <c r="I315" s="113">
        <v>4157.5</v>
      </c>
      <c r="J315" s="115">
        <v>0.47708333333333336</v>
      </c>
      <c r="K315" s="114">
        <v>203.0</v>
      </c>
      <c r="L315" s="113">
        <v>838243.0</v>
      </c>
      <c r="M315" s="114" t="s">
        <v>267</v>
      </c>
      <c r="N315" s="113">
        <v>1491.84</v>
      </c>
    </row>
    <row r="316">
      <c r="A316" s="117" t="s">
        <v>536</v>
      </c>
      <c r="B316" s="114">
        <v>2.9</v>
      </c>
      <c r="C316" s="114">
        <v>2.65</v>
      </c>
      <c r="D316" s="114">
        <v>2.47</v>
      </c>
      <c r="E316" s="114">
        <v>9.85</v>
      </c>
      <c r="F316" s="114">
        <v>2.82</v>
      </c>
      <c r="G316" s="114">
        <v>2.8</v>
      </c>
      <c r="H316" s="114">
        <v>2.8</v>
      </c>
      <c r="I316" s="114">
        <v>2.92</v>
      </c>
      <c r="J316" s="115">
        <v>0.47708333333333336</v>
      </c>
      <c r="K316" s="114">
        <v>25.0</v>
      </c>
      <c r="L316" s="114">
        <v>72.0</v>
      </c>
      <c r="M316" s="114" t="s">
        <v>175</v>
      </c>
      <c r="N316" s="114" t="s">
        <v>175</v>
      </c>
    </row>
    <row r="317">
      <c r="A317" s="117" t="s">
        <v>537</v>
      </c>
      <c r="B317" s="113">
        <v>9345.0</v>
      </c>
      <c r="C317" s="114">
        <v>-0.9</v>
      </c>
      <c r="D317" s="114">
        <v>-0.63</v>
      </c>
      <c r="E317" s="114">
        <v>-1.57</v>
      </c>
      <c r="F317" s="113">
        <v>9430.0</v>
      </c>
      <c r="G317" s="113">
        <v>9345.0</v>
      </c>
      <c r="H317" s="113">
        <v>9345.0</v>
      </c>
      <c r="I317" s="113">
        <v>9465.0</v>
      </c>
      <c r="J317" s="115">
        <v>0.47708333333333336</v>
      </c>
      <c r="K317" s="114">
        <v>37.0</v>
      </c>
      <c r="L317" s="113">
        <v>347660.0</v>
      </c>
      <c r="M317" s="114" t="s">
        <v>400</v>
      </c>
      <c r="N317" s="113">
        <v>1483.71</v>
      </c>
    </row>
    <row r="318">
      <c r="A318" s="117" t="s">
        <v>538</v>
      </c>
      <c r="B318" s="114">
        <v>6.44</v>
      </c>
      <c r="C318" s="114">
        <v>-0.46</v>
      </c>
      <c r="D318" s="114">
        <v>-0.92</v>
      </c>
      <c r="E318" s="114">
        <v>2.06</v>
      </c>
      <c r="F318" s="114">
        <v>6.47</v>
      </c>
      <c r="G318" s="114">
        <v>6.44</v>
      </c>
      <c r="H318" s="114">
        <v>6.44</v>
      </c>
      <c r="I318" s="114">
        <v>6.44</v>
      </c>
      <c r="J318" s="115">
        <v>0.4722222222222222</v>
      </c>
      <c r="K318" s="114">
        <v>15.0</v>
      </c>
      <c r="L318" s="114">
        <v>97.0</v>
      </c>
      <c r="M318" s="114" t="s">
        <v>175</v>
      </c>
      <c r="N318" s="114" t="s">
        <v>175</v>
      </c>
    </row>
    <row r="319">
      <c r="A319" s="117" t="s">
        <v>539</v>
      </c>
      <c r="B319" s="113">
        <v>37360.0</v>
      </c>
      <c r="C319" s="114">
        <v>-0.69</v>
      </c>
      <c r="D319" s="114">
        <v>-2.1</v>
      </c>
      <c r="E319" s="114">
        <v>9.24</v>
      </c>
      <c r="F319" s="113">
        <v>37620.0</v>
      </c>
      <c r="G319" s="113">
        <v>37600.0</v>
      </c>
      <c r="H319" s="113">
        <v>37220.0</v>
      </c>
      <c r="I319" s="113">
        <v>37620.0</v>
      </c>
      <c r="J319" s="115">
        <v>0.47708333333333336</v>
      </c>
      <c r="K319" s="114">
        <v>516.0</v>
      </c>
      <c r="L319" s="113">
        <v>1.933316E7</v>
      </c>
      <c r="M319" s="114" t="s">
        <v>173</v>
      </c>
      <c r="N319" s="113">
        <v>1492.91</v>
      </c>
    </row>
    <row r="320">
      <c r="A320" s="117" t="s">
        <v>540</v>
      </c>
      <c r="B320" s="114">
        <v>25.75</v>
      </c>
      <c r="C320" s="114">
        <v>-0.73</v>
      </c>
      <c r="D320" s="114">
        <v>-1.23</v>
      </c>
      <c r="E320" s="114">
        <v>11.57</v>
      </c>
      <c r="F320" s="114">
        <v>25.94</v>
      </c>
      <c r="G320" s="114">
        <v>26.16</v>
      </c>
      <c r="H320" s="114">
        <v>25.75</v>
      </c>
      <c r="I320" s="114">
        <v>26.16</v>
      </c>
      <c r="J320" s="115">
        <v>0.47708333333333336</v>
      </c>
      <c r="K320" s="114">
        <v>264.0</v>
      </c>
      <c r="L320" s="113">
        <v>6830.0</v>
      </c>
      <c r="M320" s="114" t="s">
        <v>175</v>
      </c>
      <c r="N320" s="114" t="s">
        <v>175</v>
      </c>
    </row>
    <row r="321">
      <c r="A321" s="117" t="s">
        <v>541</v>
      </c>
      <c r="B321" s="113">
        <v>40140.0</v>
      </c>
      <c r="C321" s="114">
        <v>-0.59</v>
      </c>
      <c r="D321" s="114">
        <v>-0.1</v>
      </c>
      <c r="E321" s="114">
        <v>-5.11</v>
      </c>
      <c r="F321" s="113">
        <v>40380.0</v>
      </c>
      <c r="G321" s="113">
        <v>39840.0</v>
      </c>
      <c r="H321" s="113">
        <v>39840.0</v>
      </c>
      <c r="I321" s="113">
        <v>40420.0</v>
      </c>
      <c r="J321" s="115">
        <v>0.47708333333333336</v>
      </c>
      <c r="K321" s="116">
        <v>1037.0</v>
      </c>
      <c r="L321" s="113">
        <v>4.171446E7</v>
      </c>
      <c r="M321" s="114" t="s">
        <v>173</v>
      </c>
      <c r="N321" s="113">
        <v>1485.84</v>
      </c>
    </row>
    <row r="322">
      <c r="A322" s="117" t="s">
        <v>542</v>
      </c>
      <c r="B322" s="114">
        <v>28.24</v>
      </c>
      <c r="C322" s="114">
        <v>1.29</v>
      </c>
      <c r="D322" s="114">
        <v>1.99</v>
      </c>
      <c r="E322" s="114">
        <v>-0.74</v>
      </c>
      <c r="F322" s="114">
        <v>27.88</v>
      </c>
      <c r="G322" s="114">
        <v>28.24</v>
      </c>
      <c r="H322" s="114">
        <v>28.24</v>
      </c>
      <c r="I322" s="114">
        <v>28.24</v>
      </c>
      <c r="J322" s="115">
        <v>0.47708333333333336</v>
      </c>
      <c r="K322" s="114">
        <v>18.0</v>
      </c>
      <c r="L322" s="114">
        <v>508.0</v>
      </c>
      <c r="M322" s="114" t="s">
        <v>175</v>
      </c>
      <c r="N322" s="114" t="s">
        <v>175</v>
      </c>
    </row>
    <row r="323">
      <c r="A323" s="117" t="s">
        <v>543</v>
      </c>
      <c r="B323" s="113">
        <v>8875.0</v>
      </c>
      <c r="C323" s="114">
        <v>-0.28</v>
      </c>
      <c r="D323" s="114">
        <v>-0.22</v>
      </c>
      <c r="E323" s="114">
        <v>4.78</v>
      </c>
      <c r="F323" s="113">
        <v>8900.0</v>
      </c>
      <c r="G323" s="113">
        <v>8985.0</v>
      </c>
      <c r="H323" s="113">
        <v>8860.0</v>
      </c>
      <c r="I323" s="113">
        <v>8985.0</v>
      </c>
      <c r="J323" s="115">
        <v>0.47708333333333336</v>
      </c>
      <c r="K323" s="114">
        <v>193.0</v>
      </c>
      <c r="L323" s="113">
        <v>1720200.0</v>
      </c>
      <c r="M323" s="114" t="s">
        <v>487</v>
      </c>
      <c r="N323" s="113">
        <v>1483.32</v>
      </c>
    </row>
    <row r="324">
      <c r="A324" s="117" t="s">
        <v>544</v>
      </c>
      <c r="B324" s="113">
        <v>4740.0</v>
      </c>
      <c r="C324" s="114" t="s">
        <v>175</v>
      </c>
      <c r="D324" s="114">
        <v>-3.07</v>
      </c>
      <c r="E324" s="114">
        <v>-1.71</v>
      </c>
      <c r="F324" s="113">
        <v>4740.0</v>
      </c>
      <c r="G324" s="113">
        <v>4782.5</v>
      </c>
      <c r="H324" s="113">
        <v>4705.0</v>
      </c>
      <c r="I324" s="113">
        <v>4782.5</v>
      </c>
      <c r="J324" s="115">
        <v>0.47708333333333336</v>
      </c>
      <c r="K324" s="116">
        <v>2102.0</v>
      </c>
      <c r="L324" s="113">
        <v>9995718.0</v>
      </c>
      <c r="M324" s="114" t="s">
        <v>545</v>
      </c>
      <c r="N324" s="113">
        <v>1501.03</v>
      </c>
    </row>
    <row r="325">
      <c r="A325" s="117" t="s">
        <v>546</v>
      </c>
      <c r="B325" s="114">
        <v>3.26</v>
      </c>
      <c r="C325" s="114">
        <v>-0.31</v>
      </c>
      <c r="D325" s="114">
        <v>0.93</v>
      </c>
      <c r="E325" s="114" t="s">
        <v>175</v>
      </c>
      <c r="F325" s="114">
        <v>3.27</v>
      </c>
      <c r="G325" s="114">
        <v>3.31</v>
      </c>
      <c r="H325" s="114">
        <v>3.26</v>
      </c>
      <c r="I325" s="114">
        <v>3.31</v>
      </c>
      <c r="J325" s="115">
        <v>0.47291666666666665</v>
      </c>
      <c r="K325" s="114">
        <v>261.0</v>
      </c>
      <c r="L325" s="114">
        <v>857.0</v>
      </c>
      <c r="M325" s="114" t="s">
        <v>175</v>
      </c>
      <c r="N325" s="114" t="s">
        <v>175</v>
      </c>
    </row>
    <row r="326">
      <c r="A326" s="117" t="s">
        <v>547</v>
      </c>
      <c r="B326" s="113">
        <v>7850.0</v>
      </c>
      <c r="C326" s="114">
        <v>-0.57</v>
      </c>
      <c r="D326" s="114">
        <v>0.64</v>
      </c>
      <c r="E326" s="114">
        <v>6.08</v>
      </c>
      <c r="F326" s="113">
        <v>7895.0</v>
      </c>
      <c r="G326" s="113">
        <v>7975.0</v>
      </c>
      <c r="H326" s="113">
        <v>7785.0</v>
      </c>
      <c r="I326" s="113">
        <v>7975.0</v>
      </c>
      <c r="J326" s="115">
        <v>0.47708333333333336</v>
      </c>
      <c r="K326" s="116">
        <v>4063.0</v>
      </c>
      <c r="L326" s="113">
        <v>3.2108705E7</v>
      </c>
      <c r="M326" s="114" t="s">
        <v>273</v>
      </c>
      <c r="N326" s="113">
        <v>1486.39</v>
      </c>
    </row>
    <row r="327">
      <c r="A327" s="117" t="s">
        <v>548</v>
      </c>
      <c r="B327" s="114">
        <v>5.5</v>
      </c>
      <c r="C327" s="114">
        <v>1.29</v>
      </c>
      <c r="D327" s="114">
        <v>3.38</v>
      </c>
      <c r="E327" s="114">
        <v>7.84</v>
      </c>
      <c r="F327" s="114">
        <v>5.43</v>
      </c>
      <c r="G327" s="114">
        <v>5.5</v>
      </c>
      <c r="H327" s="114">
        <v>5.5</v>
      </c>
      <c r="I327" s="114">
        <v>5.5</v>
      </c>
      <c r="J327" s="115">
        <v>0.4736111111111111</v>
      </c>
      <c r="K327" s="114">
        <v>100.0</v>
      </c>
      <c r="L327" s="114">
        <v>550.0</v>
      </c>
      <c r="M327" s="114" t="s">
        <v>175</v>
      </c>
      <c r="N327" s="114" t="s">
        <v>175</v>
      </c>
    </row>
    <row r="328">
      <c r="A328" s="117" t="s">
        <v>549</v>
      </c>
      <c r="B328" s="113">
        <v>6730.0</v>
      </c>
      <c r="C328" s="114">
        <v>-1.61</v>
      </c>
      <c r="D328" s="114">
        <v>-2.32</v>
      </c>
      <c r="E328" s="114">
        <v>-2.11</v>
      </c>
      <c r="F328" s="113">
        <v>6840.0</v>
      </c>
      <c r="G328" s="113">
        <v>6810.0</v>
      </c>
      <c r="H328" s="113">
        <v>6730.0</v>
      </c>
      <c r="I328" s="113">
        <v>6830.0</v>
      </c>
      <c r="J328" s="115">
        <v>0.47708333333333336</v>
      </c>
      <c r="K328" s="114">
        <v>292.0</v>
      </c>
      <c r="L328" s="113">
        <v>1982680.0</v>
      </c>
      <c r="M328" s="114" t="s">
        <v>227</v>
      </c>
      <c r="N328" s="113">
        <v>1478.76</v>
      </c>
    </row>
    <row r="329">
      <c r="A329" s="117" t="s">
        <v>550</v>
      </c>
      <c r="B329" s="113">
        <v>8005.0</v>
      </c>
      <c r="C329" s="114">
        <v>-0.06</v>
      </c>
      <c r="D329" s="114">
        <v>-0.56</v>
      </c>
      <c r="E329" s="114">
        <v>-1.84</v>
      </c>
      <c r="F329" s="113">
        <v>8010.0</v>
      </c>
      <c r="G329" s="113">
        <v>8045.0</v>
      </c>
      <c r="H329" s="113">
        <v>7925.0</v>
      </c>
      <c r="I329" s="113">
        <v>8045.0</v>
      </c>
      <c r="J329" s="115">
        <v>0.47708333333333336</v>
      </c>
      <c r="K329" s="114">
        <v>778.0</v>
      </c>
      <c r="L329" s="113">
        <v>6218465.0</v>
      </c>
      <c r="M329" s="114" t="s">
        <v>551</v>
      </c>
      <c r="N329" s="113">
        <v>1491.07</v>
      </c>
    </row>
    <row r="330">
      <c r="A330" s="117" t="s">
        <v>552</v>
      </c>
      <c r="B330" s="114">
        <v>5.54</v>
      </c>
      <c r="C330" s="114">
        <v>-0.18</v>
      </c>
      <c r="D330" s="114">
        <v>0.54</v>
      </c>
      <c r="E330" s="114">
        <v>0.18</v>
      </c>
      <c r="F330" s="114">
        <v>5.55</v>
      </c>
      <c r="G330" s="114">
        <v>5.55</v>
      </c>
      <c r="H330" s="114">
        <v>5.54</v>
      </c>
      <c r="I330" s="114">
        <v>5.55</v>
      </c>
      <c r="J330" s="115">
        <v>0.47708333333333336</v>
      </c>
      <c r="K330" s="114">
        <v>641.0</v>
      </c>
      <c r="L330" s="113">
        <v>3553.0</v>
      </c>
      <c r="M330" s="114" t="s">
        <v>175</v>
      </c>
      <c r="N330" s="114" t="s">
        <v>175</v>
      </c>
    </row>
    <row r="331">
      <c r="A331" s="117" t="s">
        <v>553</v>
      </c>
      <c r="B331" s="113">
        <v>4245.0</v>
      </c>
      <c r="C331" s="114">
        <v>0.3</v>
      </c>
      <c r="D331" s="114">
        <v>0.71</v>
      </c>
      <c r="E331" s="114">
        <v>0.18</v>
      </c>
      <c r="F331" s="113">
        <v>4232.5</v>
      </c>
      <c r="G331" s="113">
        <v>4212.5</v>
      </c>
      <c r="H331" s="113">
        <v>4202.5</v>
      </c>
      <c r="I331" s="113">
        <v>4260.0</v>
      </c>
      <c r="J331" s="115">
        <v>0.47708333333333336</v>
      </c>
      <c r="K331" s="114">
        <v>363.0</v>
      </c>
      <c r="L331" s="113">
        <v>1539473.0</v>
      </c>
      <c r="M331" s="114" t="s">
        <v>554</v>
      </c>
      <c r="N331" s="113">
        <v>1496.56</v>
      </c>
    </row>
    <row r="332">
      <c r="A332" s="117" t="s">
        <v>555</v>
      </c>
      <c r="B332" s="113">
        <v>20530.0</v>
      </c>
      <c r="C332" s="114">
        <v>-1.16</v>
      </c>
      <c r="D332" s="114">
        <v>-3.16</v>
      </c>
      <c r="E332" s="114">
        <v>11.58</v>
      </c>
      <c r="F332" s="113">
        <v>20770.0</v>
      </c>
      <c r="G332" s="113">
        <v>20650.0</v>
      </c>
      <c r="H332" s="113">
        <v>20450.0</v>
      </c>
      <c r="I332" s="113">
        <v>20650.0</v>
      </c>
      <c r="J332" s="115">
        <v>0.47708333333333336</v>
      </c>
      <c r="K332" s="114">
        <v>836.0</v>
      </c>
      <c r="L332" s="113">
        <v>1.718109E7</v>
      </c>
      <c r="M332" s="114" t="s">
        <v>181</v>
      </c>
      <c r="N332" s="113">
        <v>1483.38</v>
      </c>
    </row>
    <row r="333">
      <c r="A333" s="117" t="s">
        <v>556</v>
      </c>
      <c r="B333" s="114">
        <v>14.24</v>
      </c>
      <c r="C333" s="114">
        <v>-1.73</v>
      </c>
      <c r="D333" s="114">
        <v>-1.18</v>
      </c>
      <c r="E333" s="114">
        <v>13.92</v>
      </c>
      <c r="F333" s="114">
        <v>14.49</v>
      </c>
      <c r="G333" s="114">
        <v>14.2</v>
      </c>
      <c r="H333" s="114">
        <v>13.79</v>
      </c>
      <c r="I333" s="114">
        <v>14.3</v>
      </c>
      <c r="J333" s="115">
        <v>0.47708333333333336</v>
      </c>
      <c r="K333" s="114">
        <v>174.0</v>
      </c>
      <c r="L333" s="113">
        <v>2468.0</v>
      </c>
      <c r="M333" s="114" t="s">
        <v>175</v>
      </c>
      <c r="N333" s="114" t="s">
        <v>175</v>
      </c>
    </row>
    <row r="334">
      <c r="A334" s="117" t="s">
        <v>557</v>
      </c>
      <c r="B334" s="113">
        <v>7475.0</v>
      </c>
      <c r="C334" s="114">
        <v>1.01</v>
      </c>
      <c r="D334" s="114">
        <v>2.47</v>
      </c>
      <c r="E334" s="114">
        <v>18.28</v>
      </c>
      <c r="F334" s="113">
        <v>7400.0</v>
      </c>
      <c r="G334" s="113">
        <v>7500.0</v>
      </c>
      <c r="H334" s="113">
        <v>7410.0</v>
      </c>
      <c r="I334" s="113">
        <v>7570.0</v>
      </c>
      <c r="J334" s="115">
        <v>0.47708333333333336</v>
      </c>
      <c r="K334" s="114">
        <v>389.0</v>
      </c>
      <c r="L334" s="113">
        <v>2917220.0</v>
      </c>
      <c r="M334" s="114" t="s">
        <v>189</v>
      </c>
      <c r="N334" s="113">
        <v>1509.34</v>
      </c>
    </row>
    <row r="335">
      <c r="A335" s="117" t="s">
        <v>558</v>
      </c>
      <c r="B335" s="114">
        <v>5.17</v>
      </c>
      <c r="C335" s="114" t="s">
        <v>175</v>
      </c>
      <c r="D335" s="114">
        <v>3.61</v>
      </c>
      <c r="E335" s="114">
        <v>20.79</v>
      </c>
      <c r="F335" s="114">
        <v>5.17</v>
      </c>
      <c r="G335" s="114">
        <v>5.16</v>
      </c>
      <c r="H335" s="114">
        <v>5.16</v>
      </c>
      <c r="I335" s="114">
        <v>5.17</v>
      </c>
      <c r="J335" s="115">
        <v>0.47708333333333336</v>
      </c>
      <c r="K335" s="114">
        <v>174.0</v>
      </c>
      <c r="L335" s="114">
        <v>898.0</v>
      </c>
      <c r="M335" s="114" t="s">
        <v>175</v>
      </c>
      <c r="N335" s="114" t="s">
        <v>175</v>
      </c>
    </row>
    <row r="336">
      <c r="A336" s="117" t="s">
        <v>559</v>
      </c>
      <c r="B336" s="113">
        <v>3400.0</v>
      </c>
      <c r="C336" s="114">
        <v>-2.3</v>
      </c>
      <c r="D336" s="114">
        <v>5.75</v>
      </c>
      <c r="E336" s="114">
        <v>-7.8</v>
      </c>
      <c r="F336" s="113">
        <v>3480.0</v>
      </c>
      <c r="G336" s="113">
        <v>3520.0</v>
      </c>
      <c r="H336" s="113">
        <v>3400.0</v>
      </c>
      <c r="I336" s="113">
        <v>3585.0</v>
      </c>
      <c r="J336" s="115">
        <v>0.47708333333333336</v>
      </c>
      <c r="K336" s="116">
        <v>1167.0</v>
      </c>
      <c r="L336" s="113">
        <v>4017693.0</v>
      </c>
      <c r="M336" s="114" t="s">
        <v>185</v>
      </c>
      <c r="N336" s="114" t="s">
        <v>175</v>
      </c>
    </row>
    <row r="337">
      <c r="A337" s="117" t="s">
        <v>560</v>
      </c>
      <c r="B337" s="113">
        <v>4300.0</v>
      </c>
      <c r="C337" s="114">
        <v>-4.5</v>
      </c>
      <c r="D337" s="114">
        <v>-5.18</v>
      </c>
      <c r="E337" s="114">
        <v>-13.83</v>
      </c>
      <c r="F337" s="113">
        <v>4502.5</v>
      </c>
      <c r="G337" s="113">
        <v>4430.0</v>
      </c>
      <c r="H337" s="113">
        <v>4265.0</v>
      </c>
      <c r="I337" s="113">
        <v>4430.0</v>
      </c>
      <c r="J337" s="115">
        <v>0.47708333333333336</v>
      </c>
      <c r="K337" s="114">
        <v>814.0</v>
      </c>
      <c r="L337" s="113">
        <v>3502623.0</v>
      </c>
      <c r="M337" s="114" t="s">
        <v>179</v>
      </c>
      <c r="N337" s="113">
        <v>1423.84</v>
      </c>
    </row>
    <row r="338">
      <c r="A338" s="117" t="s">
        <v>561</v>
      </c>
      <c r="B338" s="113">
        <v>2945.0</v>
      </c>
      <c r="C338" s="114">
        <v>0.26</v>
      </c>
      <c r="D338" s="114">
        <v>0.17</v>
      </c>
      <c r="E338" s="114">
        <v>6.51</v>
      </c>
      <c r="F338" s="113">
        <v>2937.5</v>
      </c>
      <c r="G338" s="113">
        <v>2920.0</v>
      </c>
      <c r="H338" s="113">
        <v>2920.0</v>
      </c>
      <c r="I338" s="113">
        <v>2967.5</v>
      </c>
      <c r="J338" s="115">
        <v>0.47708333333333336</v>
      </c>
      <c r="K338" s="114">
        <v>55.0</v>
      </c>
      <c r="L338" s="113">
        <v>161838.0</v>
      </c>
      <c r="M338" s="114" t="s">
        <v>562</v>
      </c>
      <c r="N338" s="113">
        <v>1490.58</v>
      </c>
    </row>
    <row r="339">
      <c r="A339" s="117" t="s">
        <v>563</v>
      </c>
      <c r="B339" s="114">
        <v>1.98</v>
      </c>
      <c r="C339" s="114">
        <v>-1.49</v>
      </c>
      <c r="D339" s="114">
        <v>-2.46</v>
      </c>
      <c r="E339" s="114">
        <v>6.45</v>
      </c>
      <c r="F339" s="114">
        <v>2.01</v>
      </c>
      <c r="G339" s="114">
        <v>1.98</v>
      </c>
      <c r="H339" s="114">
        <v>1.98</v>
      </c>
      <c r="I339" s="114">
        <v>1.98</v>
      </c>
      <c r="J339" s="115">
        <v>0.46458333333333335</v>
      </c>
      <c r="K339" s="114">
        <v>2.0</v>
      </c>
      <c r="L339" s="114">
        <v>4.0</v>
      </c>
      <c r="M339" s="114" t="s">
        <v>175</v>
      </c>
      <c r="N339" s="114" t="s">
        <v>175</v>
      </c>
    </row>
    <row r="340">
      <c r="A340" s="118" t="s">
        <v>564</v>
      </c>
      <c r="B340" s="119"/>
      <c r="C340" s="119"/>
      <c r="D340" s="119"/>
      <c r="E340" s="119"/>
      <c r="F340" s="119"/>
      <c r="G340" s="119"/>
      <c r="H340" s="119"/>
      <c r="I340" s="119"/>
      <c r="J340" s="119"/>
      <c r="K340" s="119"/>
      <c r="L340" s="119"/>
      <c r="M340" s="119"/>
      <c r="N340" s="119"/>
    </row>
    <row r="341">
      <c r="A341" s="120"/>
    </row>
    <row r="342">
      <c r="A342" s="121" t="s">
        <v>565</v>
      </c>
    </row>
    <row r="343">
      <c r="A343" s="121" t="s">
        <v>566</v>
      </c>
    </row>
    <row r="344">
      <c r="A344" s="122" t="s">
        <v>567</v>
      </c>
    </row>
    <row r="345">
      <c r="A345" s="120"/>
    </row>
    <row r="346">
      <c r="A346" s="121" t="s">
        <v>568</v>
      </c>
    </row>
    <row r="347">
      <c r="A347" s="121" t="s">
        <v>569</v>
      </c>
    </row>
    <row r="348">
      <c r="A348" s="122" t="s">
        <v>570</v>
      </c>
    </row>
    <row r="349">
      <c r="A349" s="120"/>
    </row>
    <row r="350">
      <c r="A350" s="121" t="s">
        <v>571</v>
      </c>
    </row>
    <row r="351">
      <c r="A351" s="121" t="s">
        <v>572</v>
      </c>
    </row>
    <row r="352">
      <c r="A352" s="121" t="s">
        <v>573</v>
      </c>
    </row>
    <row r="353">
      <c r="A353" s="122" t="s">
        <v>574</v>
      </c>
    </row>
    <row r="354">
      <c r="A354" s="120"/>
    </row>
    <row r="355">
      <c r="A355" s="121" t="s">
        <v>575</v>
      </c>
    </row>
    <row r="356">
      <c r="A356" s="121" t="s">
        <v>576</v>
      </c>
    </row>
    <row r="357">
      <c r="A357" s="121" t="s">
        <v>577</v>
      </c>
    </row>
    <row r="358">
      <c r="A358" s="121" t="s">
        <v>578</v>
      </c>
    </row>
    <row r="359">
      <c r="A359" s="121" t="s">
        <v>579</v>
      </c>
    </row>
    <row r="360">
      <c r="A360" s="121" t="s">
        <v>580</v>
      </c>
    </row>
    <row r="361">
      <c r="A361" s="121" t="s">
        <v>581</v>
      </c>
    </row>
    <row r="362">
      <c r="A362" s="121" t="s">
        <v>582</v>
      </c>
    </row>
    <row r="363">
      <c r="A363" s="121" t="s">
        <v>583</v>
      </c>
    </row>
    <row r="364">
      <c r="A364" s="120"/>
    </row>
    <row r="365">
      <c r="A365" s="121" t="s">
        <v>584</v>
      </c>
    </row>
    <row r="366">
      <c r="A366" s="123" t="s">
        <v>585</v>
      </c>
    </row>
    <row r="367">
      <c r="A367" s="123" t="s">
        <v>586</v>
      </c>
    </row>
    <row r="368">
      <c r="A368" s="123" t="s">
        <v>587</v>
      </c>
    </row>
    <row r="369">
      <c r="A369" s="123" t="s">
        <v>588</v>
      </c>
    </row>
    <row r="370">
      <c r="A370" s="124"/>
    </row>
    <row r="371">
      <c r="A371" s="123" t="s">
        <v>589</v>
      </c>
    </row>
    <row r="372">
      <c r="A372" s="123" t="s">
        <v>590</v>
      </c>
    </row>
    <row r="373">
      <c r="A373" s="124"/>
    </row>
    <row r="374">
      <c r="A374" s="123" t="s">
        <v>591</v>
      </c>
    </row>
    <row r="375">
      <c r="A375" s="123" t="s">
        <v>592</v>
      </c>
    </row>
    <row r="376">
      <c r="A376" s="123" t="s">
        <v>593</v>
      </c>
    </row>
    <row r="377">
      <c r="A377" s="125" t="s">
        <v>594</v>
      </c>
    </row>
    <row r="378">
      <c r="A378" s="126"/>
    </row>
  </sheetData>
  <hyperlinks>
    <hyperlink r:id="rId1" ref="A1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2"/>
    <hyperlink r:id="rId340" ref="A343"/>
    <hyperlink r:id="rId341" ref="A346"/>
    <hyperlink r:id="rId342" ref="A347"/>
    <hyperlink r:id="rId343" ref="A350"/>
    <hyperlink r:id="rId344" ref="A351"/>
    <hyperlink r:id="rId345" ref="A352"/>
    <hyperlink r:id="rId346" ref="A355"/>
    <hyperlink r:id="rId347" ref="A356"/>
    <hyperlink r:id="rId348" ref="A357"/>
    <hyperlink r:id="rId349" ref="A358"/>
    <hyperlink r:id="rId350" ref="A359"/>
    <hyperlink r:id="rId351" ref="A360"/>
    <hyperlink r:id="rId352" ref="A361"/>
    <hyperlink r:id="rId353" ref="A362"/>
    <hyperlink r:id="rId354" ref="A363"/>
    <hyperlink r:id="rId355" ref="A365"/>
  </hyperlinks>
  <drawing r:id="rId356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27" t="s">
        <v>0</v>
      </c>
      <c r="C2" s="127" t="s">
        <v>595</v>
      </c>
    </row>
    <row r="3">
      <c r="B3" s="128" t="s">
        <v>88</v>
      </c>
      <c r="C3" s="129">
        <v>0.007</v>
      </c>
      <c r="D3" s="34" t="s">
        <v>596</v>
      </c>
    </row>
    <row r="4">
      <c r="B4" s="128" t="s">
        <v>20</v>
      </c>
      <c r="C4" s="129">
        <v>0.00726</v>
      </c>
      <c r="D4" s="34" t="s">
        <v>597</v>
      </c>
    </row>
    <row r="5">
      <c r="B5" s="128" t="s">
        <v>66</v>
      </c>
      <c r="C5" s="129">
        <v>0.002</v>
      </c>
    </row>
    <row r="6">
      <c r="B6" s="128" t="s">
        <v>598</v>
      </c>
      <c r="C6" s="129">
        <v>0.0</v>
      </c>
    </row>
    <row r="7">
      <c r="B7" s="128" t="s">
        <v>137</v>
      </c>
      <c r="C7" s="129">
        <v>0.007</v>
      </c>
    </row>
    <row r="8">
      <c r="B8" s="130"/>
      <c r="C8" s="131"/>
    </row>
    <row r="9">
      <c r="B9" s="130"/>
      <c r="C9" s="131"/>
    </row>
    <row r="10">
      <c r="B10" s="130"/>
      <c r="C10" s="131"/>
    </row>
    <row r="11">
      <c r="B11" s="130"/>
      <c r="C11" s="131"/>
    </row>
    <row r="12">
      <c r="B12" s="130"/>
      <c r="C12" s="131"/>
    </row>
    <row r="13">
      <c r="B13" s="130"/>
      <c r="C13" s="131"/>
    </row>
    <row r="14">
      <c r="B14" s="130"/>
      <c r="C14" s="131"/>
    </row>
    <row r="15">
      <c r="B15" s="130"/>
      <c r="C15" s="131"/>
    </row>
    <row r="16">
      <c r="B16" s="130"/>
      <c r="C16" s="131"/>
    </row>
    <row r="17">
      <c r="B17" s="130"/>
      <c r="C17" s="131"/>
    </row>
    <row r="18">
      <c r="B18" s="130"/>
      <c r="C18" s="131"/>
    </row>
    <row r="19">
      <c r="B19" s="130"/>
      <c r="C19" s="131"/>
    </row>
    <row r="20">
      <c r="B20" s="130"/>
      <c r="C20" s="131"/>
    </row>
    <row r="21">
      <c r="B21" s="130"/>
      <c r="C21" s="131"/>
    </row>
    <row r="22">
      <c r="B22" s="130"/>
      <c r="C22" s="130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1A2E"/>
    <pageSetUpPr/>
  </sheetPr>
  <sheetViews>
    <sheetView showGridLines="0" workbookViewId="0"/>
  </sheetViews>
  <sheetFormatPr customHeight="1" defaultColWidth="12.63" defaultRowHeight="15.75"/>
  <cols>
    <col customWidth="1" min="1" max="3" width="19.25"/>
    <col customWidth="1" min="4" max="4" width="15.75"/>
    <col customWidth="1" min="5" max="5" width="14.0"/>
    <col customWidth="1" min="6" max="6" width="20.75"/>
    <col customWidth="1" min="7" max="7" width="17.5"/>
    <col customWidth="1" min="8" max="8" width="8.75"/>
    <col customWidth="1" min="9" max="26" width="7.63"/>
  </cols>
  <sheetData>
    <row r="1" ht="36.0" customHeight="1">
      <c r="A1" s="132" t="s">
        <v>599</v>
      </c>
      <c r="B1" s="133"/>
      <c r="C1" s="133"/>
      <c r="D1" s="133"/>
      <c r="E1" s="133"/>
      <c r="F1" s="133"/>
      <c r="G1" s="133"/>
      <c r="H1" s="134"/>
    </row>
    <row r="2" ht="19.5" customHeight="1">
      <c r="A2" s="135">
        <f>TODAY()</f>
        <v>46117</v>
      </c>
      <c r="B2" s="133"/>
      <c r="C2" s="133"/>
      <c r="D2" s="133"/>
      <c r="E2" s="133"/>
      <c r="F2" s="133"/>
      <c r="G2" s="133"/>
      <c r="H2" s="134"/>
    </row>
    <row r="3" ht="9.75" customHeight="1"/>
    <row r="4" ht="25.5" customHeight="1">
      <c r="A4" s="136" t="s">
        <v>600</v>
      </c>
      <c r="B4" s="133"/>
      <c r="C4" s="133"/>
      <c r="D4" s="133"/>
      <c r="E4" s="133"/>
      <c r="F4" s="133"/>
      <c r="G4" s="133"/>
      <c r="H4" s="134"/>
    </row>
    <row r="5" ht="24.0" customHeight="1">
      <c r="A5" s="137" t="s">
        <v>601</v>
      </c>
      <c r="B5" s="137" t="s">
        <v>3</v>
      </c>
      <c r="C5" s="137" t="s">
        <v>602</v>
      </c>
      <c r="D5" s="137" t="s">
        <v>603</v>
      </c>
      <c r="E5" s="137" t="s">
        <v>604</v>
      </c>
      <c r="F5" s="137" t="s">
        <v>605</v>
      </c>
      <c r="G5" s="137" t="s">
        <v>606</v>
      </c>
      <c r="H5" s="137"/>
    </row>
    <row r="6" ht="21.75" customHeight="1">
      <c r="A6" s="138" t="s">
        <v>607</v>
      </c>
      <c r="B6" s="139" t="str">
        <f>IFERROR(BTC!C2,"")</f>
        <v>Sin datos</v>
      </c>
      <c r="C6" s="140">
        <f>IFERROR(BTC!E2,0)</f>
        <v>0</v>
      </c>
      <c r="D6" s="141" t="str">
        <f>IFERROR(BTC!G2,"-")</f>
        <v>-</v>
      </c>
      <c r="E6" s="139">
        <f>IFERROR(COUNTIF(BTC!C5:C54,"Incremento"),0)</f>
        <v>0</v>
      </c>
      <c r="F6" s="142" t="str">
        <f t="array" ref="F6">IFERROR(IF(COUNTIF(BTC!C5:C54,"Apertura")&gt;0,INDEX(BTC!B5:B54,MATCH("Apertura",BTC!C5:C54,0)),"-"),"-")</f>
        <v>-</v>
      </c>
      <c r="G6" s="143"/>
    </row>
    <row r="7" ht="21.75" customHeight="1">
      <c r="A7" s="144" t="s">
        <v>608</v>
      </c>
      <c r="B7" s="145" t="str">
        <f>IFERROR(ETH!C2,"")</f>
        <v>✅ Sí, posición activa</v>
      </c>
      <c r="C7" s="146">
        <f>IFERROR(ETH!E2,0)</f>
        <v>0</v>
      </c>
      <c r="D7" s="147" t="str">
        <f>IFERROR(ETH!G2,"-")</f>
        <v>-</v>
      </c>
      <c r="E7" s="145">
        <f>IFERROR(COUNTIF(ETH!C5:C101,"Incremento"),0)</f>
        <v>62</v>
      </c>
      <c r="F7" s="148">
        <f t="array" ref="F7">IFERROR(IF(COUNTIF(ETH!C5:C101,"Apertura")&gt;0,INDEX(ETH!B5:B101,MATCH("Apertura",ETH!C5:C101,0)),"-"),"-")</f>
        <v>45975</v>
      </c>
      <c r="G7" s="149"/>
    </row>
    <row r="8" ht="21.75" customHeight="1">
      <c r="A8" s="138" t="s">
        <v>609</v>
      </c>
      <c r="B8" s="139" t="str">
        <f>IFERROR(ADA!C2,"")</f>
        <v>✅ Sí, posición activa</v>
      </c>
      <c r="C8" s="140">
        <f>IFERROR(ADA!E2,0)</f>
        <v>0</v>
      </c>
      <c r="D8" s="141" t="str">
        <f>IFERROR(ADA!G2,"-")</f>
        <v>-</v>
      </c>
      <c r="E8" s="139">
        <f>IFERROR(COUNTIF(ADA!C5:C54,"Incremento"),0)</f>
        <v>26</v>
      </c>
      <c r="F8" s="142">
        <f t="array" ref="F8">IFERROR(IF(COUNTIF(ADA!C5:C54,"Apertura")&gt;0,INDEX(ADA!B5:B54,MATCH("Apertura",ADA!C5:C54,0)),"-"),"-")</f>
        <v>46012</v>
      </c>
      <c r="G8" s="143"/>
    </row>
    <row r="9" ht="21.75" customHeight="1">
      <c r="A9" s="144" t="s">
        <v>610</v>
      </c>
      <c r="B9" s="145" t="str">
        <f>IFERROR(PAXGUSD!C2,"")</f>
        <v>Sin posición abierta</v>
      </c>
      <c r="C9" s="146">
        <f>IFERROR(PAXGUSD!E2,0)</f>
        <v>0</v>
      </c>
      <c r="D9" s="147" t="str">
        <f>IFERROR(PAXGUSD!G2,"-")</f>
        <v>-</v>
      </c>
      <c r="E9" s="145">
        <f>IFERROR(COUNTIF(PAXGUSD!C5:C54,"Incremento"),0)</f>
        <v>24</v>
      </c>
      <c r="F9" s="148">
        <f t="array" ref="F9">IFERROR(IF(COUNTIF(PAXGUSD!C5:C54,"Apertura")&gt;0,INDEX(PAXGUSD!B5:B54,MATCH("Apertura",PAXGUSD!C5:C54,0)),"-"),"-")</f>
        <v>46051</v>
      </c>
      <c r="G9" s="149"/>
    </row>
    <row r="10" ht="21.75" customHeight="1">
      <c r="A10" s="150" t="s">
        <v>611</v>
      </c>
      <c r="B10" s="134"/>
      <c r="C10" s="151">
        <f>SUM(C6:C9)</f>
        <v>0</v>
      </c>
    </row>
    <row r="11" ht="9.75" customHeight="1"/>
    <row r="12" ht="25.5" customHeight="1">
      <c r="A12" s="152" t="s">
        <v>612</v>
      </c>
      <c r="B12" s="133"/>
      <c r="C12" s="133"/>
      <c r="D12" s="133"/>
      <c r="E12" s="133"/>
      <c r="F12" s="133"/>
      <c r="G12" s="133"/>
      <c r="H12" s="134"/>
    </row>
    <row r="13" ht="24.0" customHeight="1">
      <c r="A13" s="137" t="s">
        <v>601</v>
      </c>
      <c r="B13" s="137" t="s">
        <v>613</v>
      </c>
      <c r="C13" s="137" t="s">
        <v>614</v>
      </c>
      <c r="D13" s="137" t="s">
        <v>615</v>
      </c>
      <c r="E13" s="137" t="s">
        <v>616</v>
      </c>
      <c r="F13" s="137" t="s">
        <v>617</v>
      </c>
      <c r="G13" s="137"/>
      <c r="H13" s="137"/>
    </row>
    <row r="14" ht="21.75" customHeight="1">
      <c r="A14" s="153" t="s">
        <v>607</v>
      </c>
      <c r="B14" s="154">
        <f>IFERROR(COUNTIF(BTC!C5:C54,"Cierre"),0)</f>
        <v>0</v>
      </c>
      <c r="C14" s="155">
        <f>IFERROR(BTC!I2,0)</f>
        <v>0</v>
      </c>
      <c r="D14" s="155">
        <f>IFERROR(IF(COUNTIF(BTC!C5:C54,"Cierre")&gt;0,BTC!I2/COUNTIF(BTC!C5:C54,"Cierre"),0),0)</f>
        <v>0</v>
      </c>
      <c r="E14" s="155">
        <f>IFERROR(maxifs(BTC!H5:H54,BTC!C5:C54,"Cierre"),0)</f>
        <v>0</v>
      </c>
      <c r="F14" s="155">
        <f>IFERROR(minifs(BTC!H5:H54,BTC!C5:C54,"Cierre"),0)</f>
        <v>0</v>
      </c>
      <c r="G14" s="156"/>
      <c r="H14" s="156"/>
    </row>
    <row r="15" ht="21.75" customHeight="1">
      <c r="A15" s="157" t="s">
        <v>608</v>
      </c>
      <c r="B15" s="158">
        <f>IFERROR(COUNTIF(ETH!C5:C101,"Cierre"),0)</f>
        <v>17</v>
      </c>
      <c r="C15" s="159">
        <f>IFERROR(ETH!I2,0)</f>
        <v>2056.43</v>
      </c>
      <c r="D15" s="159">
        <f>IFERROR(IF(COUNTIF(ETH!C5:C101,"Cierre")&gt;0,ETH!I2/COUNTIF(ETH!C5:C101,"Cierre"),0),0)</f>
        <v>120.9664706</v>
      </c>
      <c r="E15" s="159">
        <f>IFERROR(maxifs(ETH!H5:H101,ETH!C5:C101,"Cierre"),0)</f>
        <v>236</v>
      </c>
      <c r="F15" s="159">
        <f>IFERROR(minifs(ETH!H5:H101,ETH!C5:C101,"Cierre"),0)</f>
        <v>29</v>
      </c>
      <c r="G15" s="160"/>
      <c r="H15" s="160"/>
    </row>
    <row r="16" ht="21.75" customHeight="1">
      <c r="A16" s="153" t="s">
        <v>609</v>
      </c>
      <c r="B16" s="154">
        <f>IFERROR(COUNTIF(ADA!C5:C54,"Cierre"),0)</f>
        <v>11</v>
      </c>
      <c r="C16" s="155">
        <f>IFERROR(ADA!I2,0)</f>
        <v>869.17</v>
      </c>
      <c r="D16" s="155">
        <f>IFERROR(IF(COUNTIF(ADA!C5:C54,"Cierre")&gt;0,ADA!I2/COUNTIF(ADA!C5:C54,"Cierre"),0),0)</f>
        <v>79.01545455</v>
      </c>
      <c r="E16" s="155">
        <f>IFERROR(maxifs(ADA!H5:H54,ADA!C5:C54,"Cierre"),0)</f>
        <v>209</v>
      </c>
      <c r="F16" s="155">
        <f>IFERROR(minifs(ADA!H5:H54,ADA!C5:C54,"Cierre"),0)</f>
        <v>-350</v>
      </c>
      <c r="G16" s="156"/>
      <c r="H16" s="156"/>
    </row>
    <row r="17" ht="21.75" customHeight="1">
      <c r="A17" s="157" t="s">
        <v>610</v>
      </c>
      <c r="B17" s="158">
        <f>IFERROR(COUNTIF(PAXGUSD!C5:C54,"Cierre"),0)</f>
        <v>5</v>
      </c>
      <c r="C17" s="159">
        <f>IFERROR(PAXGUSD!I2,0)</f>
        <v>-1531</v>
      </c>
      <c r="D17" s="159">
        <f>IFERROR(IF(COUNTIF(PAXGUSD!C5:C54,"Cierre")&gt;0,PAXGUSD!I2/COUNTIF(PAXGUSD!C5:C54,"Cierre"),0),0)</f>
        <v>-306.2</v>
      </c>
      <c r="E17" s="159">
        <f>IFERROR(maxifs(PAXGUSD!H5:H54,PAXGUSD!C5:C54,"Cierre"),0)</f>
        <v>134</v>
      </c>
      <c r="F17" s="159">
        <f>IFERROR(minifs(PAXGUSD!H5:H54,PAXGUSD!C5:C54,"Cierre"),0)</f>
        <v>-1355</v>
      </c>
      <c r="G17" s="160"/>
      <c r="H17" s="160"/>
    </row>
    <row r="18" ht="24.0" customHeight="1">
      <c r="A18" s="150" t="s">
        <v>618</v>
      </c>
      <c r="B18" s="134"/>
      <c r="C18" s="161">
        <f>SUM(C14:C17)</f>
        <v>1394.6</v>
      </c>
    </row>
    <row r="20">
      <c r="A20" s="162" t="s">
        <v>619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7">
    <mergeCell ref="A1:H1"/>
    <mergeCell ref="A2:H2"/>
    <mergeCell ref="A4:H4"/>
    <mergeCell ref="A10:B10"/>
    <mergeCell ref="A12:H12"/>
    <mergeCell ref="A18:B18"/>
    <mergeCell ref="A20:H20"/>
  </mergeCell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.75"/>
    <col customWidth="1" min="2" max="2" width="9.5"/>
    <col customWidth="1" min="3" max="6" width="10.75"/>
    <col customWidth="1" min="7" max="7" width="6.38"/>
    <col customWidth="1" min="8" max="10" width="10.75"/>
    <col customWidth="1" min="11" max="11" width="12.0"/>
    <col customWidth="1" min="12" max="15" width="10.75"/>
    <col customWidth="1" hidden="1" min="16" max="16" width="10.75"/>
    <col customWidth="1" hidden="1" min="17" max="17" width="14.75"/>
    <col customWidth="1" hidden="1" min="18" max="18" width="12.0"/>
    <col customWidth="1" min="19" max="20" width="12.0"/>
    <col customWidth="1" min="21" max="21" width="3.0"/>
    <col customWidth="1" min="22" max="23" width="10.13"/>
    <col customWidth="1" min="31" max="31" width="3.0"/>
    <col customWidth="1" min="36" max="36" width="3.0"/>
  </cols>
  <sheetData>
    <row r="1" ht="33.75" customHeight="1">
      <c r="A1" s="54" t="s">
        <v>0</v>
      </c>
      <c r="B1" s="54" t="s">
        <v>1</v>
      </c>
      <c r="C1" s="54" t="s">
        <v>82</v>
      </c>
      <c r="D1" s="55" t="s">
        <v>2</v>
      </c>
      <c r="E1" s="54" t="s">
        <v>3</v>
      </c>
      <c r="F1" s="54" t="s">
        <v>4</v>
      </c>
      <c r="G1" s="54" t="s">
        <v>5</v>
      </c>
      <c r="H1" s="54" t="s">
        <v>6</v>
      </c>
      <c r="I1" s="56" t="s">
        <v>97</v>
      </c>
      <c r="J1" s="56" t="s">
        <v>10</v>
      </c>
      <c r="K1" s="56" t="s">
        <v>98</v>
      </c>
      <c r="L1" s="56" t="s">
        <v>99</v>
      </c>
      <c r="M1" s="56" t="s">
        <v>100</v>
      </c>
      <c r="N1" s="56" t="s">
        <v>101</v>
      </c>
      <c r="O1" s="54" t="s">
        <v>85</v>
      </c>
      <c r="P1" s="54" t="s">
        <v>86</v>
      </c>
      <c r="Q1" s="54" t="s">
        <v>102</v>
      </c>
      <c r="R1" s="56" t="s">
        <v>13</v>
      </c>
      <c r="S1" s="54" t="s">
        <v>103</v>
      </c>
      <c r="T1" s="56" t="s">
        <v>104</v>
      </c>
      <c r="U1" s="57"/>
      <c r="V1" s="54" t="s">
        <v>1</v>
      </c>
      <c r="W1" s="58" t="s">
        <v>6</v>
      </c>
      <c r="X1" s="54" t="s">
        <v>14</v>
      </c>
      <c r="Y1" s="56" t="s">
        <v>15</v>
      </c>
      <c r="Z1" s="56" t="s">
        <v>16</v>
      </c>
      <c r="AA1" s="54" t="s">
        <v>105</v>
      </c>
      <c r="AB1" s="56" t="s">
        <v>106</v>
      </c>
      <c r="AC1" s="54" t="s">
        <v>108</v>
      </c>
      <c r="AD1" s="56" t="s">
        <v>109</v>
      </c>
      <c r="AE1" s="57"/>
      <c r="AF1" s="57"/>
      <c r="AG1" s="57"/>
      <c r="AH1" s="57"/>
      <c r="AI1" s="57"/>
      <c r="AJ1" s="57"/>
    </row>
    <row r="2" ht="24.0" customHeight="1">
      <c r="A2" s="4" t="s">
        <v>88</v>
      </c>
      <c r="B2" s="4" t="s">
        <v>119</v>
      </c>
      <c r="C2" s="5" t="str">
        <f>IFERROR(__xludf.DUMMYFUNCTION("if(B2=0,""..."", sparkline(query(GOOGLEFINANCE(""BCBA:""&amp;B2,""price"",today()-$AH$34,today()),""select Col2"",0),{""charttype"",$AH$33}))"),"")</f>
        <v/>
      </c>
      <c r="D2" s="17">
        <v>45182.0</v>
      </c>
      <c r="E2" s="6" t="s">
        <v>24</v>
      </c>
      <c r="F2" s="7"/>
      <c r="G2" s="8">
        <f t="shared" ref="G2:G34" si="1">if(B2=0,"...", IF(F2=0,today()-D2,F2-D2))</f>
        <v>935</v>
      </c>
      <c r="H2" s="6">
        <v>2.0</v>
      </c>
      <c r="I2" s="44">
        <v>12970.0</v>
      </c>
      <c r="J2" s="45">
        <f t="shared" ref="J2:J34" si="2">if(B2=0,"...",H2*I2)</f>
        <v>25940</v>
      </c>
      <c r="K2" s="47" t="str">
        <f>if(B2=0,"...",J2/VLOOKUP(D2,CCL!$A$13:$B35,2,FALSE))</f>
        <v>#N/A</v>
      </c>
      <c r="L2" s="45">
        <f>IFERROR(__xludf.DUMMYFUNCTION("if(B2=0,""..."",if(E2=""CERRADA"",""Valor Venta"", GOOGLEFINANCE(""BCBA:""&amp;B2)))"),18990.0)</f>
        <v>18990</v>
      </c>
      <c r="M2" s="45">
        <f>if(B2=0,"...",L2*(1-VLOOKUP(A2,Config!$B$3:$C$22,2,FALSE)))</f>
        <v>18857.07</v>
      </c>
      <c r="N2" s="45">
        <f t="shared" ref="N2:N34" si="3">IF(B2=0,"...",H2*M2)</f>
        <v>37714.14</v>
      </c>
      <c r="O2" s="12">
        <f>IFERROR(__xludf.DUMMYFUNCTION("if(B2=0,""..."",GOOGLEFINANCE(B2,""changepct"")/100)"),0.0011)</f>
        <v>0.0011</v>
      </c>
      <c r="P2" s="10">
        <f>IFERROR(__xludf.DUMMYFUNCTION("if(B2=0,""..."",GOOGLEFINANCE(B2,""change"")*H2)"),0.58)</f>
        <v>0.58</v>
      </c>
      <c r="Q2" s="12">
        <f t="shared" ref="Q2:Q34" si="4">if(B2=0,"...",N2/J2-1)</f>
        <v>0.4538989977</v>
      </c>
      <c r="R2" s="47">
        <f t="shared" ref="R2:R34" si="5">if(B2=0,"...",N2-J2)</f>
        <v>11774.14</v>
      </c>
      <c r="S2" s="12" t="str">
        <f>IF(B2=0,"...",(N2/VLOOKUP(IF(E2="ABIERTA",TODAY(),F2),CCL!$A$12:$B35,2,FALSE))/(J2/VLOOKUP(D2,CCL!$A$12:$B35,2,FALSE))-1)</f>
        <v>#N/A</v>
      </c>
      <c r="T2" s="47" t="str">
        <f>IF(B2=0,"...",N2/VLOOKUP(IF(E2="ABIERTA",TODAY(),F2),CCL!$A$12:$B$773,2,FALSE)-J2/VLOOKUP(D2,CCL!$A$12:$B35,2,FALSE))</f>
        <v>#N/A</v>
      </c>
      <c r="U2" s="2"/>
      <c r="V2" s="10" t="str">
        <f>IFERROR(__xludf.DUMMYFUNCTION("Unique(Filter(B2:B35,E2:E35=""ABIERTA""))"),"AAPL")</f>
        <v>AAPL</v>
      </c>
      <c r="W2" s="59">
        <f t="shared" ref="W2:W34" si="6">if(V2=0,"...",sumifs($H$2:$H$35,$B$2:$B$35,V2,$E$2:$E$35,"ABIERTA"))</f>
        <v>8</v>
      </c>
      <c r="X2" s="12">
        <f t="shared" ref="X2:X34" si="7">if(V2=0,"",Z2/$AG$18)</f>
        <v>0.2554737161</v>
      </c>
      <c r="Y2" s="45">
        <f t="shared" ref="Y2:Y34" si="8">if(W2=0,"...",if(V2=0,"...",sumifs($J$2:$J$35,$B$2:$B$35,V2,$E$2:$E$35,"ABIERTA")/W2))</f>
        <v>14593.125</v>
      </c>
      <c r="Z2" s="45">
        <f t="shared" ref="Z2:Z34" si="9">if(V2=0,"...",sumifs($N$2:$N$35,$B$2:$B$35,V2,$E$2:$E$35,"ABIERTA"))</f>
        <v>150856.56</v>
      </c>
      <c r="AA2" s="12">
        <f t="shared" ref="AA2:AA34" si="10">if(W2=0,"...",if(V2=0,"...",AB2/(Z2-AB2)))</f>
        <v>0.2921886162</v>
      </c>
      <c r="AB2" s="45">
        <f t="shared" ref="AB2:AB34" si="11">if(W2=0,"...",if(V2=0,"...",sumifs($R$2:$R$35,$B$2:$B$35,V2,$E$2:$E$35,"ABIERTA")))</f>
        <v>34111.56</v>
      </c>
      <c r="AC2" s="12" t="str">
        <f>IF(W2=0,"...",IF(V2=0,"...",AD2/(Z2/VLOOKUP(TODAY(),CCL!$A$12:$B35,2,FALSE)-AD2)))</f>
        <v>#N/A</v>
      </c>
      <c r="AD2" s="46" t="str">
        <f t="shared" ref="AD2:AD34" si="12">IF(W2=0,"...",if(V2=0,"...",sumifs($T$2:$T$35,$B$2:$B$35,V2,$E$2:$E$35,"ABIERTA")))</f>
        <v>#N/A</v>
      </c>
      <c r="AE2" s="2"/>
      <c r="AF2" s="2"/>
      <c r="AG2" s="2"/>
      <c r="AH2" s="2"/>
      <c r="AI2" s="2"/>
      <c r="AJ2" s="2"/>
    </row>
    <row r="3" ht="24.0" customHeight="1">
      <c r="A3" s="4" t="s">
        <v>88</v>
      </c>
      <c r="B3" s="4" t="s">
        <v>119</v>
      </c>
      <c r="C3" s="5" t="str">
        <f>IFERROR(__xludf.DUMMYFUNCTION("if(B3=0,""..."", sparkline(query(GOOGLEFINANCE(""BCBA:""&amp;B3,""price"",today()-$AH$34,today()),""select Col2"",0),{""charttype"",$AH$33}))"),"")</f>
        <v/>
      </c>
      <c r="D3" s="17">
        <v>45182.0</v>
      </c>
      <c r="E3" s="6" t="s">
        <v>24</v>
      </c>
      <c r="F3" s="17"/>
      <c r="G3" s="8">
        <f t="shared" si="1"/>
        <v>935</v>
      </c>
      <c r="H3" s="6">
        <v>1.0</v>
      </c>
      <c r="I3" s="44">
        <v>12970.0</v>
      </c>
      <c r="J3" s="45">
        <f t="shared" si="2"/>
        <v>12970</v>
      </c>
      <c r="K3" s="47" t="str">
        <f>if(B3=0,"...",J3/VLOOKUP(D3,CCL!$A$13:$B35,2,FALSE))</f>
        <v>#N/A</v>
      </c>
      <c r="L3" s="45">
        <f>IFERROR(__xludf.DUMMYFUNCTION("if(B3=0,""..."",if(E3=""CERRADA"",""Valor Venta"", GOOGLEFINANCE(""BCBA:""&amp;B3)))"),18990.0)</f>
        <v>18990</v>
      </c>
      <c r="M3" s="45">
        <f>if(B3=0,"...",L3*(1-VLOOKUP(A3,Config!$B$3:$C$22,2,FALSE)))</f>
        <v>18857.07</v>
      </c>
      <c r="N3" s="45">
        <f t="shared" si="3"/>
        <v>18857.07</v>
      </c>
      <c r="O3" s="12">
        <f>IFERROR(__xludf.DUMMYFUNCTION("if(B3=0,""..."",GOOGLEFINANCE(B3,""changepct"")/100)"),0.0011)</f>
        <v>0.0011</v>
      </c>
      <c r="P3" s="10">
        <f>IFERROR(__xludf.DUMMYFUNCTION("if(B3=0,""..."",GOOGLEFINANCE(B3,""change"")*H3)"),0.29)</f>
        <v>0.29</v>
      </c>
      <c r="Q3" s="12">
        <f t="shared" si="4"/>
        <v>0.4538989977</v>
      </c>
      <c r="R3" s="47">
        <f t="shared" si="5"/>
        <v>5887.07</v>
      </c>
      <c r="S3" s="12" t="str">
        <f>IF(B3=0,"...",(N3/VLOOKUP(IF(E3="ABIERTA",TODAY(),F3),CCL!$A$12:$B35,2,FALSE))/(J3/VLOOKUP(D3,CCL!$A$12:$B35,2,FALSE))-1)</f>
        <v>#N/A</v>
      </c>
      <c r="T3" s="47" t="str">
        <f>IF(B3=0,"...",N3/VLOOKUP(IF(E3="ABIERTA",TODAY(),F3),CCL!$A$12:$B$773,2,FALSE)-J3/VLOOKUP(D3,CCL!$A$12:$B35,2,FALSE))</f>
        <v>#N/A</v>
      </c>
      <c r="U3" s="2"/>
      <c r="V3" s="10" t="str">
        <f>IFERROR(__xludf.DUMMYFUNCTION("""COMPUTED_VALUE"""),"SPY")</f>
        <v>SPY</v>
      </c>
      <c r="W3" s="59">
        <f t="shared" si="6"/>
        <v>6</v>
      </c>
      <c r="X3" s="12">
        <f t="shared" si="7"/>
        <v>0.4919786096</v>
      </c>
      <c r="Y3" s="45">
        <f t="shared" si="8"/>
        <v>18326.66667</v>
      </c>
      <c r="Z3" s="45">
        <f t="shared" si="9"/>
        <v>290512.08</v>
      </c>
      <c r="AA3" s="12">
        <f t="shared" si="10"/>
        <v>1.641979629</v>
      </c>
      <c r="AB3" s="45">
        <f t="shared" si="11"/>
        <v>180552.08</v>
      </c>
      <c r="AC3" s="12" t="str">
        <f>IF(W3=0,"...",IF(V3=0,"...",AD3/(Z3/VLOOKUP(TODAY(),CCL!$A$12:$B35,2,FALSE)-AD3)))</f>
        <v>#N/A</v>
      </c>
      <c r="AD3" s="46" t="str">
        <f t="shared" si="12"/>
        <v>#N/A</v>
      </c>
      <c r="AE3" s="2"/>
      <c r="AF3" s="2"/>
      <c r="AG3" s="2"/>
      <c r="AH3" s="2"/>
      <c r="AI3" s="2"/>
      <c r="AJ3" s="2"/>
    </row>
    <row r="4" ht="24.0" customHeight="1">
      <c r="A4" s="4" t="s">
        <v>88</v>
      </c>
      <c r="B4" s="4" t="s">
        <v>119</v>
      </c>
      <c r="C4" s="5" t="str">
        <f>IFERROR(__xludf.DUMMYFUNCTION("if(B4=0,""..."", sparkline(query(GOOGLEFINANCE(""BCBA:""&amp;B4,""price"",today()-$AH$34,today()),""select Col2"",0),{""charttype"",$AH$33}))"),"")</f>
        <v/>
      </c>
      <c r="D4" s="17">
        <v>45187.0</v>
      </c>
      <c r="E4" s="6" t="s">
        <v>24</v>
      </c>
      <c r="F4" s="17"/>
      <c r="G4" s="8">
        <f t="shared" si="1"/>
        <v>930</v>
      </c>
      <c r="H4" s="6">
        <v>1.0</v>
      </c>
      <c r="I4" s="44">
        <v>13130.0</v>
      </c>
      <c r="J4" s="45">
        <f t="shared" si="2"/>
        <v>13130</v>
      </c>
      <c r="K4" s="47" t="str">
        <f>if(B4=0,"...",J4/VLOOKUP(D4,CCL!$A$13:$B35,2,FALSE))</f>
        <v>#N/A</v>
      </c>
      <c r="L4" s="45">
        <f>IFERROR(__xludf.DUMMYFUNCTION("if(B4=0,""..."",if(E4=""CERRADA"",""Valor Venta"", GOOGLEFINANCE(""BCBA:""&amp;B4)))"),18990.0)</f>
        <v>18990</v>
      </c>
      <c r="M4" s="45">
        <f>if(B4=0,"...",L4*(1-VLOOKUP(A4,Config!$B$3:$C$22,2,FALSE)))</f>
        <v>18857.07</v>
      </c>
      <c r="N4" s="45">
        <f t="shared" si="3"/>
        <v>18857.07</v>
      </c>
      <c r="O4" s="12">
        <f>IFERROR(__xludf.DUMMYFUNCTION("if(B4=0,""..."",GOOGLEFINANCE(B4,""changepct"")/100)"),0.0011)</f>
        <v>0.0011</v>
      </c>
      <c r="P4" s="10">
        <f>IFERROR(__xludf.DUMMYFUNCTION("if(B4=0,""..."",GOOGLEFINANCE(B4,""change"")*H4)"),0.29)</f>
        <v>0.29</v>
      </c>
      <c r="Q4" s="12">
        <f t="shared" si="4"/>
        <v>0.4361820259</v>
      </c>
      <c r="R4" s="47">
        <f t="shared" si="5"/>
        <v>5727.07</v>
      </c>
      <c r="S4" s="12" t="str">
        <f>IF(B4=0,"...",(N4/VLOOKUP(IF(E4="ABIERTA",TODAY(),F4),CCL!$A$12:$B35,2,FALSE))/(J4/VLOOKUP(D4,CCL!$A$12:$B35,2,FALSE))-1)</f>
        <v>#N/A</v>
      </c>
      <c r="T4" s="47" t="str">
        <f>IF(B4=0,"...",N4/VLOOKUP(IF(E4="ABIERTA",TODAY(),F4),CCL!$A$12:$B$773,2,FALSE)-J4/VLOOKUP(D4,CCL!$A$12:$B35,2,FALSE))</f>
        <v>#N/A</v>
      </c>
      <c r="U4" s="2"/>
      <c r="V4" s="10" t="str">
        <f>IFERROR(__xludf.DUMMYFUNCTION("""COMPUTED_VALUE"""),"MSFT")</f>
        <v>MSFT</v>
      </c>
      <c r="W4" s="59">
        <f t="shared" si="6"/>
        <v>2</v>
      </c>
      <c r="X4" s="12">
        <f t="shared" si="7"/>
        <v>0.06164867319</v>
      </c>
      <c r="Y4" s="45">
        <f t="shared" si="8"/>
        <v>9788</v>
      </c>
      <c r="Z4" s="45">
        <f t="shared" si="9"/>
        <v>36403.38</v>
      </c>
      <c r="AA4" s="12">
        <f t="shared" si="10"/>
        <v>0.859592358</v>
      </c>
      <c r="AB4" s="45">
        <f t="shared" si="11"/>
        <v>16827.38</v>
      </c>
      <c r="AC4" s="12" t="str">
        <f>IF(W4=0,"...",IF(V4=0,"...",AD4/(Z4/VLOOKUP(TODAY(),CCL!$A$12:$B35,2,FALSE)-AD4)))</f>
        <v>#N/A</v>
      </c>
      <c r="AD4" s="46" t="str">
        <f t="shared" si="12"/>
        <v>#N/A</v>
      </c>
      <c r="AE4" s="2"/>
      <c r="AF4" s="2"/>
      <c r="AG4" s="2"/>
      <c r="AH4" s="2"/>
      <c r="AI4" s="2"/>
      <c r="AJ4" s="2"/>
    </row>
    <row r="5" ht="24.0" customHeight="1">
      <c r="A5" s="4" t="s">
        <v>88</v>
      </c>
      <c r="B5" s="4" t="s">
        <v>112</v>
      </c>
      <c r="C5" s="5" t="str">
        <f>IFERROR(__xludf.DUMMYFUNCTION("if(B5=0,""..."", sparkline(query(GOOGLEFINANCE(""BCBA:""&amp;B5,""price"",today()-$AH$34,today()),""select Col2"",0),{""charttype"",$AH$33}))"),"")</f>
        <v/>
      </c>
      <c r="D5" s="17">
        <v>45189.0</v>
      </c>
      <c r="E5" s="6" t="s">
        <v>24</v>
      </c>
      <c r="F5" s="7"/>
      <c r="G5" s="8">
        <f t="shared" si="1"/>
        <v>928</v>
      </c>
      <c r="H5" s="6">
        <v>2.0</v>
      </c>
      <c r="I5" s="44">
        <v>16410.0</v>
      </c>
      <c r="J5" s="45">
        <f t="shared" si="2"/>
        <v>32820</v>
      </c>
      <c r="K5" s="47" t="str">
        <f>if(B5=0,"...",J5/VLOOKUP(D5,CCL!$A$13:$B35,2,FALSE))</f>
        <v>#N/A</v>
      </c>
      <c r="L5" s="45">
        <f>IFERROR(__xludf.DUMMYFUNCTION("if(B5=0,""..."",if(E5=""CERRADA"",""Valor Venta"", GOOGLEFINANCE(""BCBA:""&amp;B5)))"),48760.0)</f>
        <v>48760</v>
      </c>
      <c r="M5" s="45">
        <f>if(B5=0,"...",L5*(1-VLOOKUP(A5,Config!$B$3:$C$22,2,FALSE)))</f>
        <v>48418.68</v>
      </c>
      <c r="N5" s="45">
        <f t="shared" si="3"/>
        <v>96837.36</v>
      </c>
      <c r="O5" s="12">
        <f>IFERROR(__xludf.DUMMYFUNCTION("if(B5=0,""..."",GOOGLEFINANCE(B5,""changepct"")/100)"),9.0E-4)</f>
        <v>0.0009</v>
      </c>
      <c r="P5" s="10">
        <f>IFERROR(__xludf.DUMMYFUNCTION("if(B5=0,""..."",GOOGLEFINANCE(B5,""change"")*H5)"),1.18)</f>
        <v>1.18</v>
      </c>
      <c r="Q5" s="12">
        <f t="shared" si="4"/>
        <v>1.950559415</v>
      </c>
      <c r="R5" s="47">
        <f t="shared" si="5"/>
        <v>64017.36</v>
      </c>
      <c r="S5" s="12" t="str">
        <f>IF(B5=0,"...",(N5/VLOOKUP(IF(E5="ABIERTA",TODAY(),F5),CCL!$A$12:$B35,2,FALSE))/(J5/VLOOKUP(D5,CCL!$A$12:$B35,2,FALSE))-1)</f>
        <v>#N/A</v>
      </c>
      <c r="T5" s="47" t="str">
        <f>IF(B5=0,"...",N5/VLOOKUP(IF(E5="ABIERTA",TODAY(),F5),CCL!$A$12:$B$773,2,FALSE)-J5/VLOOKUP(D5,CCL!$A$12:$B35,2,FALSE))</f>
        <v>#N/A</v>
      </c>
      <c r="U5" s="2"/>
      <c r="V5" s="10" t="str">
        <f>IFERROR(__xludf.DUMMYFUNCTION("""COMPUTED_VALUE"""),"TSLA")</f>
        <v>TSLA</v>
      </c>
      <c r="W5" s="59">
        <f t="shared" si="6"/>
        <v>3</v>
      </c>
      <c r="X5" s="12">
        <f t="shared" si="7"/>
        <v>0.1908990011</v>
      </c>
      <c r="Y5" s="45">
        <f t="shared" si="8"/>
        <v>13300</v>
      </c>
      <c r="Z5" s="45">
        <f t="shared" si="9"/>
        <v>112725.36</v>
      </c>
      <c r="AA5" s="12">
        <f t="shared" si="10"/>
        <v>1.825196992</v>
      </c>
      <c r="AB5" s="45">
        <f t="shared" si="11"/>
        <v>72825.36</v>
      </c>
      <c r="AC5" s="12" t="str">
        <f>IF(W5=0,"...",IF(V5=0,"...",AD5/(Z5/VLOOKUP(TODAY(),CCL!$A$12:$B35,2,FALSE)-AD5)))</f>
        <v>#N/A</v>
      </c>
      <c r="AD5" s="46" t="str">
        <f t="shared" si="12"/>
        <v>#N/A</v>
      </c>
      <c r="AE5" s="2"/>
      <c r="AF5" s="2"/>
      <c r="AG5" s="2"/>
      <c r="AH5" s="2"/>
      <c r="AI5" s="2"/>
      <c r="AJ5" s="2"/>
    </row>
    <row r="6" ht="24.0" customHeight="1">
      <c r="A6" s="4" t="s">
        <v>88</v>
      </c>
      <c r="B6" s="4" t="s">
        <v>119</v>
      </c>
      <c r="C6" s="5" t="str">
        <f>IFERROR(__xludf.DUMMYFUNCTION("if(B6=0,""..."", sparkline(query(GOOGLEFINANCE(""BCBA:""&amp;B6,""price"",today()-$AH$34,today()),""select Col2"",0),{""charttype"",$AH$33}))"),"")</f>
        <v/>
      </c>
      <c r="D6" s="17">
        <v>45208.0</v>
      </c>
      <c r="E6" s="6" t="s">
        <v>24</v>
      </c>
      <c r="F6" s="7"/>
      <c r="G6" s="8">
        <f t="shared" si="1"/>
        <v>909</v>
      </c>
      <c r="H6" s="6">
        <v>1.0</v>
      </c>
      <c r="I6" s="44">
        <v>15850.0</v>
      </c>
      <c r="J6" s="45">
        <f t="shared" si="2"/>
        <v>15850</v>
      </c>
      <c r="K6" s="47" t="str">
        <f>if(B6=0,"...",J6/VLOOKUP(D6,CCL!$A$13:$B35,2,FALSE))</f>
        <v>#N/A</v>
      </c>
      <c r="L6" s="45">
        <f>IFERROR(__xludf.DUMMYFUNCTION("if(B6=0,""..."",if(E6=""CERRADA"",""Valor Venta"", GOOGLEFINANCE(""BCBA:""&amp;B6)))"),18990.0)</f>
        <v>18990</v>
      </c>
      <c r="M6" s="45">
        <f>if(B6=0,"...",L6*(1-VLOOKUP(A6,Config!$B$3:$C$22,2,FALSE)))</f>
        <v>18857.07</v>
      </c>
      <c r="N6" s="45">
        <f t="shared" si="3"/>
        <v>18857.07</v>
      </c>
      <c r="O6" s="12">
        <f>IFERROR(__xludf.DUMMYFUNCTION("if(B6=0,""..."",GOOGLEFINANCE(B6,""changepct"")/100)"),0.0011)</f>
        <v>0.0011</v>
      </c>
      <c r="P6" s="10">
        <f>IFERROR(__xludf.DUMMYFUNCTION("if(B6=0,""..."",GOOGLEFINANCE(B6,""change"")*H6)"),0.29)</f>
        <v>0.29</v>
      </c>
      <c r="Q6" s="12">
        <f t="shared" si="4"/>
        <v>0.1897205047</v>
      </c>
      <c r="R6" s="47">
        <f t="shared" si="5"/>
        <v>3007.07</v>
      </c>
      <c r="S6" s="12" t="str">
        <f>IF(B6=0,"...",(N6/VLOOKUP(IF(E6="ABIERTA",TODAY(),F6),CCL!$A$12:$B35,2,FALSE))/(J6/VLOOKUP(D6,CCL!$A$12:$B35,2,FALSE))-1)</f>
        <v>#N/A</v>
      </c>
      <c r="T6" s="47" t="str">
        <f>IF(B6=0,"...",N6/VLOOKUP(IF(E6="ABIERTA",TODAY(),F6),CCL!$A$12:$B$773,2,FALSE)-J6/VLOOKUP(D6,CCL!$A$12:$B35,2,FALSE))</f>
        <v>#N/A</v>
      </c>
      <c r="U6" s="2"/>
      <c r="V6" s="10"/>
      <c r="W6" s="59" t="str">
        <f t="shared" si="6"/>
        <v>...</v>
      </c>
      <c r="X6" s="12" t="str">
        <f t="shared" si="7"/>
        <v/>
      </c>
      <c r="Y6" s="45" t="str">
        <f t="shared" si="8"/>
        <v>...</v>
      </c>
      <c r="Z6" s="45" t="str">
        <f t="shared" si="9"/>
        <v>...</v>
      </c>
      <c r="AA6" s="12" t="str">
        <f t="shared" si="10"/>
        <v>...</v>
      </c>
      <c r="AB6" s="45" t="str">
        <f t="shared" si="11"/>
        <v>...</v>
      </c>
      <c r="AC6" s="12" t="str">
        <f>IF(W6=0,"...",IF(V6=0,"...",AD6/(Z6/VLOOKUP(TODAY(),CCL!$A$12:$B35,2,FALSE)-AD6)))</f>
        <v>...</v>
      </c>
      <c r="AD6" s="46" t="str">
        <f t="shared" si="12"/>
        <v>...</v>
      </c>
      <c r="AE6" s="2"/>
      <c r="AF6" s="2"/>
      <c r="AG6" s="2"/>
      <c r="AH6" s="2"/>
      <c r="AI6" s="2"/>
      <c r="AJ6" s="2"/>
    </row>
    <row r="7" ht="24.0" customHeight="1">
      <c r="A7" s="4" t="s">
        <v>88</v>
      </c>
      <c r="B7" s="4" t="s">
        <v>123</v>
      </c>
      <c r="C7" s="5" t="str">
        <f>IFERROR(__xludf.DUMMYFUNCTION("if(B7=0,""..."", sparkline(query(GOOGLEFINANCE(""BCBA:""&amp;B7,""price"",today()-$AH$34,today()),""select Col2"",0),{""charttype"",$AH$33}))"),"")</f>
        <v/>
      </c>
      <c r="D7" s="17">
        <v>45208.0</v>
      </c>
      <c r="E7" s="6" t="s">
        <v>22</v>
      </c>
      <c r="F7" s="17">
        <v>45267.0</v>
      </c>
      <c r="G7" s="8">
        <f t="shared" si="1"/>
        <v>59</v>
      </c>
      <c r="H7" s="6">
        <v>5.0</v>
      </c>
      <c r="I7" s="44">
        <v>9406.5</v>
      </c>
      <c r="J7" s="45">
        <f t="shared" si="2"/>
        <v>47032.5</v>
      </c>
      <c r="K7" s="47" t="str">
        <f>if(B7=0,"...",J7/VLOOKUP(D7,CCL!$A$13:$B35,2,FALSE))</f>
        <v>#N/A</v>
      </c>
      <c r="L7" s="46">
        <v>11593.0</v>
      </c>
      <c r="M7" s="45">
        <f>if(B7=0,"...",L7*(1-VLOOKUP(A7,Config!$B$3:$C$22,2,FALSE)))</f>
        <v>11511.849</v>
      </c>
      <c r="N7" s="45">
        <f t="shared" si="3"/>
        <v>57559.245</v>
      </c>
      <c r="O7" s="12">
        <f>IFERROR(__xludf.DUMMYFUNCTION("if(B7=0,""..."",GOOGLEFINANCE(B7,""changepct"")/100)"),0.0084)</f>
        <v>0.0084</v>
      </c>
      <c r="P7" s="10">
        <f>IFERROR(__xludf.DUMMYFUNCTION("if(B7=0,""..."",GOOGLEFINANCE(B7,""change"")*H7)"),3.2)</f>
        <v>3.2</v>
      </c>
      <c r="Q7" s="12">
        <f t="shared" si="4"/>
        <v>0.2238185297</v>
      </c>
      <c r="R7" s="47">
        <f t="shared" si="5"/>
        <v>10526.745</v>
      </c>
      <c r="S7" s="12" t="str">
        <f>IF(B7=0,"...",(N7/VLOOKUP(IF(E7="ABIERTA",TODAY(),F7),CCL!$A$12:$B35,2,FALSE))/(J7/VLOOKUP(D7,CCL!$A$12:$B35,2,FALSE))-1)</f>
        <v>#N/A</v>
      </c>
      <c r="T7" s="47" t="str">
        <f>IF(B7=0,"...",N7/VLOOKUP(IF(E7="ABIERTA",TODAY(),F7),CCL!$A$12:$B$773,2,FALSE)-J7/VLOOKUP(D7,CCL!$A$12:$B35,2,FALSE))</f>
        <v>#N/A</v>
      </c>
      <c r="U7" s="2"/>
      <c r="V7" s="10"/>
      <c r="W7" s="59" t="str">
        <f t="shared" si="6"/>
        <v>...</v>
      </c>
      <c r="X7" s="12" t="str">
        <f t="shared" si="7"/>
        <v/>
      </c>
      <c r="Y7" s="45" t="str">
        <f t="shared" si="8"/>
        <v>...</v>
      </c>
      <c r="Z7" s="45" t="str">
        <f t="shared" si="9"/>
        <v>...</v>
      </c>
      <c r="AA7" s="12" t="str">
        <f t="shared" si="10"/>
        <v>...</v>
      </c>
      <c r="AB7" s="45" t="str">
        <f t="shared" si="11"/>
        <v>...</v>
      </c>
      <c r="AC7" s="12" t="str">
        <f>IF(W7=0,"...",IF(V7=0,"...",AD7/(Z7/VLOOKUP(TODAY(),CCL!$A$12:$B35,2,FALSE)-AD7)))</f>
        <v>...</v>
      </c>
      <c r="AD7" s="46" t="str">
        <f t="shared" si="12"/>
        <v>...</v>
      </c>
      <c r="AE7" s="2"/>
      <c r="AF7" s="2"/>
      <c r="AG7" s="2"/>
      <c r="AH7" s="2"/>
      <c r="AI7" s="2"/>
      <c r="AJ7" s="2"/>
    </row>
    <row r="8" ht="24.0" customHeight="1">
      <c r="A8" s="4" t="s">
        <v>88</v>
      </c>
      <c r="B8" s="4" t="s">
        <v>110</v>
      </c>
      <c r="C8" s="5" t="str">
        <f>IFERROR(__xludf.DUMMYFUNCTION("if(B8=0,""..."", sparkline(query(GOOGLEFINANCE(""BCBA:""&amp;B8,""price"",today()-$AH$34,today()),""select Col2"",0),{""charttype"",$AH$33}))"),"")</f>
        <v/>
      </c>
      <c r="D8" s="17">
        <v>45208.0</v>
      </c>
      <c r="E8" s="6" t="s">
        <v>24</v>
      </c>
      <c r="F8" s="7"/>
      <c r="G8" s="8">
        <f t="shared" si="1"/>
        <v>909</v>
      </c>
      <c r="H8" s="6">
        <v>2.0</v>
      </c>
      <c r="I8" s="44">
        <v>9788.0</v>
      </c>
      <c r="J8" s="45">
        <f t="shared" si="2"/>
        <v>19576</v>
      </c>
      <c r="K8" s="47" t="str">
        <f>if(B8=0,"...",J8/VLOOKUP(D8,CCL!$A$13:$B35,2,FALSE))</f>
        <v>#N/A</v>
      </c>
      <c r="L8" s="45">
        <f>IFERROR(__xludf.DUMMYFUNCTION("if(B8=0,""..."",if(E8=""CERRADA"",""Valor Venta"", GOOGLEFINANCE(""BCBA:""&amp;B8)))"),18330.0)</f>
        <v>18330</v>
      </c>
      <c r="M8" s="45">
        <f>if(B8=0,"...",L8*(1-VLOOKUP(A8,Config!$B$3:$C$22,2,FALSE)))</f>
        <v>18201.69</v>
      </c>
      <c r="N8" s="45">
        <f t="shared" si="3"/>
        <v>36403.38</v>
      </c>
      <c r="O8" s="12">
        <f>IFERROR(__xludf.DUMMYFUNCTION("if(B8=0,""..."",GOOGLEFINANCE(B8,""changepct"")/100)"),0.0111)</f>
        <v>0.0111</v>
      </c>
      <c r="P8" s="10">
        <f>IFERROR(__xludf.DUMMYFUNCTION("if(B8=0,""..."",GOOGLEFINANCE(B8,""change"")*H8)"),8.18)</f>
        <v>8.18</v>
      </c>
      <c r="Q8" s="12">
        <f t="shared" si="4"/>
        <v>0.859592358</v>
      </c>
      <c r="R8" s="47">
        <f t="shared" si="5"/>
        <v>16827.38</v>
      </c>
      <c r="S8" s="12" t="str">
        <f>IF(B8=0,"...",(N8/VLOOKUP(IF(E8="ABIERTA",TODAY(),F8),CCL!$A$12:$B35,2,FALSE))/(J8/VLOOKUP(D8,CCL!$A$12:$B35,2,FALSE))-1)</f>
        <v>#N/A</v>
      </c>
      <c r="T8" s="47" t="str">
        <f>IF(B8=0,"...",N8/VLOOKUP(IF(E8="ABIERTA",TODAY(),F8),CCL!$A$12:$B$773,2,FALSE)-J8/VLOOKUP(D8,CCL!$A$12:$B35,2,FALSE))</f>
        <v>#N/A</v>
      </c>
      <c r="U8" s="2"/>
      <c r="V8" s="10"/>
      <c r="W8" s="59" t="str">
        <f t="shared" si="6"/>
        <v>...</v>
      </c>
      <c r="X8" s="12" t="str">
        <f t="shared" si="7"/>
        <v/>
      </c>
      <c r="Y8" s="45" t="str">
        <f t="shared" si="8"/>
        <v>...</v>
      </c>
      <c r="Z8" s="45" t="str">
        <f t="shared" si="9"/>
        <v>...</v>
      </c>
      <c r="AA8" s="12" t="str">
        <f t="shared" si="10"/>
        <v>...</v>
      </c>
      <c r="AB8" s="45" t="str">
        <f t="shared" si="11"/>
        <v>...</v>
      </c>
      <c r="AC8" s="12" t="str">
        <f>IF(W8=0,"...",IF(V8=0,"...",AD8/(Z8/VLOOKUP(TODAY(),CCL!$A$12:$B35,2,FALSE)-AD8)))</f>
        <v>...</v>
      </c>
      <c r="AD8" s="46" t="str">
        <f t="shared" si="12"/>
        <v>...</v>
      </c>
      <c r="AE8" s="2"/>
      <c r="AF8" s="2"/>
      <c r="AG8" s="2"/>
      <c r="AH8" s="2"/>
      <c r="AI8" s="2"/>
      <c r="AJ8" s="2"/>
    </row>
    <row r="9" ht="24.0" customHeight="1">
      <c r="A9" s="4" t="s">
        <v>88</v>
      </c>
      <c r="B9" s="4" t="s">
        <v>145</v>
      </c>
      <c r="C9" s="5" t="str">
        <f>IFERROR(__xludf.DUMMYFUNCTION("if(B9=0,""..."", sparkline(query(GOOGLEFINANCE(""BCBA:""&amp;B9,""price"",today()-$AH$34,today()),""select Col2"",0),{""charttype"",$AH$33}))"),"")</f>
        <v/>
      </c>
      <c r="D9" s="17">
        <v>45237.0</v>
      </c>
      <c r="E9" s="6" t="s">
        <v>22</v>
      </c>
      <c r="F9" s="17">
        <v>45252.0</v>
      </c>
      <c r="G9" s="8">
        <f t="shared" si="1"/>
        <v>15</v>
      </c>
      <c r="H9" s="6">
        <v>18.0</v>
      </c>
      <c r="I9" s="44">
        <v>1680.0</v>
      </c>
      <c r="J9" s="45">
        <f t="shared" si="2"/>
        <v>30240</v>
      </c>
      <c r="K9" s="47">
        <f>if(B9=0,"...",J9/VLOOKUP(D9,CCL!$A$13:$B35,2,FALSE))</f>
        <v>35.25543871</v>
      </c>
      <c r="L9" s="46">
        <v>1700.0</v>
      </c>
      <c r="M9" s="45">
        <f>if(B9=0,"...",L9*(1-VLOOKUP(A9,Config!$B$3:$C$22,2,FALSE)))</f>
        <v>1688.1</v>
      </c>
      <c r="N9" s="45">
        <f t="shared" si="3"/>
        <v>30385.8</v>
      </c>
      <c r="O9" s="12">
        <f>IFERROR(__xludf.DUMMYFUNCTION("if(B9=0,""..."",GOOGLEFINANCE(B9,""changepct"")/100)"),0.0161)</f>
        <v>0.0161</v>
      </c>
      <c r="P9" s="10">
        <f>IFERROR(__xludf.DUMMYFUNCTION("if(B9=0,""..."",GOOGLEFINANCE(B9,""change"")*H9)"),1.8)</f>
        <v>1.8</v>
      </c>
      <c r="Q9" s="12">
        <f t="shared" si="4"/>
        <v>0.004821428571</v>
      </c>
      <c r="R9" s="47">
        <f t="shared" si="5"/>
        <v>145.8</v>
      </c>
      <c r="S9" s="12">
        <f>IF(B9=0,"...",(N9/VLOOKUP(IF(E9="ABIERTA",TODAY(),F9),CCL!$A$12:$B35,2,FALSE))/(J9/VLOOKUP(D9,CCL!$A$12:$B35,2,FALSE))-1)</f>
        <v>-0.09004230316</v>
      </c>
      <c r="T9" s="47">
        <f>IF(B9=0,"...",N9/VLOOKUP(IF(E9="ABIERTA",TODAY(),F9),CCL!$A$12:$B$773,2,FALSE)-J9/VLOOKUP(D9,CCL!$A$12:$B35,2,FALSE))</f>
        <v>-3.1744809</v>
      </c>
      <c r="U9" s="2"/>
      <c r="V9" s="10"/>
      <c r="W9" s="59" t="str">
        <f t="shared" si="6"/>
        <v>...</v>
      </c>
      <c r="X9" s="12" t="str">
        <f t="shared" si="7"/>
        <v/>
      </c>
      <c r="Y9" s="45" t="str">
        <f t="shared" si="8"/>
        <v>...</v>
      </c>
      <c r="Z9" s="45" t="str">
        <f t="shared" si="9"/>
        <v>...</v>
      </c>
      <c r="AA9" s="12" t="str">
        <f t="shared" si="10"/>
        <v>...</v>
      </c>
      <c r="AB9" s="45" t="str">
        <f t="shared" si="11"/>
        <v>...</v>
      </c>
      <c r="AC9" s="12" t="str">
        <f>IF(W9=0,"...",IF(V9=0,"...",AD9/(Z9/VLOOKUP(TODAY(),CCL!$A$12:$B35,2,FALSE)-AD9)))</f>
        <v>...</v>
      </c>
      <c r="AD9" s="46" t="str">
        <f t="shared" si="12"/>
        <v>...</v>
      </c>
      <c r="AE9" s="2"/>
      <c r="AF9" s="2"/>
      <c r="AG9" s="2"/>
      <c r="AH9" s="2"/>
      <c r="AI9" s="2"/>
      <c r="AJ9" s="2"/>
    </row>
    <row r="10" ht="24.0" customHeight="1">
      <c r="A10" s="4" t="s">
        <v>88</v>
      </c>
      <c r="B10" s="4" t="s">
        <v>151</v>
      </c>
      <c r="C10" s="5" t="str">
        <f>IFERROR(__xludf.DUMMYFUNCTION("if(B10=0,""..."", sparkline(query(GOOGLEFINANCE(""BCBA:""&amp;B10,""price"",today()-$AH$34,today()),""select Col2"",0),{""charttype"",$AH$33}))"),"#N/A")</f>
        <v>#N/A</v>
      </c>
      <c r="D10" s="17">
        <v>45237.0</v>
      </c>
      <c r="E10" s="6" t="s">
        <v>22</v>
      </c>
      <c r="F10" s="17">
        <v>45252.0</v>
      </c>
      <c r="G10" s="8">
        <f t="shared" si="1"/>
        <v>15</v>
      </c>
      <c r="H10" s="6">
        <v>2.0</v>
      </c>
      <c r="I10" s="44">
        <v>13468.0</v>
      </c>
      <c r="J10" s="45">
        <f t="shared" si="2"/>
        <v>26936</v>
      </c>
      <c r="K10" s="47">
        <f>if(B10=0,"...",J10/VLOOKUP(D10,CCL!$A$13:$B35,2,FALSE))</f>
        <v>31.40345559</v>
      </c>
      <c r="L10" s="46">
        <v>14500.0</v>
      </c>
      <c r="M10" s="45">
        <f>if(B10=0,"...",L10*(1-VLOOKUP(A10,Config!$B$3:$C$22,2,FALSE)))</f>
        <v>14398.5</v>
      </c>
      <c r="N10" s="45">
        <f t="shared" si="3"/>
        <v>28797</v>
      </c>
      <c r="O10" s="12">
        <f>IFERROR(__xludf.DUMMYFUNCTION("if(B10=0,""..."",GOOGLEFINANCE(B10,""changepct"")/100)"),-0.0129)</f>
        <v>-0.0129</v>
      </c>
      <c r="P10" s="10">
        <f>IFERROR(__xludf.DUMMYFUNCTION("if(B10=0,""..."",GOOGLEFINANCE(B10,""change"")*H10)"),-1.08)</f>
        <v>-1.08</v>
      </c>
      <c r="Q10" s="12">
        <f t="shared" si="4"/>
        <v>0.06908969409</v>
      </c>
      <c r="R10" s="47">
        <f t="shared" si="5"/>
        <v>1861</v>
      </c>
      <c r="S10" s="12">
        <f>IF(B10=0,"...",(N10/VLOOKUP(IF(E10="ABIERTA",TODAY(),F10),CCL!$A$12:$B35,2,FALSE))/(J10/VLOOKUP(D10,CCL!$A$12:$B35,2,FALSE))-1)</f>
        <v>-0.03184151125</v>
      </c>
      <c r="T10" s="47">
        <f>IF(B10=0,"...",N10/VLOOKUP(IF(E10="ABIERTA",TODAY(),F10),CCL!$A$12:$B$773,2,FALSE)-J10/VLOOKUP(D10,CCL!$A$12:$B35,2,FALSE))</f>
        <v>-0.9999334844</v>
      </c>
      <c r="U10" s="2"/>
      <c r="V10" s="10"/>
      <c r="W10" s="59" t="str">
        <f t="shared" si="6"/>
        <v>...</v>
      </c>
      <c r="X10" s="12" t="str">
        <f t="shared" si="7"/>
        <v/>
      </c>
      <c r="Y10" s="45" t="str">
        <f t="shared" si="8"/>
        <v>...</v>
      </c>
      <c r="Z10" s="45" t="str">
        <f t="shared" si="9"/>
        <v>...</v>
      </c>
      <c r="AA10" s="12" t="str">
        <f t="shared" si="10"/>
        <v>...</v>
      </c>
      <c r="AB10" s="45" t="str">
        <f t="shared" si="11"/>
        <v>...</v>
      </c>
      <c r="AC10" s="12" t="str">
        <f>IF(W10=0,"...",IF(V10=0,"...",AD10/(Z10/VLOOKUP(TODAY(),CCL!$A$12:$B35,2,FALSE)-AD10)))</f>
        <v>...</v>
      </c>
      <c r="AD10" s="46" t="str">
        <f t="shared" si="12"/>
        <v>...</v>
      </c>
      <c r="AE10" s="2"/>
      <c r="AF10" s="2"/>
      <c r="AG10" s="2"/>
      <c r="AH10" s="2"/>
      <c r="AI10" s="2"/>
      <c r="AJ10" s="2"/>
    </row>
    <row r="11" ht="24.0" customHeight="1">
      <c r="A11" s="4" t="s">
        <v>88</v>
      </c>
      <c r="B11" s="4" t="s">
        <v>620</v>
      </c>
      <c r="C11" s="5" t="str">
        <f>IFERROR(__xludf.DUMMYFUNCTION("if(B11=0,""..."", sparkline(query(GOOGLEFINANCE(""BCBA:""&amp;B11,""price"",today()-$AH$34,today()),""select Col2"",0),{""charttype"",$AH$33}))"),"#N/A")</f>
        <v>#N/A</v>
      </c>
      <c r="D11" s="17">
        <v>45237.0</v>
      </c>
      <c r="E11" s="6" t="s">
        <v>22</v>
      </c>
      <c r="F11" s="17">
        <v>45252.0</v>
      </c>
      <c r="G11" s="8">
        <f t="shared" si="1"/>
        <v>15</v>
      </c>
      <c r="H11" s="6">
        <v>4.0</v>
      </c>
      <c r="I11" s="44">
        <v>6278.0</v>
      </c>
      <c r="J11" s="45">
        <f t="shared" si="2"/>
        <v>25112</v>
      </c>
      <c r="K11" s="47">
        <f>if(B11=0,"...",J11/VLOOKUP(D11,CCL!$A$13:$B35,2,FALSE))</f>
        <v>29.27693707</v>
      </c>
      <c r="L11" s="46">
        <v>6300.0</v>
      </c>
      <c r="M11" s="45">
        <f>if(B11=0,"...",L11*(1-VLOOKUP(A11,Config!$B$3:$C$22,2,FALSE)))</f>
        <v>6255.9</v>
      </c>
      <c r="N11" s="45">
        <f t="shared" si="3"/>
        <v>25023.6</v>
      </c>
      <c r="O11" s="12">
        <f>IFERROR(__xludf.DUMMYFUNCTION("if(B11=0,""..."",GOOGLEFINANCE(B11,""changepct"")/100)"),0.0)</f>
        <v>0</v>
      </c>
      <c r="P11" s="10">
        <f>IFERROR(__xludf.DUMMYFUNCTION("if(B11=0,""..."",GOOGLEFINANCE(B11,""change"")*H11)"),0.0)</f>
        <v>0</v>
      </c>
      <c r="Q11" s="12">
        <f t="shared" si="4"/>
        <v>-0.003520229372</v>
      </c>
      <c r="R11" s="47">
        <f t="shared" si="5"/>
        <v>-88.4</v>
      </c>
      <c r="S11" s="12">
        <f>IF(B11=0,"...",(N11/VLOOKUP(IF(E11="ABIERTA",TODAY(),F11),CCL!$A$12:$B35,2,FALSE))/(J11/VLOOKUP(D11,CCL!$A$12:$B35,2,FALSE))-1)</f>
        <v>-0.09759643729</v>
      </c>
      <c r="T11" s="47">
        <f>IF(B11=0,"...",N11/VLOOKUP(IF(E11="ABIERTA",TODAY(),F11),CCL!$A$12:$B$773,2,FALSE)-J11/VLOOKUP(D11,CCL!$A$12:$B35,2,FALSE))</f>
        <v>-2.857324752</v>
      </c>
      <c r="U11" s="2"/>
      <c r="V11" s="10"/>
      <c r="W11" s="59" t="str">
        <f t="shared" si="6"/>
        <v>...</v>
      </c>
      <c r="X11" s="12" t="str">
        <f t="shared" si="7"/>
        <v/>
      </c>
      <c r="Y11" s="45" t="str">
        <f t="shared" si="8"/>
        <v>...</v>
      </c>
      <c r="Z11" s="45" t="str">
        <f t="shared" si="9"/>
        <v>...</v>
      </c>
      <c r="AA11" s="12" t="str">
        <f t="shared" si="10"/>
        <v>...</v>
      </c>
      <c r="AB11" s="45" t="str">
        <f t="shared" si="11"/>
        <v>...</v>
      </c>
      <c r="AC11" s="12" t="str">
        <f>IF(W11=0,"...",IF(V11=0,"...",AD11/(Z11/VLOOKUP(TODAY(),CCL!$A$12:$B35,2,FALSE)-AD11)))</f>
        <v>...</v>
      </c>
      <c r="AD11" s="46" t="str">
        <f t="shared" si="12"/>
        <v>...</v>
      </c>
      <c r="AE11" s="2"/>
      <c r="AF11" s="2"/>
      <c r="AG11" s="2"/>
      <c r="AH11" s="2"/>
      <c r="AI11" s="2"/>
      <c r="AJ11" s="2"/>
    </row>
    <row r="12" ht="24.0" customHeight="1">
      <c r="A12" s="4" t="s">
        <v>88</v>
      </c>
      <c r="B12" s="4" t="s">
        <v>119</v>
      </c>
      <c r="C12" s="5" t="str">
        <f>IFERROR(__xludf.DUMMYFUNCTION("if(B12=0,""..."", sparkline(query(GOOGLEFINANCE(""BCBA:""&amp;B12,""price"",today()-$AH$34,today()),""select Col2"",0),{""charttype"",$AH$33}))"),"")</f>
        <v/>
      </c>
      <c r="D12" s="17">
        <v>45245.0</v>
      </c>
      <c r="E12" s="6" t="s">
        <v>24</v>
      </c>
      <c r="F12" s="7"/>
      <c r="G12" s="8">
        <f t="shared" si="1"/>
        <v>872</v>
      </c>
      <c r="H12" s="6">
        <v>2.0</v>
      </c>
      <c r="I12" s="44">
        <v>16450.0</v>
      </c>
      <c r="J12" s="45">
        <f t="shared" si="2"/>
        <v>32900</v>
      </c>
      <c r="K12" s="47">
        <f>if(B12=0,"...",J12/VLOOKUP(D12,CCL!$A$13:$B35,2,FALSE))</f>
        <v>37.5918372</v>
      </c>
      <c r="L12" s="45">
        <f>IFERROR(__xludf.DUMMYFUNCTION("if(B12=0,""..."",if(E12=""CERRADA"",""Valor Venta"", GOOGLEFINANCE(""BCBA:""&amp;B12)))"),18990.0)</f>
        <v>18990</v>
      </c>
      <c r="M12" s="45">
        <f>if(B12=0,"...",L12*(1-VLOOKUP(A12,Config!$B$3:$C$22,2,FALSE)))</f>
        <v>18857.07</v>
      </c>
      <c r="N12" s="45">
        <f t="shared" si="3"/>
        <v>37714.14</v>
      </c>
      <c r="O12" s="12">
        <f>IFERROR(__xludf.DUMMYFUNCTION("if(B12=0,""..."",GOOGLEFINANCE(B12,""changepct"")/100)"),0.0011)</f>
        <v>0.0011</v>
      </c>
      <c r="P12" s="10">
        <f>IFERROR(__xludf.DUMMYFUNCTION("if(B12=0,""..."",GOOGLEFINANCE(B12,""change"")*H12)"),0.58)</f>
        <v>0.58</v>
      </c>
      <c r="Q12" s="12">
        <f t="shared" si="4"/>
        <v>0.1463264438</v>
      </c>
      <c r="R12" s="47">
        <f t="shared" si="5"/>
        <v>4814.14</v>
      </c>
      <c r="S12" s="12" t="str">
        <f>IF(B12=0,"...",(N12/VLOOKUP(IF(E12="ABIERTA",TODAY(),F12),CCL!$A$12:$B35,2,FALSE))/(J12/VLOOKUP(D12,CCL!$A$12:$B35,2,FALSE))-1)</f>
        <v>#N/A</v>
      </c>
      <c r="T12" s="47" t="str">
        <f>IF(B12=0,"...",N12/VLOOKUP(IF(E12="ABIERTA",TODAY(),F12),CCL!$A$12:$B$773,2,FALSE)-J12/VLOOKUP(D12,CCL!$A$12:$B35,2,FALSE))</f>
        <v>#N/A</v>
      </c>
      <c r="U12" s="2"/>
      <c r="V12" s="10"/>
      <c r="W12" s="59" t="str">
        <f t="shared" si="6"/>
        <v>...</v>
      </c>
      <c r="X12" s="12" t="str">
        <f t="shared" si="7"/>
        <v/>
      </c>
      <c r="Y12" s="45" t="str">
        <f t="shared" si="8"/>
        <v>...</v>
      </c>
      <c r="Z12" s="45" t="str">
        <f t="shared" si="9"/>
        <v>...</v>
      </c>
      <c r="AA12" s="12" t="str">
        <f t="shared" si="10"/>
        <v>...</v>
      </c>
      <c r="AB12" s="45" t="str">
        <f t="shared" si="11"/>
        <v>...</v>
      </c>
      <c r="AC12" s="12" t="str">
        <f>IF(W12=0,"...",IF(V12=0,"...",AD12/(Z12/VLOOKUP(TODAY(),CCL!$A$12:$B35,2,FALSE)-AD12)))</f>
        <v>...</v>
      </c>
      <c r="AD12" s="46" t="str">
        <f t="shared" si="12"/>
        <v>...</v>
      </c>
      <c r="AE12" s="2"/>
      <c r="AF12" s="2"/>
      <c r="AG12" s="2"/>
      <c r="AH12" s="2"/>
      <c r="AI12" s="2"/>
      <c r="AJ12" s="2"/>
    </row>
    <row r="13" ht="24.0" customHeight="1">
      <c r="A13" s="4" t="s">
        <v>88</v>
      </c>
      <c r="B13" s="4" t="s">
        <v>112</v>
      </c>
      <c r="C13" s="5" t="str">
        <f>IFERROR(__xludf.DUMMYFUNCTION("if(B13=0,""..."", sparkline(query(GOOGLEFINANCE(""BCBA:""&amp;B13,""price"",today()-$AH$34,today()),""select Col2"",0),{""charttype"",$AH$33}))"),"")</f>
        <v/>
      </c>
      <c r="D13" s="17">
        <v>45245.0</v>
      </c>
      <c r="E13" s="6" t="s">
        <v>24</v>
      </c>
      <c r="F13" s="7"/>
      <c r="G13" s="8">
        <f t="shared" si="1"/>
        <v>872</v>
      </c>
      <c r="H13" s="6">
        <v>2.0</v>
      </c>
      <c r="I13" s="44">
        <v>19870.0</v>
      </c>
      <c r="J13" s="45">
        <f t="shared" si="2"/>
        <v>39740</v>
      </c>
      <c r="K13" s="47">
        <f>if(B13=0,"...",J13/VLOOKUP(D13,CCL!$A$13:$B35,2,FALSE))</f>
        <v>45.40728299</v>
      </c>
      <c r="L13" s="45">
        <f>IFERROR(__xludf.DUMMYFUNCTION("if(B13=0,""..."",if(E13=""CERRADA"",""Valor Venta"", GOOGLEFINANCE(""BCBA:""&amp;B13)))"),48760.0)</f>
        <v>48760</v>
      </c>
      <c r="M13" s="45">
        <f>if(B13=0,"...",L13*(1-VLOOKUP(A13,Config!$B$3:$C$22,2,FALSE)))</f>
        <v>48418.68</v>
      </c>
      <c r="N13" s="45">
        <f t="shared" si="3"/>
        <v>96837.36</v>
      </c>
      <c r="O13" s="12">
        <f>IFERROR(__xludf.DUMMYFUNCTION("if(B13=0,""..."",GOOGLEFINANCE(B13,""changepct"")/100)"),9.0E-4)</f>
        <v>0.0009</v>
      </c>
      <c r="P13" s="10">
        <f>IFERROR(__xludf.DUMMYFUNCTION("if(B13=0,""..."",GOOGLEFINANCE(B13,""change"")*H13)"),1.18)</f>
        <v>1.18</v>
      </c>
      <c r="Q13" s="12">
        <f t="shared" si="4"/>
        <v>1.436773025</v>
      </c>
      <c r="R13" s="47">
        <f t="shared" si="5"/>
        <v>57097.36</v>
      </c>
      <c r="S13" s="12" t="str">
        <f>IF(B13=0,"...",(N13/VLOOKUP(IF(E13="ABIERTA",TODAY(),F13),CCL!$A$12:$B35,2,FALSE))/(J13/VLOOKUP(D13,CCL!$A$12:$B35,2,FALSE))-1)</f>
        <v>#N/A</v>
      </c>
      <c r="T13" s="47" t="str">
        <f>IF(B13=0,"...",N13/VLOOKUP(IF(E13="ABIERTA",TODAY(),F13),CCL!$A$12:$B$773,2,FALSE)-J13/VLOOKUP(D13,CCL!$A$12:$B35,2,FALSE))</f>
        <v>#N/A</v>
      </c>
      <c r="U13" s="2"/>
      <c r="V13" s="10"/>
      <c r="W13" s="59" t="str">
        <f t="shared" si="6"/>
        <v>...</v>
      </c>
      <c r="X13" s="12" t="str">
        <f t="shared" si="7"/>
        <v/>
      </c>
      <c r="Y13" s="45" t="str">
        <f t="shared" si="8"/>
        <v>...</v>
      </c>
      <c r="Z13" s="45" t="str">
        <f t="shared" si="9"/>
        <v>...</v>
      </c>
      <c r="AA13" s="12" t="str">
        <f t="shared" si="10"/>
        <v>...</v>
      </c>
      <c r="AB13" s="45" t="str">
        <f t="shared" si="11"/>
        <v>...</v>
      </c>
      <c r="AC13" s="12" t="str">
        <f>IF(W13=0,"...",IF(V13=0,"...",AD13/(Z13/VLOOKUP(TODAY(),CCL!$A$12:$B35,2,FALSE)-AD13)))</f>
        <v>...</v>
      </c>
      <c r="AD13" s="46" t="str">
        <f t="shared" si="12"/>
        <v>...</v>
      </c>
      <c r="AE13" s="2"/>
      <c r="AF13" s="2"/>
      <c r="AG13" s="2"/>
      <c r="AH13" s="2"/>
      <c r="AI13" s="2"/>
      <c r="AJ13" s="2"/>
    </row>
    <row r="14" ht="24.0" customHeight="1">
      <c r="A14" s="4" t="s">
        <v>88</v>
      </c>
      <c r="B14" s="4" t="s">
        <v>140</v>
      </c>
      <c r="C14" s="5" t="str">
        <f>IFERROR(__xludf.DUMMYFUNCTION("if(B14=0,""..."", sparkline(query(GOOGLEFINANCE(""BCBA:""&amp;B14,""price"",today()-$AH$34,today()),""select Col2"",0),{""charttype"",$AH$33}))"),"")</f>
        <v/>
      </c>
      <c r="D14" s="17">
        <v>45245.0</v>
      </c>
      <c r="E14" s="6" t="s">
        <v>22</v>
      </c>
      <c r="F14" s="17">
        <v>45267.0</v>
      </c>
      <c r="G14" s="8">
        <f t="shared" si="1"/>
        <v>22</v>
      </c>
      <c r="H14" s="6">
        <v>2.0</v>
      </c>
      <c r="I14" s="44">
        <v>15380.0</v>
      </c>
      <c r="J14" s="45">
        <f t="shared" si="2"/>
        <v>30760</v>
      </c>
      <c r="K14" s="47">
        <f>if(B14=0,"...",J14/VLOOKUP(D14,CCL!$A$13:$B35,2,FALSE))</f>
        <v>35.14665387</v>
      </c>
      <c r="L14" s="46">
        <v>17900.0</v>
      </c>
      <c r="M14" s="45">
        <f>if(B14=0,"...",L14*(1-VLOOKUP(A14,Config!$B$3:$C$22,2,FALSE)))</f>
        <v>17774.7</v>
      </c>
      <c r="N14" s="45">
        <f t="shared" si="3"/>
        <v>35549.4</v>
      </c>
      <c r="O14" s="12">
        <f>IFERROR(__xludf.DUMMYFUNCTION("if(B14=0,""..."",GOOGLEFINANCE(B14,""changepct"")/100)"),-9.0E-4)</f>
        <v>-0.0009</v>
      </c>
      <c r="P14" s="10">
        <f>IFERROR(__xludf.DUMMYFUNCTION("if(B14=0,""..."",GOOGLEFINANCE(B14,""change"")*H14)"),-0.84)</f>
        <v>-0.84</v>
      </c>
      <c r="Q14" s="12">
        <f t="shared" si="4"/>
        <v>0.1557022107</v>
      </c>
      <c r="R14" s="47">
        <f t="shared" si="5"/>
        <v>4789.4</v>
      </c>
      <c r="S14" s="12">
        <f>IF(B14=0,"...",(N14/VLOOKUP(IF(E14="ABIERTA",TODAY(),F14),CCL!$A$12:$B35,2,FALSE))/(J14/VLOOKUP(D14,CCL!$A$12:$B35,2,FALSE))-1)</f>
        <v>0.01979070783</v>
      </c>
      <c r="T14" s="47">
        <f>IF(B14=0,"...",N14/VLOOKUP(IF(E14="ABIERTA",TODAY(),F14),CCL!$A$12:$B$773,2,FALSE)-J14/VLOOKUP(D14,CCL!$A$12:$B35,2,FALSE))</f>
        <v>0.695577158</v>
      </c>
      <c r="U14" s="2"/>
      <c r="V14" s="10"/>
      <c r="W14" s="59" t="str">
        <f t="shared" si="6"/>
        <v>...</v>
      </c>
      <c r="X14" s="12" t="str">
        <f t="shared" si="7"/>
        <v/>
      </c>
      <c r="Y14" s="45" t="str">
        <f t="shared" si="8"/>
        <v>...</v>
      </c>
      <c r="Z14" s="45" t="str">
        <f t="shared" si="9"/>
        <v>...</v>
      </c>
      <c r="AA14" s="12" t="str">
        <f t="shared" si="10"/>
        <v>...</v>
      </c>
      <c r="AB14" s="45" t="str">
        <f t="shared" si="11"/>
        <v>...</v>
      </c>
      <c r="AC14" s="12" t="str">
        <f>IF(W14=0,"...",IF(V14=0,"...",AD14/(Z14/VLOOKUP(TODAY(),CCL!$A$12:$B35,2,FALSE)-AD14)))</f>
        <v>...</v>
      </c>
      <c r="AD14" s="46" t="str">
        <f t="shared" si="12"/>
        <v>...</v>
      </c>
      <c r="AE14" s="2"/>
      <c r="AF14" s="2"/>
      <c r="AG14" s="2"/>
      <c r="AH14" s="2"/>
      <c r="AI14" s="2"/>
      <c r="AJ14" s="2"/>
    </row>
    <row r="15" ht="24.0" customHeight="1">
      <c r="A15" s="4" t="s">
        <v>88</v>
      </c>
      <c r="B15" s="4" t="s">
        <v>139</v>
      </c>
      <c r="C15" s="5" t="str">
        <f>IFERROR(__xludf.DUMMYFUNCTION("if(B15=0,""..."", sparkline(query(GOOGLEFINANCE(""BCBA:""&amp;B15,""price"",today()-$AH$34,today()),""select Col2"",0),{""charttype"",$AH$33}))"),"")</f>
        <v/>
      </c>
      <c r="D15" s="17">
        <v>45247.0</v>
      </c>
      <c r="E15" s="6" t="s">
        <v>24</v>
      </c>
      <c r="F15" s="17"/>
      <c r="G15" s="8">
        <f t="shared" si="1"/>
        <v>870</v>
      </c>
      <c r="H15" s="6">
        <v>3.0</v>
      </c>
      <c r="I15" s="44">
        <v>13300.0</v>
      </c>
      <c r="J15" s="45">
        <f t="shared" si="2"/>
        <v>39900</v>
      </c>
      <c r="K15" s="47">
        <f>if(B15=0,"...",J15/VLOOKUP(D15,CCL!$A$13:$B35,2,FALSE))</f>
        <v>45.49808429</v>
      </c>
      <c r="L15" s="45">
        <f>IFERROR(__xludf.DUMMYFUNCTION("if(B15=0,""..."",if(E15=""CERRADA"",""Valor Venta"", GOOGLEFINANCE(""BCBA:""&amp;B15)))"),37840.0)</f>
        <v>37840</v>
      </c>
      <c r="M15" s="45">
        <f>if(B15=0,"...",L15*(1-VLOOKUP(A15,Config!$B$3:$C$22,2,FALSE)))</f>
        <v>37575.12</v>
      </c>
      <c r="N15" s="45">
        <f t="shared" si="3"/>
        <v>112725.36</v>
      </c>
      <c r="O15" s="12">
        <f>IFERROR(__xludf.DUMMYFUNCTION("if(B15=0,""..."",GOOGLEFINANCE(B15,""changepct"")/100)"),-0.0542)</f>
        <v>-0.0542</v>
      </c>
      <c r="P15" s="10">
        <f>IFERROR(__xludf.DUMMYFUNCTION("if(B15=0,""..."",GOOGLEFINANCE(B15,""change"")*H15)"),-62.010000000000005)</f>
        <v>-62.01</v>
      </c>
      <c r="Q15" s="12">
        <f t="shared" si="4"/>
        <v>1.825196992</v>
      </c>
      <c r="R15" s="47">
        <f t="shared" si="5"/>
        <v>72825.36</v>
      </c>
      <c r="S15" s="12" t="str">
        <f>IF(B15=0,"...",(N15/VLOOKUP(IF(E15="ABIERTA",TODAY(),F15),CCL!$A$12:$B35,2,FALSE))/(J15/VLOOKUP(D15,CCL!$A$12:$B35,2,FALSE))-1)</f>
        <v>#N/A</v>
      </c>
      <c r="T15" s="47" t="str">
        <f>IF(B15=0,"...",N15/VLOOKUP(IF(E15="ABIERTA",TODAY(),F15),CCL!$A$12:$B$773,2,FALSE)-J15/VLOOKUP(D15,CCL!$A$12:$B35,2,FALSE))</f>
        <v>#N/A</v>
      </c>
      <c r="U15" s="2"/>
      <c r="V15" s="10"/>
      <c r="W15" s="59" t="str">
        <f t="shared" si="6"/>
        <v>...</v>
      </c>
      <c r="X15" s="12" t="str">
        <f t="shared" si="7"/>
        <v/>
      </c>
      <c r="Y15" s="45" t="str">
        <f t="shared" si="8"/>
        <v>...</v>
      </c>
      <c r="Z15" s="45" t="str">
        <f t="shared" si="9"/>
        <v>...</v>
      </c>
      <c r="AA15" s="12" t="str">
        <f t="shared" si="10"/>
        <v>...</v>
      </c>
      <c r="AB15" s="45" t="str">
        <f t="shared" si="11"/>
        <v>...</v>
      </c>
      <c r="AC15" s="12" t="str">
        <f>IF(W15=0,"...",IF(V15=0,"...",AD15/(Z15/VLOOKUP(TODAY(),CCL!$A$12:$B35,2,FALSE)-AD15)))</f>
        <v>...</v>
      </c>
      <c r="AD15" s="46" t="str">
        <f t="shared" si="12"/>
        <v>...</v>
      </c>
      <c r="AE15" s="2"/>
      <c r="AF15" s="2"/>
      <c r="AG15" s="2"/>
      <c r="AH15" s="2"/>
      <c r="AI15" s="2"/>
      <c r="AJ15" s="2"/>
    </row>
    <row r="16" ht="24.0" customHeight="1">
      <c r="A16" s="4" t="s">
        <v>88</v>
      </c>
      <c r="B16" s="4" t="s">
        <v>621</v>
      </c>
      <c r="C16" s="5" t="str">
        <f>IFERROR(__xludf.DUMMYFUNCTION("if(B16=0,""..."", sparkline(query(GOOGLEFINANCE(""BCBA:""&amp;B16,""price"",today()-$AH$34,today()),""select Col2"",0),{""charttype"",$AH$33}))"),"")</f>
        <v/>
      </c>
      <c r="D16" s="17">
        <v>45243.0</v>
      </c>
      <c r="E16" s="6" t="s">
        <v>22</v>
      </c>
      <c r="F16" s="17">
        <v>45254.0</v>
      </c>
      <c r="G16" s="8">
        <f t="shared" si="1"/>
        <v>11</v>
      </c>
      <c r="H16" s="6">
        <v>121.0</v>
      </c>
      <c r="I16" s="44">
        <v>328.0</v>
      </c>
      <c r="J16" s="45">
        <f t="shared" si="2"/>
        <v>39688</v>
      </c>
      <c r="K16" s="47">
        <f>if(B16=0,"...",J16/VLOOKUP(D16,CCL!$A$13:$B35,2,FALSE))</f>
        <v>45.18780813</v>
      </c>
      <c r="L16" s="46">
        <v>590.0</v>
      </c>
      <c r="M16" s="45">
        <f>if(B16=0,"...",L16*(1-VLOOKUP(A16,Config!$B$3:$C$22,2,FALSE)))</f>
        <v>585.87</v>
      </c>
      <c r="N16" s="45">
        <f t="shared" si="3"/>
        <v>70890.27</v>
      </c>
      <c r="O16" s="12">
        <f>IFERROR(__xludf.DUMMYFUNCTION("if(B16=0,""..."",GOOGLEFINANCE(B16,""changepct"")/100)"),-0.0126)</f>
        <v>-0.0126</v>
      </c>
      <c r="P16" s="10">
        <f>IFERROR(__xludf.DUMMYFUNCTION("if(B16=0,""..."",GOOGLEFINANCE(B16,""change"")*H16)"),-14.52)</f>
        <v>-14.52</v>
      </c>
      <c r="Q16" s="12">
        <f t="shared" si="4"/>
        <v>0.7861890244</v>
      </c>
      <c r="R16" s="47">
        <f t="shared" si="5"/>
        <v>31202.27</v>
      </c>
      <c r="S16" s="12">
        <f>IF(B16=0,"...",(N16/VLOOKUP(IF(E16="ABIERTA",TODAY(),F16),CCL!$A$12:$B35,2,FALSE))/(J16/VLOOKUP(D16,CCL!$A$12:$B35,2,FALSE))-1)</f>
        <v>0.6956613397</v>
      </c>
      <c r="T16" s="47">
        <f>IF(B16=0,"...",N16/VLOOKUP(IF(E16="ABIERTA",TODAY(),F16),CCL!$A$12:$B$773,2,FALSE)-J16/VLOOKUP(D16,CCL!$A$12:$B35,2,FALSE))</f>
        <v>31.43541114</v>
      </c>
      <c r="U16" s="2"/>
      <c r="V16" s="10"/>
      <c r="W16" s="59" t="str">
        <f t="shared" si="6"/>
        <v>...</v>
      </c>
      <c r="X16" s="12" t="str">
        <f t="shared" si="7"/>
        <v/>
      </c>
      <c r="Y16" s="45" t="str">
        <f t="shared" si="8"/>
        <v>...</v>
      </c>
      <c r="Z16" s="45" t="str">
        <f t="shared" si="9"/>
        <v>...</v>
      </c>
      <c r="AA16" s="12" t="str">
        <f t="shared" si="10"/>
        <v>...</v>
      </c>
      <c r="AB16" s="45" t="str">
        <f t="shared" si="11"/>
        <v>...</v>
      </c>
      <c r="AC16" s="12" t="str">
        <f>IF(W16=0,"...",IF(V16=0,"...",AD16/(Z16/VLOOKUP(TODAY(),CCL!$A$12:$B35,2,FALSE)-AD16)))</f>
        <v>...</v>
      </c>
      <c r="AD16" s="46" t="str">
        <f t="shared" si="12"/>
        <v>...</v>
      </c>
      <c r="AE16" s="2"/>
      <c r="AF16" s="2"/>
      <c r="AG16" s="2"/>
      <c r="AH16" s="2"/>
      <c r="AI16" s="2"/>
      <c r="AJ16" s="2"/>
    </row>
    <row r="17" ht="24.0" customHeight="1">
      <c r="A17" s="4" t="s">
        <v>88</v>
      </c>
      <c r="B17" s="4" t="s">
        <v>123</v>
      </c>
      <c r="C17" s="5" t="str">
        <f>IFERROR(__xludf.DUMMYFUNCTION("if(B17=0,""..."", sparkline(query(GOOGLEFINANCE(""BCBA:""&amp;B17,""price"",today()-$AH$34,today()),""select Col2"",0),{""charttype"",$AH$33}))"),"")</f>
        <v/>
      </c>
      <c r="D17" s="17">
        <v>45258.0</v>
      </c>
      <c r="E17" s="6" t="s">
        <v>22</v>
      </c>
      <c r="F17" s="17">
        <v>45267.0</v>
      </c>
      <c r="G17" s="8">
        <f t="shared" si="1"/>
        <v>9</v>
      </c>
      <c r="H17" s="6">
        <v>3.0</v>
      </c>
      <c r="I17" s="9">
        <v>9850.0</v>
      </c>
      <c r="J17" s="45">
        <f t="shared" si="2"/>
        <v>29550</v>
      </c>
      <c r="K17" s="47">
        <f>IF(B17=0,"...",J17/VLOOKUP(D17,CCL!$A$12:$B35,2,FALSE))</f>
        <v>34.8097538</v>
      </c>
      <c r="L17" s="46">
        <v>11593.0</v>
      </c>
      <c r="M17" s="45">
        <f>if(B17=0,"...",L17*(1-VLOOKUP(A17,Config!$B$3:$C$22,2,FALSE)))</f>
        <v>11511.849</v>
      </c>
      <c r="N17" s="45">
        <f t="shared" si="3"/>
        <v>34535.547</v>
      </c>
      <c r="O17" s="12">
        <f>IFERROR(__xludf.DUMMYFUNCTION("if(B17=0,""..."",GOOGLEFINANCE(B17,""changepct"")/100)"),0.0084)</f>
        <v>0.0084</v>
      </c>
      <c r="P17" s="10">
        <f>IFERROR(__xludf.DUMMYFUNCTION("if(B17=0,""..."",GOOGLEFINANCE(B17,""change"")*H17)"),1.92)</f>
        <v>1.92</v>
      </c>
      <c r="Q17" s="12">
        <f t="shared" si="4"/>
        <v>0.1687156345</v>
      </c>
      <c r="R17" s="47">
        <f t="shared" si="5"/>
        <v>4985.547</v>
      </c>
      <c r="S17" s="12">
        <f>IF(B17=0,"...",(N17/VLOOKUP(IF(E17="ABIERTA",TODAY(),F17),CCL!$A$12:$B35,2,FALSE))/(J17/VLOOKUP(D17,CCL!$A$12:$B35,2,FALSE))-1)</f>
        <v>0.0002951132171</v>
      </c>
      <c r="T17" s="47">
        <f>IF(B17=0,"...",N17/VLOOKUP(IF(E17="ABIERTA",TODAY(),F17),CCL!$A$12:$B$773,2,FALSE)-J17/VLOOKUP(D17,CCL!$A$12:$B35,2,FALSE))</f>
        <v>0.01027281843</v>
      </c>
      <c r="U17" s="2"/>
      <c r="V17" s="10"/>
      <c r="W17" s="59" t="str">
        <f t="shared" si="6"/>
        <v>...</v>
      </c>
      <c r="X17" s="12" t="str">
        <f t="shared" si="7"/>
        <v/>
      </c>
      <c r="Y17" s="45" t="str">
        <f t="shared" si="8"/>
        <v>...</v>
      </c>
      <c r="Z17" s="45" t="str">
        <f t="shared" si="9"/>
        <v>...</v>
      </c>
      <c r="AA17" s="12" t="str">
        <f t="shared" si="10"/>
        <v>...</v>
      </c>
      <c r="AB17" s="45" t="str">
        <f t="shared" si="11"/>
        <v>...</v>
      </c>
      <c r="AC17" s="12" t="str">
        <f>IF(W17=0,"...",IF(V17=0,"...",AD17/(Z17/VLOOKUP(TODAY(),CCL!$A$12:$B35,2,FALSE)-AD17)))</f>
        <v>...</v>
      </c>
      <c r="AD17" s="46" t="str">
        <f t="shared" si="12"/>
        <v>...</v>
      </c>
      <c r="AE17" s="2"/>
      <c r="AF17" s="2"/>
      <c r="AG17" s="2"/>
      <c r="AH17" s="2"/>
      <c r="AI17" s="2"/>
      <c r="AJ17" s="2"/>
    </row>
    <row r="18" ht="24.0" customHeight="1">
      <c r="A18" s="4" t="s">
        <v>88</v>
      </c>
      <c r="B18" s="4" t="s">
        <v>119</v>
      </c>
      <c r="C18" s="5" t="str">
        <f>IFERROR(__xludf.DUMMYFUNCTION("if(B18=0,""..."", sparkline(query(GOOGLEFINANCE(""BCBA:""&amp;B18,""price"",today()-$AH$34,today()),""select Col2"",0),{""charttype"",$AH$33}))"),"")</f>
        <v/>
      </c>
      <c r="D18" s="17">
        <v>45258.0</v>
      </c>
      <c r="E18" s="6" t="s">
        <v>24</v>
      </c>
      <c r="F18" s="7"/>
      <c r="G18" s="8">
        <f t="shared" si="1"/>
        <v>859</v>
      </c>
      <c r="H18" s="6">
        <v>1.0</v>
      </c>
      <c r="I18" s="44">
        <v>15955.0</v>
      </c>
      <c r="J18" s="45">
        <f t="shared" si="2"/>
        <v>15955</v>
      </c>
      <c r="K18" s="47">
        <f>IF(B18=0,"...",J18/VLOOKUP(D18,CCL!$A$12:$B35,2,FALSE))</f>
        <v>18.79491106</v>
      </c>
      <c r="L18" s="45">
        <f>IFERROR(__xludf.DUMMYFUNCTION("if(B18=0,""..."",if(E18=""CERRADA"",""Valor Venta"", GOOGLEFINANCE(""BCBA:""&amp;B18)))"),18990.0)</f>
        <v>18990</v>
      </c>
      <c r="M18" s="45">
        <f>if(B18=0,"...",L18*(1-VLOOKUP(A18,Config!$B$3:$C$22,2,FALSE)))</f>
        <v>18857.07</v>
      </c>
      <c r="N18" s="45">
        <f t="shared" si="3"/>
        <v>18857.07</v>
      </c>
      <c r="O18" s="12">
        <f>IFERROR(__xludf.DUMMYFUNCTION("if(B18=0,""..."",GOOGLEFINANCE(B18,""changepct"")/100)"),0.0011)</f>
        <v>0.0011</v>
      </c>
      <c r="P18" s="10">
        <f>IFERROR(__xludf.DUMMYFUNCTION("if(B18=0,""..."",GOOGLEFINANCE(B18,""change"")*H18)"),0.29)</f>
        <v>0.29</v>
      </c>
      <c r="Q18" s="12">
        <f t="shared" si="4"/>
        <v>0.1818909433</v>
      </c>
      <c r="R18" s="47">
        <f t="shared" si="5"/>
        <v>2902.07</v>
      </c>
      <c r="S18" s="12" t="str">
        <f>IF(B18=0,"...",(N18/VLOOKUP(IF(E18="ABIERTA",TODAY(),F18),CCL!$A$12:$B35,2,FALSE))/(J18/VLOOKUP(D18,CCL!$A$12:$B35,2,FALSE))-1)</f>
        <v>#N/A</v>
      </c>
      <c r="T18" s="47" t="str">
        <f>IF(B18=0,"...",N18/VLOOKUP(IF(E18="ABIERTA",TODAY(),F18),CCL!$A$12:$B$773,2,FALSE)-J18/VLOOKUP(D18,CCL!$A$12:$B35,2,FALSE))</f>
        <v>#N/A</v>
      </c>
      <c r="U18" s="2"/>
      <c r="V18" s="10"/>
      <c r="W18" s="59" t="str">
        <f t="shared" si="6"/>
        <v>...</v>
      </c>
      <c r="X18" s="12" t="str">
        <f t="shared" si="7"/>
        <v/>
      </c>
      <c r="Y18" s="45" t="str">
        <f t="shared" si="8"/>
        <v>...</v>
      </c>
      <c r="Z18" s="45" t="str">
        <f t="shared" si="9"/>
        <v>...</v>
      </c>
      <c r="AA18" s="12" t="str">
        <f t="shared" si="10"/>
        <v>...</v>
      </c>
      <c r="AB18" s="45" t="str">
        <f t="shared" si="11"/>
        <v>...</v>
      </c>
      <c r="AC18" s="12" t="str">
        <f>IF(W18=0,"...",IF(V18=0,"...",AD18/(Z18/VLOOKUP(TODAY(),CCL!$A$12:$B35,2,FALSE)-AD18)))</f>
        <v>...</v>
      </c>
      <c r="AD18" s="46" t="str">
        <f t="shared" si="12"/>
        <v>...</v>
      </c>
      <c r="AE18" s="2"/>
      <c r="AF18" s="18" t="s">
        <v>96</v>
      </c>
      <c r="AG18" s="19">
        <f>sumifs(N2:N34,E2:E34,"ABIERTA")</f>
        <v>590497.38</v>
      </c>
      <c r="AH18" s="18" t="s">
        <v>47</v>
      </c>
      <c r="AI18" s="19">
        <f>sum(N2:N34)</f>
        <v>1045402.596</v>
      </c>
      <c r="AJ18" s="2"/>
    </row>
    <row r="19" ht="24.0" customHeight="1">
      <c r="A19" s="4" t="s">
        <v>88</v>
      </c>
      <c r="B19" s="4" t="s">
        <v>112</v>
      </c>
      <c r="C19" s="5" t="str">
        <f>IFERROR(__xludf.DUMMYFUNCTION("if(B19=0,""..."", sparkline(query(GOOGLEFINANCE(""BCBA:""&amp;B19,""price"",today()-$AH$34,today()),""select Col2"",0),{""charttype"",$AH$33}))"),"")</f>
        <v/>
      </c>
      <c r="D19" s="17">
        <v>45259.0</v>
      </c>
      <c r="E19" s="6" t="s">
        <v>24</v>
      </c>
      <c r="F19" s="7"/>
      <c r="G19" s="8">
        <f t="shared" si="1"/>
        <v>858</v>
      </c>
      <c r="H19" s="6">
        <v>2.0</v>
      </c>
      <c r="I19" s="44">
        <v>18700.0</v>
      </c>
      <c r="J19" s="45">
        <f t="shared" si="2"/>
        <v>37400</v>
      </c>
      <c r="K19" s="47">
        <f>IF(B19=0,"...",J19/VLOOKUP(D19,CCL!$A$12:$B35,2,FALSE))</f>
        <v>45.59474319</v>
      </c>
      <c r="L19" s="45">
        <f>IFERROR(__xludf.DUMMYFUNCTION("if(B19=0,""..."",if(E19=""CERRADA"",""Valor Venta"", GOOGLEFINANCE(""BCBA:""&amp;B19)))"),48760.0)</f>
        <v>48760</v>
      </c>
      <c r="M19" s="45">
        <f>if(B19=0,"...",L19*(1-VLOOKUP(A19,Config!$B$3:$C$22,2,FALSE)))</f>
        <v>48418.68</v>
      </c>
      <c r="N19" s="45">
        <f t="shared" si="3"/>
        <v>96837.36</v>
      </c>
      <c r="O19" s="12">
        <f>IFERROR(__xludf.DUMMYFUNCTION("if(B19=0,""..."",GOOGLEFINANCE(B19,""changepct"")/100)"),9.0E-4)</f>
        <v>0.0009</v>
      </c>
      <c r="P19" s="10">
        <f>IFERROR(__xludf.DUMMYFUNCTION("if(B19=0,""..."",GOOGLEFINANCE(B19,""change"")*H19)"),1.18)</f>
        <v>1.18</v>
      </c>
      <c r="Q19" s="12">
        <f t="shared" si="4"/>
        <v>1.589234225</v>
      </c>
      <c r="R19" s="47">
        <f t="shared" si="5"/>
        <v>59437.36</v>
      </c>
      <c r="S19" s="12" t="str">
        <f>IF(B19=0,"...",(N19/VLOOKUP(IF(E19="ABIERTA",TODAY(),F19),CCL!$A$12:$B35,2,FALSE))/(J19/VLOOKUP(D19,CCL!$A$12:$B35,2,FALSE))-1)</f>
        <v>#N/A</v>
      </c>
      <c r="T19" s="47" t="str">
        <f>IF(B19=0,"...",N19/VLOOKUP(IF(E19="ABIERTA",TODAY(),F19),CCL!$A$12:$B$773,2,FALSE)-J19/VLOOKUP(D19,CCL!$A$12:$B35,2,FALSE))</f>
        <v>#N/A</v>
      </c>
      <c r="U19" s="2"/>
      <c r="V19" s="10"/>
      <c r="W19" s="59" t="str">
        <f t="shared" si="6"/>
        <v>...</v>
      </c>
      <c r="X19" s="12" t="str">
        <f t="shared" si="7"/>
        <v/>
      </c>
      <c r="Y19" s="45" t="str">
        <f t="shared" si="8"/>
        <v>...</v>
      </c>
      <c r="Z19" s="45" t="str">
        <f t="shared" si="9"/>
        <v>...</v>
      </c>
      <c r="AA19" s="12" t="str">
        <f t="shared" si="10"/>
        <v>...</v>
      </c>
      <c r="AB19" s="45" t="str">
        <f t="shared" si="11"/>
        <v>...</v>
      </c>
      <c r="AC19" s="12" t="str">
        <f>IF(W19=0,"...",IF(V19=0,"...",AD19/(Z19/VLOOKUP(TODAY(),CCL!$A$12:$B35,2,FALSE)-AD19)))</f>
        <v>...</v>
      </c>
      <c r="AD19" s="46" t="str">
        <f t="shared" si="12"/>
        <v>...</v>
      </c>
      <c r="AE19" s="2"/>
      <c r="AJ19" s="2"/>
    </row>
    <row r="20" ht="24.0" customHeight="1">
      <c r="A20" s="4" t="s">
        <v>88</v>
      </c>
      <c r="B20" s="4" t="s">
        <v>622</v>
      </c>
      <c r="C20" s="5" t="str">
        <f>IFERROR(__xludf.DUMMYFUNCTION("if(B20=0,""..."", sparkline(query(GOOGLEFINANCE(""BCBA:""&amp;B20,""price"",today()-$AH$34,today()),""select Col2"",0),{""charttype"",$AH$33}))"),"")</f>
        <v/>
      </c>
      <c r="D20" s="17">
        <v>45260.0</v>
      </c>
      <c r="E20" s="6" t="s">
        <v>22</v>
      </c>
      <c r="F20" s="17">
        <v>45267.0</v>
      </c>
      <c r="G20" s="8">
        <f t="shared" si="1"/>
        <v>7</v>
      </c>
      <c r="H20" s="6">
        <v>7.0</v>
      </c>
      <c r="I20" s="44">
        <v>7400.0</v>
      </c>
      <c r="J20" s="45">
        <f t="shared" si="2"/>
        <v>51800</v>
      </c>
      <c r="K20" s="47">
        <f>IF(B20=0,"...",J20/VLOOKUP(D20,CCL!$A$12:$B35,2,FALSE))</f>
        <v>61.89952679</v>
      </c>
      <c r="L20" s="46">
        <v>8822.0</v>
      </c>
      <c r="M20" s="45">
        <f>if(B20=0,"...",L20*(1-VLOOKUP(A20,Config!$B$3:$C$22,2,FALSE)))</f>
        <v>8760.246</v>
      </c>
      <c r="N20" s="45">
        <f t="shared" si="3"/>
        <v>61321.722</v>
      </c>
      <c r="O20" s="12">
        <f>IFERROR(__xludf.DUMMYFUNCTION("if(B20=0,""..."",GOOGLEFINANCE(B20,""changepct"")/100)"),4.0E-4)</f>
        <v>0.0004</v>
      </c>
      <c r="P20" s="10">
        <f>IFERROR(__xludf.DUMMYFUNCTION("if(B20=0,""..."",GOOGLEFINANCE(B20,""change"")*H20)"),0.21)</f>
        <v>0.21</v>
      </c>
      <c r="Q20" s="12">
        <f t="shared" si="4"/>
        <v>0.183817027</v>
      </c>
      <c r="R20" s="47">
        <f t="shared" si="5"/>
        <v>9521.722</v>
      </c>
      <c r="S20" s="12">
        <f>IF(B20=0,"...",(N20/VLOOKUP(IF(E20="ABIERTA",TODAY(),F20),CCL!$A$12:$B35,2,FALSE))/(J20/VLOOKUP(D20,CCL!$A$12:$B35,2,FALSE))-1)</f>
        <v>-0.001174151924</v>
      </c>
      <c r="T20" s="47">
        <f>IF(B20=0,"...",N20/VLOOKUP(IF(E20="ABIERTA",TODAY(),F20),CCL!$A$12:$B$773,2,FALSE)-J20/VLOOKUP(D20,CCL!$A$12:$B35,2,FALSE))</f>
        <v>-0.07267944847</v>
      </c>
      <c r="U20" s="2"/>
      <c r="V20" s="10"/>
      <c r="W20" s="59" t="str">
        <f t="shared" si="6"/>
        <v>...</v>
      </c>
      <c r="X20" s="12" t="str">
        <f t="shared" si="7"/>
        <v/>
      </c>
      <c r="Y20" s="45" t="str">
        <f t="shared" si="8"/>
        <v>...</v>
      </c>
      <c r="Z20" s="45" t="str">
        <f t="shared" si="9"/>
        <v>...</v>
      </c>
      <c r="AA20" s="12" t="str">
        <f t="shared" si="10"/>
        <v>...</v>
      </c>
      <c r="AB20" s="45" t="str">
        <f t="shared" si="11"/>
        <v>...</v>
      </c>
      <c r="AC20" s="12" t="str">
        <f>IF(W20=0,"...",IF(V20=0,"...",AD20/(Z20/VLOOKUP(TODAY(),CCL!$A$12:$B35,2,FALSE)-AD20)))</f>
        <v>...</v>
      </c>
      <c r="AD20" s="46" t="str">
        <f t="shared" si="12"/>
        <v>...</v>
      </c>
      <c r="AE20" s="2"/>
      <c r="AF20" s="18" t="s">
        <v>49</v>
      </c>
      <c r="AG20" s="19">
        <f>sumifs(R2:R34,E2:E34,"ABIERTA")</f>
        <v>304316.38</v>
      </c>
      <c r="AH20" s="18" t="s">
        <v>50</v>
      </c>
      <c r="AI20" s="19">
        <f>sum(R2:R34)</f>
        <v>379463.096</v>
      </c>
      <c r="AJ20" s="2"/>
    </row>
    <row r="21" ht="24.0" customHeight="1">
      <c r="A21" s="4" t="s">
        <v>88</v>
      </c>
      <c r="B21" s="4" t="s">
        <v>115</v>
      </c>
      <c r="C21" s="5" t="str">
        <f>IFERROR(__xludf.DUMMYFUNCTION("if(B21=0,""..."", sparkline(query(GOOGLEFINANCE(""BCBA:""&amp;B21,""price"",today()-$AH$34,today()),""select Col2"",0),{""charttype"",$AH$33}))"),"")</f>
        <v/>
      </c>
      <c r="D21" s="17">
        <v>45266.0</v>
      </c>
      <c r="E21" s="6" t="s">
        <v>22</v>
      </c>
      <c r="F21" s="17">
        <v>45267.0</v>
      </c>
      <c r="G21" s="8">
        <f t="shared" si="1"/>
        <v>1</v>
      </c>
      <c r="H21" s="6">
        <v>48.0</v>
      </c>
      <c r="I21" s="44">
        <v>2055.0</v>
      </c>
      <c r="J21" s="45">
        <f t="shared" si="2"/>
        <v>98640</v>
      </c>
      <c r="K21" s="47">
        <f>IF(B21=0,"...",J21/VLOOKUP(D21,CCL!$A$12:$B35,2,FALSE))</f>
        <v>105.2227343</v>
      </c>
      <c r="L21" s="46">
        <v>2325.5</v>
      </c>
      <c r="M21" s="45">
        <f>if(B21=0,"...",L21*(1-VLOOKUP(A21,Config!$B$3:$C$22,2,FALSE)))</f>
        <v>2309.2215</v>
      </c>
      <c r="N21" s="45">
        <f t="shared" si="3"/>
        <v>110842.632</v>
      </c>
      <c r="O21" s="12">
        <f>IFERROR(__xludf.DUMMYFUNCTION("if(B21=0,""..."",GOOGLEFINANCE(B21,""changepct"")/100)"),-0.0054)</f>
        <v>-0.0054</v>
      </c>
      <c r="P21" s="10">
        <f>IFERROR(__xludf.DUMMYFUNCTION("if(B21=0,""..."",GOOGLEFINANCE(B21,""change"")*H21)"),-77.76)</f>
        <v>-77.76</v>
      </c>
      <c r="Q21" s="12">
        <f t="shared" si="4"/>
        <v>0.1237087591</v>
      </c>
      <c r="R21" s="47">
        <f t="shared" si="5"/>
        <v>12202.632</v>
      </c>
      <c r="S21" s="12">
        <f>IF(B21=0,"...",(N21/VLOOKUP(IF(E21="ABIERTA",TODAY(),F21),CCL!$A$12:$B35,2,FALSE))/(J21/VLOOKUP(D21,CCL!$A$12:$B35,2,FALSE))-1)</f>
        <v>0.06208678821</v>
      </c>
      <c r="T21" s="47">
        <f>IF(B21=0,"...",N21/VLOOKUP(IF(E21="ABIERTA",TODAY(),F21),CCL!$A$12:$B$773,2,FALSE)-J21/VLOOKUP(D21,CCL!$A$12:$B35,2,FALSE))</f>
        <v>6.532941617</v>
      </c>
      <c r="U21" s="2"/>
      <c r="V21" s="10"/>
      <c r="W21" s="59" t="str">
        <f t="shared" si="6"/>
        <v>...</v>
      </c>
      <c r="X21" s="12" t="str">
        <f t="shared" si="7"/>
        <v/>
      </c>
      <c r="Y21" s="45" t="str">
        <f t="shared" si="8"/>
        <v>...</v>
      </c>
      <c r="Z21" s="45" t="str">
        <f t="shared" si="9"/>
        <v>...</v>
      </c>
      <c r="AA21" s="12" t="str">
        <f t="shared" si="10"/>
        <v>...</v>
      </c>
      <c r="AB21" s="45" t="str">
        <f t="shared" si="11"/>
        <v>...</v>
      </c>
      <c r="AC21" s="12" t="str">
        <f>IF(W21=0,"...",IF(V21=0,"...",AD21/(Z21/VLOOKUP(TODAY(),CCL!$A$12:$B35,2,FALSE)-AD21)))</f>
        <v>...</v>
      </c>
      <c r="AD21" s="46" t="str">
        <f t="shared" si="12"/>
        <v>...</v>
      </c>
      <c r="AE21" s="2"/>
      <c r="AJ21" s="2"/>
    </row>
    <row r="22" ht="24.0" customHeight="1">
      <c r="A22" s="4"/>
      <c r="B22" s="30"/>
      <c r="C22" s="5" t="str">
        <f>IFERROR(__xludf.DUMMYFUNCTION("if(B22=0,""..."", sparkline(query(GOOGLEFINANCE(""BCBA:""&amp;B22,""price"",today()-$AH$34,today()),""select Col2"",0),{""charttype"",$AH$33}))"),"...")</f>
        <v>...</v>
      </c>
      <c r="D22" s="17"/>
      <c r="E22" s="31"/>
      <c r="F22" s="7"/>
      <c r="G22" s="8" t="str">
        <f t="shared" si="1"/>
        <v>...</v>
      </c>
      <c r="H22" s="31"/>
      <c r="I22" s="52"/>
      <c r="J22" s="45" t="str">
        <f t="shared" si="2"/>
        <v>...</v>
      </c>
      <c r="K22" s="47" t="str">
        <f>IF(B22=0,"...",J22/VLOOKUP(D22,CCL!$A$12:$B35,2,FALSE))</f>
        <v>...</v>
      </c>
      <c r="L22" s="45" t="str">
        <f>IFERROR(__xludf.DUMMYFUNCTION("if(B22=0,""..."",if(E22=""CERRADA"",""Valor Venta"", GOOGLEFINANCE(""BCBA:""&amp;B22)))"),"...")</f>
        <v>...</v>
      </c>
      <c r="M22" s="45" t="str">
        <f>if(B22=0,"...",L22*(1-VLOOKUP(A22,Config!$B$3:$C$22,2,FALSE)))</f>
        <v>...</v>
      </c>
      <c r="N22" s="45" t="str">
        <f t="shared" si="3"/>
        <v>...</v>
      </c>
      <c r="O22" s="12" t="str">
        <f>IFERROR(__xludf.DUMMYFUNCTION("if(B22=0,""..."",GOOGLEFINANCE(B22,""changepct"")/100)"),"...")</f>
        <v>...</v>
      </c>
      <c r="P22" s="10" t="str">
        <f>IFERROR(__xludf.DUMMYFUNCTION("if(B22=0,""..."",GOOGLEFINANCE(B22,""change"")*H22)"),"...")</f>
        <v>...</v>
      </c>
      <c r="Q22" s="12" t="str">
        <f t="shared" si="4"/>
        <v>...</v>
      </c>
      <c r="R22" s="47" t="str">
        <f t="shared" si="5"/>
        <v>...</v>
      </c>
      <c r="S22" s="12" t="str">
        <f>IF(B22=0,"...",(N22/VLOOKUP(IF(E22="ABIERTA",TODAY(),F22),CCL!$A$12:$B35,2,FALSE))/(J22/VLOOKUP(D22,CCL!$A$12:$B35,2,FALSE))-1)</f>
        <v>...</v>
      </c>
      <c r="T22" s="47" t="str">
        <f>IF(B22=0,"...",N22/VLOOKUP(IF(E22="ABIERTA",TODAY(),F22),CCL!$A$12:$B$773,2,FALSE)-J22/VLOOKUP(D22,CCL!$A$12:$B35,2,FALSE))</f>
        <v>...</v>
      </c>
      <c r="U22" s="2"/>
      <c r="V22" s="10"/>
      <c r="W22" s="59" t="str">
        <f t="shared" si="6"/>
        <v>...</v>
      </c>
      <c r="X22" s="12" t="str">
        <f t="shared" si="7"/>
        <v/>
      </c>
      <c r="Y22" s="45" t="str">
        <f t="shared" si="8"/>
        <v>...</v>
      </c>
      <c r="Z22" s="45" t="str">
        <f t="shared" si="9"/>
        <v>...</v>
      </c>
      <c r="AA22" s="12" t="str">
        <f t="shared" si="10"/>
        <v>...</v>
      </c>
      <c r="AB22" s="45" t="str">
        <f t="shared" si="11"/>
        <v>...</v>
      </c>
      <c r="AC22" s="12" t="str">
        <f>IF(W22=0,"...",IF(V22=0,"...",AD22/(Z22/VLOOKUP(TODAY(),CCL!$A$12:$B35,2,FALSE)-AD22)))</f>
        <v>...</v>
      </c>
      <c r="AD22" s="46" t="str">
        <f t="shared" si="12"/>
        <v>...</v>
      </c>
      <c r="AE22" s="2"/>
      <c r="AF22" s="18" t="s">
        <v>53</v>
      </c>
      <c r="AG22" s="22">
        <f>AG20/(AG18-AG20)</f>
        <v>1.063370315</v>
      </c>
      <c r="AH22" s="18" t="s">
        <v>53</v>
      </c>
      <c r="AI22" s="22">
        <f>AI20/(AI18-AI20)</f>
        <v>0.569816171</v>
      </c>
      <c r="AJ22" s="2"/>
    </row>
    <row r="23" ht="24.0" customHeight="1">
      <c r="A23" s="4"/>
      <c r="B23" s="30"/>
      <c r="C23" s="5" t="str">
        <f>IFERROR(__xludf.DUMMYFUNCTION("if(B23=0,""..."", sparkline(query(GOOGLEFINANCE(""BCBA:""&amp;B23,""price"",today()-$AH$34,today()),""select Col2"",0),{""charttype"",$AH$33}))"),"...")</f>
        <v>...</v>
      </c>
      <c r="D23" s="17"/>
      <c r="E23" s="31"/>
      <c r="F23" s="7"/>
      <c r="G23" s="8" t="str">
        <f t="shared" si="1"/>
        <v>...</v>
      </c>
      <c r="H23" s="31"/>
      <c r="I23" s="52"/>
      <c r="J23" s="45" t="str">
        <f t="shared" si="2"/>
        <v>...</v>
      </c>
      <c r="K23" s="47" t="str">
        <f>IF(B23=0,"...",J23/VLOOKUP(D23,CCL!$A$12:$B35,2,FALSE))</f>
        <v>...</v>
      </c>
      <c r="L23" s="45" t="str">
        <f>IFERROR(__xludf.DUMMYFUNCTION("if(B23=0,""..."",if(E23=""CERRADA"",""Valor Venta"", GOOGLEFINANCE(""BCBA:""&amp;B23)))"),"...")</f>
        <v>...</v>
      </c>
      <c r="M23" s="45" t="str">
        <f>if(B23=0,"...",L23*(1-VLOOKUP(A23,Config!$B$3:$C$22,2,FALSE)))</f>
        <v>...</v>
      </c>
      <c r="N23" s="45" t="str">
        <f t="shared" si="3"/>
        <v>...</v>
      </c>
      <c r="O23" s="12" t="str">
        <f>IFERROR(__xludf.DUMMYFUNCTION("if(B23=0,""..."",GOOGLEFINANCE(B23,""changepct"")/100)"),"...")</f>
        <v>...</v>
      </c>
      <c r="P23" s="10" t="str">
        <f>IFERROR(__xludf.DUMMYFUNCTION("if(B23=0,""..."",GOOGLEFINANCE(B23,""change"")*H23)"),"...")</f>
        <v>...</v>
      </c>
      <c r="Q23" s="12" t="str">
        <f t="shared" si="4"/>
        <v>...</v>
      </c>
      <c r="R23" s="47" t="str">
        <f t="shared" si="5"/>
        <v>...</v>
      </c>
      <c r="S23" s="12" t="str">
        <f>IF(B23=0,"...",(N23/VLOOKUP(IF(E23="ABIERTA",TODAY(),F23),CCL!$A$12:$B35,2,FALSE))/(J23/VLOOKUP(D23,CCL!$A$12:$B35,2,FALSE))-1)</f>
        <v>...</v>
      </c>
      <c r="T23" s="47" t="str">
        <f>IF(B23=0,"...",N23/VLOOKUP(IF(E23="ABIERTA",TODAY(),F23),CCL!$A$12:$B$773,2,FALSE)-J23/VLOOKUP(D23,CCL!$A$12:$B35,2,FALSE))</f>
        <v>...</v>
      </c>
      <c r="U23" s="2"/>
      <c r="V23" s="10"/>
      <c r="W23" s="59" t="str">
        <f t="shared" si="6"/>
        <v>...</v>
      </c>
      <c r="X23" s="12" t="str">
        <f t="shared" si="7"/>
        <v/>
      </c>
      <c r="Y23" s="45" t="str">
        <f t="shared" si="8"/>
        <v>...</v>
      </c>
      <c r="Z23" s="45" t="str">
        <f t="shared" si="9"/>
        <v>...</v>
      </c>
      <c r="AA23" s="12" t="str">
        <f t="shared" si="10"/>
        <v>...</v>
      </c>
      <c r="AB23" s="45" t="str">
        <f t="shared" si="11"/>
        <v>...</v>
      </c>
      <c r="AC23" s="12" t="str">
        <f>IF(W23=0,"...",IF(V23=0,"...",AD23/(Z23/VLOOKUP(TODAY(),CCL!$A$12:$B35,2,FALSE)-AD23)))</f>
        <v>...</v>
      </c>
      <c r="AD23" s="46" t="str">
        <f t="shared" si="12"/>
        <v>...</v>
      </c>
      <c r="AE23" s="2"/>
      <c r="AJ23" s="2"/>
    </row>
    <row r="24" ht="24.0" customHeight="1">
      <c r="A24" s="4"/>
      <c r="B24" s="30"/>
      <c r="C24" s="5" t="str">
        <f>IFERROR(__xludf.DUMMYFUNCTION("if(B24=0,""..."", sparkline(query(GOOGLEFINANCE(""BCBA:""&amp;B24,""price"",today()-$AH$34,today()),""select Col2"",0),{""charttype"",$AH$33}))"),"...")</f>
        <v>...</v>
      </c>
      <c r="D24" s="17"/>
      <c r="E24" s="31"/>
      <c r="F24" s="7"/>
      <c r="G24" s="8" t="str">
        <f t="shared" si="1"/>
        <v>...</v>
      </c>
      <c r="H24" s="31"/>
      <c r="I24" s="52"/>
      <c r="J24" s="45" t="str">
        <f t="shared" si="2"/>
        <v>...</v>
      </c>
      <c r="K24" s="47" t="str">
        <f>IF(B24=0,"...",J24/VLOOKUP(D24,CCL!$A$12:$B35,2,FALSE))</f>
        <v>...</v>
      </c>
      <c r="L24" s="45" t="str">
        <f>IFERROR(__xludf.DUMMYFUNCTION("if(B24=0,""..."",if(E24=""CERRADA"",""Valor Venta"", GOOGLEFINANCE(""BCBA:""&amp;B24)))"),"...")</f>
        <v>...</v>
      </c>
      <c r="M24" s="45" t="str">
        <f>if(B24=0,"...",L24*(1-VLOOKUP(A24,Config!$B$3:$C$22,2,FALSE)))</f>
        <v>...</v>
      </c>
      <c r="N24" s="45" t="str">
        <f t="shared" si="3"/>
        <v>...</v>
      </c>
      <c r="O24" s="12" t="str">
        <f>IFERROR(__xludf.DUMMYFUNCTION("if(B24=0,""..."",GOOGLEFINANCE(B24,""changepct"")/100)"),"...")</f>
        <v>...</v>
      </c>
      <c r="P24" s="10" t="str">
        <f>IFERROR(__xludf.DUMMYFUNCTION("if(B24=0,""..."",GOOGLEFINANCE(B24,""change"")*H24)"),"...")</f>
        <v>...</v>
      </c>
      <c r="Q24" s="12" t="str">
        <f t="shared" si="4"/>
        <v>...</v>
      </c>
      <c r="R24" s="47" t="str">
        <f t="shared" si="5"/>
        <v>...</v>
      </c>
      <c r="S24" s="12" t="str">
        <f>IF(B24=0,"...",(N24/VLOOKUP(IF(E24="ABIERTA",TODAY(),F24),CCL!$A$12:$B35,2,FALSE))/(J24/VLOOKUP(D24,CCL!$A$12:$B35,2,FALSE))-1)</f>
        <v>...</v>
      </c>
      <c r="T24" s="47" t="str">
        <f>IF(B24=0,"...",N24/VLOOKUP(IF(E24="ABIERTA",TODAY(),F24),CCL!$A$12:$B$773,2,FALSE)-J24/VLOOKUP(D24,CCL!$A$12:$B35,2,FALSE))</f>
        <v>...</v>
      </c>
      <c r="U24" s="2"/>
      <c r="V24" s="10"/>
      <c r="W24" s="59" t="str">
        <f t="shared" si="6"/>
        <v>...</v>
      </c>
      <c r="X24" s="12" t="str">
        <f t="shared" si="7"/>
        <v/>
      </c>
      <c r="Y24" s="45" t="str">
        <f t="shared" si="8"/>
        <v>...</v>
      </c>
      <c r="Z24" s="45" t="str">
        <f t="shared" si="9"/>
        <v>...</v>
      </c>
      <c r="AA24" s="12" t="str">
        <f t="shared" si="10"/>
        <v>...</v>
      </c>
      <c r="AB24" s="45" t="str">
        <f t="shared" si="11"/>
        <v>...</v>
      </c>
      <c r="AC24" s="12" t="str">
        <f>IF(W24=0,"...",IF(V24=0,"...",AD24/(Z24/VLOOKUP(TODAY(),CCL!$A$12:$B35,2,FALSE)-AD24)))</f>
        <v>...</v>
      </c>
      <c r="AD24" s="46" t="str">
        <f t="shared" si="12"/>
        <v>...</v>
      </c>
      <c r="AE24" s="2"/>
      <c r="AF24" s="2"/>
      <c r="AG24" s="2"/>
      <c r="AH24" s="2"/>
      <c r="AI24" s="2"/>
      <c r="AJ24" s="2"/>
    </row>
    <row r="25" ht="24.0" customHeight="1">
      <c r="A25" s="4"/>
      <c r="B25" s="30"/>
      <c r="C25" s="5" t="str">
        <f>IFERROR(__xludf.DUMMYFUNCTION("if(B25=0,""..."", sparkline(query(GOOGLEFINANCE(""BCBA:""&amp;B25,""price"",today()-$AH$34,today()),""select Col2"",0),{""charttype"",$AH$33}))"),"...")</f>
        <v>...</v>
      </c>
      <c r="D25" s="17"/>
      <c r="E25" s="31"/>
      <c r="F25" s="7"/>
      <c r="G25" s="8" t="str">
        <f t="shared" si="1"/>
        <v>...</v>
      </c>
      <c r="H25" s="31"/>
      <c r="I25" s="52"/>
      <c r="J25" s="45" t="str">
        <f t="shared" si="2"/>
        <v>...</v>
      </c>
      <c r="K25" s="47" t="str">
        <f>IF(B25=0,"...",J25/VLOOKUP(D25,CCL!$A$12:$B35,2,FALSE))</f>
        <v>...</v>
      </c>
      <c r="L25" s="45" t="str">
        <f>IFERROR(__xludf.DUMMYFUNCTION("if(B25=0,""..."",if(E25=""CERRADA"",""Valor Venta"", GOOGLEFINANCE(""BCBA:""&amp;B25)))"),"...")</f>
        <v>...</v>
      </c>
      <c r="M25" s="45" t="str">
        <f>if(B25=0,"...",L25*(1-VLOOKUP(A25,Config!$B$3:$C$22,2,FALSE)))</f>
        <v>...</v>
      </c>
      <c r="N25" s="45" t="str">
        <f t="shared" si="3"/>
        <v>...</v>
      </c>
      <c r="O25" s="12" t="str">
        <f>IFERROR(__xludf.DUMMYFUNCTION("if(B25=0,""..."",GOOGLEFINANCE(B25,""changepct"")/100)"),"...")</f>
        <v>...</v>
      </c>
      <c r="P25" s="10" t="str">
        <f>IFERROR(__xludf.DUMMYFUNCTION("if(B25=0,""..."",GOOGLEFINANCE(B25,""change"")*H25)"),"...")</f>
        <v>...</v>
      </c>
      <c r="Q25" s="12" t="str">
        <f t="shared" si="4"/>
        <v>...</v>
      </c>
      <c r="R25" s="47" t="str">
        <f t="shared" si="5"/>
        <v>...</v>
      </c>
      <c r="S25" s="12" t="str">
        <f>IF(B25=0,"...",(N25/VLOOKUP(IF(E25="ABIERTA",TODAY(),F25),CCL!$A$12:$B35,2,FALSE))/(J25/VLOOKUP(D25,CCL!$A$12:$B35,2,FALSE))-1)</f>
        <v>...</v>
      </c>
      <c r="T25" s="47" t="str">
        <f>IF(B25=0,"...",N25/VLOOKUP(IF(E25="ABIERTA",TODAY(),F25),CCL!$A$12:$B$773,2,FALSE)-J25/VLOOKUP(D25,CCL!$A$12:$B35,2,FALSE))</f>
        <v>...</v>
      </c>
      <c r="U25" s="2"/>
      <c r="V25" s="10"/>
      <c r="W25" s="59" t="str">
        <f t="shared" si="6"/>
        <v>...</v>
      </c>
      <c r="X25" s="12" t="str">
        <f t="shared" si="7"/>
        <v/>
      </c>
      <c r="Y25" s="45" t="str">
        <f t="shared" si="8"/>
        <v>...</v>
      </c>
      <c r="Z25" s="45" t="str">
        <f t="shared" si="9"/>
        <v>...</v>
      </c>
      <c r="AA25" s="12" t="str">
        <f t="shared" si="10"/>
        <v>...</v>
      </c>
      <c r="AB25" s="45" t="str">
        <f t="shared" si="11"/>
        <v>...</v>
      </c>
      <c r="AC25" s="12" t="str">
        <f>IF(W25=0,"...",IF(V25=0,"...",AD25/(Z25/VLOOKUP(TODAY(),CCL!$A$12:$B35,2,FALSE)-AD25)))</f>
        <v>...</v>
      </c>
      <c r="AD25" s="46" t="str">
        <f t="shared" si="12"/>
        <v>...</v>
      </c>
      <c r="AE25" s="2"/>
      <c r="AF25" s="18" t="s">
        <v>126</v>
      </c>
      <c r="AG25" s="19" t="str">
        <f>AG18/VLOOKUP(TODAY(),CCL!$A$12:$B35,2,FALSE)</f>
        <v>#N/A</v>
      </c>
      <c r="AH25" s="18" t="s">
        <v>143</v>
      </c>
      <c r="AI25" s="19" t="str">
        <f>sum(K2:K35)</f>
        <v>#N/A</v>
      </c>
      <c r="AJ25" s="2"/>
    </row>
    <row r="26" ht="24.0" customHeight="1">
      <c r="A26" s="4"/>
      <c r="B26" s="30"/>
      <c r="C26" s="5" t="str">
        <f>IFERROR(__xludf.DUMMYFUNCTION("if(B26=0,""..."", sparkline(query(GOOGLEFINANCE(""BCBA:""&amp;B26,""price"",today()-$AH$34,today()),""select Col2"",0),{""charttype"",$AH$33}))"),"...")</f>
        <v>...</v>
      </c>
      <c r="D26" s="17"/>
      <c r="E26" s="31"/>
      <c r="F26" s="7"/>
      <c r="G26" s="8" t="str">
        <f t="shared" si="1"/>
        <v>...</v>
      </c>
      <c r="H26" s="31"/>
      <c r="I26" s="52"/>
      <c r="J26" s="45" t="str">
        <f t="shared" si="2"/>
        <v>...</v>
      </c>
      <c r="K26" s="47" t="str">
        <f>IF(B26=0,"...",J26/VLOOKUP(D26,CCL!$A$12:$B35,2,FALSE))</f>
        <v>...</v>
      </c>
      <c r="L26" s="45" t="str">
        <f>IFERROR(__xludf.DUMMYFUNCTION("if(B26=0,""..."",if(E26=""CERRADA"",""Valor Venta"", GOOGLEFINANCE(""BCBA:""&amp;B26)))"),"...")</f>
        <v>...</v>
      </c>
      <c r="M26" s="45" t="str">
        <f>if(B26=0,"...",L26*(1-VLOOKUP(A26,Config!$B$3:$C$22,2,FALSE)))</f>
        <v>...</v>
      </c>
      <c r="N26" s="45" t="str">
        <f t="shared" si="3"/>
        <v>...</v>
      </c>
      <c r="O26" s="12" t="str">
        <f>IFERROR(__xludf.DUMMYFUNCTION("if(B26=0,""..."",GOOGLEFINANCE(B26,""changepct"")/100)"),"...")</f>
        <v>...</v>
      </c>
      <c r="P26" s="10" t="str">
        <f>IFERROR(__xludf.DUMMYFUNCTION("if(B26=0,""..."",GOOGLEFINANCE(B26,""change"")*H26)"),"...")</f>
        <v>...</v>
      </c>
      <c r="Q26" s="12" t="str">
        <f t="shared" si="4"/>
        <v>...</v>
      </c>
      <c r="R26" s="47" t="str">
        <f t="shared" si="5"/>
        <v>...</v>
      </c>
      <c r="S26" s="12" t="str">
        <f>IF(B26=0,"...",(N26/VLOOKUP(IF(E26="ABIERTA",TODAY(),F26),CCL!$A$12:$B35,2,FALSE))/(J26/VLOOKUP(D26,CCL!$A$12:$B35,2,FALSE))-1)</f>
        <v>...</v>
      </c>
      <c r="T26" s="47" t="str">
        <f>IF(B26=0,"...",N26/VLOOKUP(IF(E26="ABIERTA",TODAY(),F26),CCL!$A$12:$B$773,2,FALSE)-J26/VLOOKUP(D26,CCL!$A$12:$B35,2,FALSE))</f>
        <v>...</v>
      </c>
      <c r="U26" s="2"/>
      <c r="V26" s="10"/>
      <c r="W26" s="59" t="str">
        <f t="shared" si="6"/>
        <v>...</v>
      </c>
      <c r="X26" s="12" t="str">
        <f t="shared" si="7"/>
        <v/>
      </c>
      <c r="Y26" s="45" t="str">
        <f t="shared" si="8"/>
        <v>...</v>
      </c>
      <c r="Z26" s="45" t="str">
        <f t="shared" si="9"/>
        <v>...</v>
      </c>
      <c r="AA26" s="12" t="str">
        <f t="shared" si="10"/>
        <v>...</v>
      </c>
      <c r="AB26" s="45" t="str">
        <f t="shared" si="11"/>
        <v>...</v>
      </c>
      <c r="AC26" s="12" t="str">
        <f>IF(W26=0,"...",IF(V26=0,"...",AD26/(Z26/VLOOKUP(TODAY(),CCL!$A$12:$B35,2,FALSE)-AD26)))</f>
        <v>...</v>
      </c>
      <c r="AD26" s="46" t="str">
        <f t="shared" si="12"/>
        <v>...</v>
      </c>
      <c r="AE26" s="2"/>
      <c r="AJ26" s="2"/>
    </row>
    <row r="27" ht="24.0" customHeight="1">
      <c r="A27" s="4"/>
      <c r="B27" s="30"/>
      <c r="C27" s="5" t="str">
        <f>IFERROR(__xludf.DUMMYFUNCTION("if(B27=0,""..."", sparkline(query(GOOGLEFINANCE(""BCBA:""&amp;B27,""price"",today()-$AH$34,today()),""select Col2"",0),{""charttype"",$AH$33}))"),"...")</f>
        <v>...</v>
      </c>
      <c r="D27" s="17"/>
      <c r="E27" s="31"/>
      <c r="F27" s="7"/>
      <c r="G27" s="8" t="str">
        <f t="shared" si="1"/>
        <v>...</v>
      </c>
      <c r="H27" s="31"/>
      <c r="I27" s="52"/>
      <c r="J27" s="45" t="str">
        <f t="shared" si="2"/>
        <v>...</v>
      </c>
      <c r="K27" s="47" t="str">
        <f>IF(B27=0,"...",J27/VLOOKUP(D27,CCL!$A$12:$B35,2,FALSE))</f>
        <v>...</v>
      </c>
      <c r="L27" s="45" t="str">
        <f>IFERROR(__xludf.DUMMYFUNCTION("if(B27=0,""..."",if(E27=""CERRADA"",""Valor Venta"", GOOGLEFINANCE(""BCBA:""&amp;B27)))"),"...")</f>
        <v>...</v>
      </c>
      <c r="M27" s="45" t="str">
        <f>if(B27=0,"...",L27*(1-VLOOKUP(A27,Config!$B$3:$C$22,2,FALSE)))</f>
        <v>...</v>
      </c>
      <c r="N27" s="45" t="str">
        <f t="shared" si="3"/>
        <v>...</v>
      </c>
      <c r="O27" s="12" t="str">
        <f>IFERROR(__xludf.DUMMYFUNCTION("if(B27=0,""..."",GOOGLEFINANCE(B27,""changepct"")/100)"),"...")</f>
        <v>...</v>
      </c>
      <c r="P27" s="10" t="str">
        <f>IFERROR(__xludf.DUMMYFUNCTION("if(B27=0,""..."",GOOGLEFINANCE(B27,""change"")*H27)"),"...")</f>
        <v>...</v>
      </c>
      <c r="Q27" s="12" t="str">
        <f t="shared" si="4"/>
        <v>...</v>
      </c>
      <c r="R27" s="47" t="str">
        <f t="shared" si="5"/>
        <v>...</v>
      </c>
      <c r="S27" s="12" t="str">
        <f>IF(B27=0,"...",(N27/VLOOKUP(IF(E27="ABIERTA",TODAY(),F27),CCL!$A$12:$B35,2,FALSE))/(J27/VLOOKUP(D27,CCL!$A$12:$B35,2,FALSE))-1)</f>
        <v>...</v>
      </c>
      <c r="T27" s="47" t="str">
        <f>IF(B27=0,"...",N27/VLOOKUP(IF(E27="ABIERTA",TODAY(),F27),CCL!$A$12:$B$773,2,FALSE)-J27/VLOOKUP(D27,CCL!$A$12:$B35,2,FALSE))</f>
        <v>...</v>
      </c>
      <c r="U27" s="2"/>
      <c r="V27" s="10"/>
      <c r="W27" s="59" t="str">
        <f t="shared" si="6"/>
        <v>...</v>
      </c>
      <c r="X27" s="12" t="str">
        <f t="shared" si="7"/>
        <v/>
      </c>
      <c r="Y27" s="45" t="str">
        <f t="shared" si="8"/>
        <v>...</v>
      </c>
      <c r="Z27" s="45" t="str">
        <f t="shared" si="9"/>
        <v>...</v>
      </c>
      <c r="AA27" s="12" t="str">
        <f t="shared" si="10"/>
        <v>...</v>
      </c>
      <c r="AB27" s="45" t="str">
        <f t="shared" si="11"/>
        <v>...</v>
      </c>
      <c r="AC27" s="12" t="str">
        <f>IF(W27=0,"...",IF(V27=0,"...",AD27/(Z27/VLOOKUP(TODAY(),CCL!$A$12:$B35,2,FALSE)-AD27)))</f>
        <v>...</v>
      </c>
      <c r="AD27" s="46" t="str">
        <f t="shared" si="12"/>
        <v>...</v>
      </c>
      <c r="AE27" s="2"/>
      <c r="AF27" s="18" t="s">
        <v>128</v>
      </c>
      <c r="AG27" s="19" t="str">
        <f>sumifs(T2:T35,E2:E35,"ABIERTA")</f>
        <v>#N/A</v>
      </c>
      <c r="AH27" s="18" t="s">
        <v>129</v>
      </c>
      <c r="AI27" s="19" t="str">
        <f>sum(T2:T35)</f>
        <v>#N/A</v>
      </c>
      <c r="AJ27" s="2"/>
    </row>
    <row r="28" ht="24.0" customHeight="1">
      <c r="A28" s="4"/>
      <c r="B28" s="30"/>
      <c r="C28" s="5" t="str">
        <f>IFERROR(__xludf.DUMMYFUNCTION("if(B28=0,""..."", sparkline(query(GOOGLEFINANCE(""BCBA:""&amp;B28,""price"",today()-$AH$34,today()),""select Col2"",0),{""charttype"",$AH$33}))"),"...")</f>
        <v>...</v>
      </c>
      <c r="D28" s="17"/>
      <c r="E28" s="31"/>
      <c r="F28" s="7"/>
      <c r="G28" s="8" t="str">
        <f t="shared" si="1"/>
        <v>...</v>
      </c>
      <c r="H28" s="31"/>
      <c r="I28" s="52"/>
      <c r="J28" s="45" t="str">
        <f t="shared" si="2"/>
        <v>...</v>
      </c>
      <c r="K28" s="47" t="str">
        <f>IF(B28=0,"...",J28/VLOOKUP(D28,CCL!$A$12:$B35,2,FALSE))</f>
        <v>...</v>
      </c>
      <c r="L28" s="45" t="str">
        <f>IFERROR(__xludf.DUMMYFUNCTION("if(B28=0,""..."",if(E28=""CERRADA"",""Valor Venta"", GOOGLEFINANCE(""BCBA:""&amp;B28)))"),"...")</f>
        <v>...</v>
      </c>
      <c r="M28" s="45" t="str">
        <f>if(B28=0,"...",L28*(1-VLOOKUP(A28,Config!$B$3:$C$22,2,FALSE)))</f>
        <v>...</v>
      </c>
      <c r="N28" s="45" t="str">
        <f t="shared" si="3"/>
        <v>...</v>
      </c>
      <c r="O28" s="12" t="str">
        <f>IFERROR(__xludf.DUMMYFUNCTION("if(B28=0,""..."",GOOGLEFINANCE(B28,""changepct"")/100)"),"...")</f>
        <v>...</v>
      </c>
      <c r="P28" s="10" t="str">
        <f>IFERROR(__xludf.DUMMYFUNCTION("if(B28=0,""..."",GOOGLEFINANCE(B28,""change"")*H28)"),"...")</f>
        <v>...</v>
      </c>
      <c r="Q28" s="12" t="str">
        <f t="shared" si="4"/>
        <v>...</v>
      </c>
      <c r="R28" s="47" t="str">
        <f t="shared" si="5"/>
        <v>...</v>
      </c>
      <c r="S28" s="12" t="str">
        <f>IF(B28=0,"...",(N28/VLOOKUP(IF(E28="ABIERTA",TODAY(),F28),CCL!$A$12:$B35,2,FALSE))/(J28/VLOOKUP(D28,CCL!$A$12:$B35,2,FALSE))-1)</f>
        <v>...</v>
      </c>
      <c r="T28" s="47" t="str">
        <f>IF(B28=0,"...",N28/VLOOKUP(IF(E28="ABIERTA",TODAY(),F28),CCL!$A$12:$B$773,2,FALSE)-J28/VLOOKUP(D28,CCL!$A$12:$B35,2,FALSE))</f>
        <v>...</v>
      </c>
      <c r="U28" s="2"/>
      <c r="V28" s="10"/>
      <c r="W28" s="59" t="str">
        <f t="shared" si="6"/>
        <v>...</v>
      </c>
      <c r="X28" s="12" t="str">
        <f t="shared" si="7"/>
        <v/>
      </c>
      <c r="Y28" s="45" t="str">
        <f t="shared" si="8"/>
        <v>...</v>
      </c>
      <c r="Z28" s="45" t="str">
        <f t="shared" si="9"/>
        <v>...</v>
      </c>
      <c r="AA28" s="12" t="str">
        <f t="shared" si="10"/>
        <v>...</v>
      </c>
      <c r="AB28" s="45" t="str">
        <f t="shared" si="11"/>
        <v>...</v>
      </c>
      <c r="AC28" s="12" t="str">
        <f>IF(W28=0,"...",IF(V28=0,"...",AD28/(Z28/VLOOKUP(TODAY(),CCL!$A$12:$B35,2,FALSE)-AD28)))</f>
        <v>...</v>
      </c>
      <c r="AD28" s="46" t="str">
        <f t="shared" si="12"/>
        <v>...</v>
      </c>
      <c r="AE28" s="2"/>
      <c r="AJ28" s="2"/>
    </row>
    <row r="29" ht="24.0" customHeight="1">
      <c r="A29" s="4"/>
      <c r="B29" s="30"/>
      <c r="C29" s="5" t="str">
        <f>IFERROR(__xludf.DUMMYFUNCTION("if(B29=0,""..."", sparkline(query(GOOGLEFINANCE(""BCBA:""&amp;B29,""price"",today()-$AH$34,today()),""select Col2"",0),{""charttype"",$AH$33}))"),"...")</f>
        <v>...</v>
      </c>
      <c r="D29" s="17"/>
      <c r="E29" s="31"/>
      <c r="F29" s="7"/>
      <c r="G29" s="8" t="str">
        <f t="shared" si="1"/>
        <v>...</v>
      </c>
      <c r="H29" s="31"/>
      <c r="I29" s="52"/>
      <c r="J29" s="45" t="str">
        <f t="shared" si="2"/>
        <v>...</v>
      </c>
      <c r="K29" s="47" t="str">
        <f>IF(B29=0,"...",J29/VLOOKUP(D29,CCL!$A$12:$B35,2,FALSE))</f>
        <v>...</v>
      </c>
      <c r="L29" s="45" t="str">
        <f>IFERROR(__xludf.DUMMYFUNCTION("if(B29=0,""..."",if(E29=""CERRADA"",""Valor Venta"", GOOGLEFINANCE(""BCBA:""&amp;B29)))"),"...")</f>
        <v>...</v>
      </c>
      <c r="M29" s="45" t="str">
        <f>if(B29=0,"...",L29*(1-VLOOKUP(A29,Config!$B$3:$C$22,2,FALSE)))</f>
        <v>...</v>
      </c>
      <c r="N29" s="45" t="str">
        <f t="shared" si="3"/>
        <v>...</v>
      </c>
      <c r="O29" s="12" t="str">
        <f>IFERROR(__xludf.DUMMYFUNCTION("if(B29=0,""..."",GOOGLEFINANCE(B29,""changepct"")/100)"),"...")</f>
        <v>...</v>
      </c>
      <c r="P29" s="10" t="str">
        <f>IFERROR(__xludf.DUMMYFUNCTION("if(B29=0,""..."",GOOGLEFINANCE(B29,""change"")*H29)"),"...")</f>
        <v>...</v>
      </c>
      <c r="Q29" s="12" t="str">
        <f t="shared" si="4"/>
        <v>...</v>
      </c>
      <c r="R29" s="47" t="str">
        <f t="shared" si="5"/>
        <v>...</v>
      </c>
      <c r="S29" s="12" t="str">
        <f>IF(B29=0,"...",(N29/VLOOKUP(IF(E29="ABIERTA",TODAY(),F29),CCL!$A$12:$B35,2,FALSE))/(J29/VLOOKUP(D29,CCL!$A$12:$B35,2,FALSE))-1)</f>
        <v>...</v>
      </c>
      <c r="T29" s="47" t="str">
        <f>IF(B29=0,"...",N29/VLOOKUP(IF(E29="ABIERTA",TODAY(),F29),CCL!$A$12:$B$773,2,FALSE)-J29/VLOOKUP(D29,CCL!$A$12:$B35,2,FALSE))</f>
        <v>...</v>
      </c>
      <c r="U29" s="2"/>
      <c r="V29" s="10"/>
      <c r="W29" s="59" t="str">
        <f t="shared" si="6"/>
        <v>...</v>
      </c>
      <c r="X29" s="12" t="str">
        <f t="shared" si="7"/>
        <v/>
      </c>
      <c r="Y29" s="45" t="str">
        <f t="shared" si="8"/>
        <v>...</v>
      </c>
      <c r="Z29" s="45" t="str">
        <f t="shared" si="9"/>
        <v>...</v>
      </c>
      <c r="AA29" s="12" t="str">
        <f t="shared" si="10"/>
        <v>...</v>
      </c>
      <c r="AB29" s="45" t="str">
        <f t="shared" si="11"/>
        <v>...</v>
      </c>
      <c r="AC29" s="12" t="str">
        <f>IF(W29=0,"...",IF(V29=0,"...",AD29/(Z29/VLOOKUP(TODAY(),CCL!$A$12:$B35,2,FALSE)-AD29)))</f>
        <v>...</v>
      </c>
      <c r="AD29" s="46" t="str">
        <f t="shared" si="12"/>
        <v>...</v>
      </c>
      <c r="AE29" s="2"/>
      <c r="AF29" s="18" t="s">
        <v>132</v>
      </c>
      <c r="AG29" s="22" t="str">
        <f>AG27/(AG25-AG27)</f>
        <v>#N/A</v>
      </c>
      <c r="AH29" s="18" t="s">
        <v>132</v>
      </c>
      <c r="AI29" s="22" t="str">
        <f>AI27/(AI25-AI27)</f>
        <v>#N/A</v>
      </c>
      <c r="AJ29" s="2"/>
    </row>
    <row r="30" ht="24.0" customHeight="1">
      <c r="A30" s="4"/>
      <c r="B30" s="30"/>
      <c r="C30" s="5" t="str">
        <f>IFERROR(__xludf.DUMMYFUNCTION("if(B30=0,""..."", sparkline(query(GOOGLEFINANCE(""BCBA:""&amp;B30,""price"",today()-$AH$34,today()),""select Col2"",0),{""charttype"",$AH$33}))"),"...")</f>
        <v>...</v>
      </c>
      <c r="D30" s="17"/>
      <c r="E30" s="31"/>
      <c r="F30" s="7"/>
      <c r="G30" s="8" t="str">
        <f t="shared" si="1"/>
        <v>...</v>
      </c>
      <c r="H30" s="31"/>
      <c r="I30" s="52"/>
      <c r="J30" s="45" t="str">
        <f t="shared" si="2"/>
        <v>...</v>
      </c>
      <c r="K30" s="47" t="str">
        <f>IF(B30=0,"...",J30/VLOOKUP(D30,CCL!$A$12:$B35,2,FALSE))</f>
        <v>...</v>
      </c>
      <c r="L30" s="45" t="str">
        <f>IFERROR(__xludf.DUMMYFUNCTION("if(B30=0,""..."",if(E30=""CERRADA"",""Valor Venta"", GOOGLEFINANCE(""BCBA:""&amp;B30)))"),"...")</f>
        <v>...</v>
      </c>
      <c r="M30" s="45" t="str">
        <f>if(B30=0,"...",L30*(1-VLOOKUP(A30,Config!$B$3:$C$22,2,FALSE)))</f>
        <v>...</v>
      </c>
      <c r="N30" s="45" t="str">
        <f t="shared" si="3"/>
        <v>...</v>
      </c>
      <c r="O30" s="12" t="str">
        <f>IFERROR(__xludf.DUMMYFUNCTION("if(B30=0,""..."",GOOGLEFINANCE(B30,""changepct"")/100)"),"...")</f>
        <v>...</v>
      </c>
      <c r="P30" s="10" t="str">
        <f>IFERROR(__xludf.DUMMYFUNCTION("if(B30=0,""..."",GOOGLEFINANCE(B30,""change"")*H30)"),"...")</f>
        <v>...</v>
      </c>
      <c r="Q30" s="12" t="str">
        <f t="shared" si="4"/>
        <v>...</v>
      </c>
      <c r="R30" s="47" t="str">
        <f t="shared" si="5"/>
        <v>...</v>
      </c>
      <c r="S30" s="12" t="str">
        <f>IF(B30=0,"...",(N30/VLOOKUP(IF(E30="ABIERTA",TODAY(),F30),CCL!$A$12:$B35,2,FALSE))/(J30/VLOOKUP(D30,CCL!$A$12:$B35,2,FALSE))-1)</f>
        <v>...</v>
      </c>
      <c r="T30" s="47" t="str">
        <f>IF(B30=0,"...",N30/VLOOKUP(IF(E30="ABIERTA",TODAY(),F30),CCL!$A$12:$B$773,2,FALSE)-J30/VLOOKUP(D30,CCL!$A$12:$B35,2,FALSE))</f>
        <v>...</v>
      </c>
      <c r="U30" s="2"/>
      <c r="V30" s="10"/>
      <c r="W30" s="59" t="str">
        <f t="shared" si="6"/>
        <v>...</v>
      </c>
      <c r="X30" s="12" t="str">
        <f t="shared" si="7"/>
        <v/>
      </c>
      <c r="Y30" s="45" t="str">
        <f t="shared" si="8"/>
        <v>...</v>
      </c>
      <c r="Z30" s="45" t="str">
        <f t="shared" si="9"/>
        <v>...</v>
      </c>
      <c r="AA30" s="12" t="str">
        <f t="shared" si="10"/>
        <v>...</v>
      </c>
      <c r="AB30" s="45" t="str">
        <f t="shared" si="11"/>
        <v>...</v>
      </c>
      <c r="AC30" s="12" t="str">
        <f>IF(W30=0,"...",IF(V30=0,"...",AD30/(Z30/VLOOKUP(TODAY(),CCL!$A$12:$B35,2,FALSE)-AD30)))</f>
        <v>...</v>
      </c>
      <c r="AD30" s="46" t="str">
        <f t="shared" si="12"/>
        <v>...</v>
      </c>
      <c r="AE30" s="2"/>
      <c r="AJ30" s="2"/>
    </row>
    <row r="31" ht="24.0" customHeight="1">
      <c r="A31" s="4"/>
      <c r="B31" s="30"/>
      <c r="C31" s="5" t="str">
        <f>IFERROR(__xludf.DUMMYFUNCTION("if(B31=0,""..."", sparkline(query(GOOGLEFINANCE(""BCBA:""&amp;B31,""price"",today()-$AH$34,today()),""select Col2"",0),{""charttype"",$AH$33}))"),"...")</f>
        <v>...</v>
      </c>
      <c r="D31" s="17"/>
      <c r="E31" s="31"/>
      <c r="F31" s="7"/>
      <c r="G31" s="8" t="str">
        <f t="shared" si="1"/>
        <v>...</v>
      </c>
      <c r="H31" s="31"/>
      <c r="I31" s="52"/>
      <c r="J31" s="45" t="str">
        <f t="shared" si="2"/>
        <v>...</v>
      </c>
      <c r="K31" s="47" t="str">
        <f>IF(B31=0,"...",J31/VLOOKUP(D31,CCL!$A$12:$B35,2,FALSE))</f>
        <v>...</v>
      </c>
      <c r="L31" s="45" t="str">
        <f>IFERROR(__xludf.DUMMYFUNCTION("if(B31=0,""..."",if(E31=""CERRADA"",""Valor Venta"", GOOGLEFINANCE(""BCBA:""&amp;B31)))"),"...")</f>
        <v>...</v>
      </c>
      <c r="M31" s="45" t="str">
        <f>if(B31=0,"...",L31*(1-VLOOKUP(A31,Config!$B$3:$C$22,2,FALSE)))</f>
        <v>...</v>
      </c>
      <c r="N31" s="45" t="str">
        <f t="shared" si="3"/>
        <v>...</v>
      </c>
      <c r="O31" s="12" t="str">
        <f>IFERROR(__xludf.DUMMYFUNCTION("if(B31=0,""..."",GOOGLEFINANCE(B31,""changepct"")/100)"),"...")</f>
        <v>...</v>
      </c>
      <c r="P31" s="10" t="str">
        <f>IFERROR(__xludf.DUMMYFUNCTION("if(B31=0,""..."",GOOGLEFINANCE(B31,""change"")*H31)"),"...")</f>
        <v>...</v>
      </c>
      <c r="Q31" s="12" t="str">
        <f t="shared" si="4"/>
        <v>...</v>
      </c>
      <c r="R31" s="47" t="str">
        <f t="shared" si="5"/>
        <v>...</v>
      </c>
      <c r="S31" s="12" t="str">
        <f>IF(B31=0,"...",(N31/VLOOKUP(IF(E31="ABIERTA",TODAY(),F31),CCL!$A$12:$B35,2,FALSE))/(J31/VLOOKUP(D31,CCL!$A$12:$B35,2,FALSE))-1)</f>
        <v>...</v>
      </c>
      <c r="T31" s="47" t="str">
        <f>IF(B31=0,"...",N31/VLOOKUP(IF(E31="ABIERTA",TODAY(),F31),CCL!$A$12:$B$773,2,FALSE)-J31/VLOOKUP(D31,CCL!$A$12:$B35,2,FALSE))</f>
        <v>...</v>
      </c>
      <c r="U31" s="2"/>
      <c r="V31" s="10"/>
      <c r="W31" s="59" t="str">
        <f t="shared" si="6"/>
        <v>...</v>
      </c>
      <c r="X31" s="12" t="str">
        <f t="shared" si="7"/>
        <v/>
      </c>
      <c r="Y31" s="45" t="str">
        <f t="shared" si="8"/>
        <v>...</v>
      </c>
      <c r="Z31" s="45" t="str">
        <f t="shared" si="9"/>
        <v>...</v>
      </c>
      <c r="AA31" s="12" t="str">
        <f t="shared" si="10"/>
        <v>...</v>
      </c>
      <c r="AB31" s="45" t="str">
        <f t="shared" si="11"/>
        <v>...</v>
      </c>
      <c r="AC31" s="12" t="str">
        <f>IF(W31=0,"...",IF(V31=0,"...",AD31/(Z31/VLOOKUP(TODAY(),CCL!$A$12:$B35,2,FALSE)-AD31)))</f>
        <v>...</v>
      </c>
      <c r="AD31" s="46" t="str">
        <f t="shared" si="12"/>
        <v>...</v>
      </c>
      <c r="AE31" s="2"/>
      <c r="AF31" s="2"/>
      <c r="AG31" s="2"/>
      <c r="AH31" s="2"/>
      <c r="AI31" s="2"/>
      <c r="AJ31" s="2"/>
    </row>
    <row r="32" ht="24.0" customHeight="1">
      <c r="A32" s="4"/>
      <c r="B32" s="30"/>
      <c r="C32" s="5" t="str">
        <f>IFERROR(__xludf.DUMMYFUNCTION("if(B32=0,""..."", sparkline(query(GOOGLEFINANCE(""BCBA:""&amp;B32,""price"",today()-$AH$34,today()),""select Col2"",0),{""charttype"",$AH$33}))"),"...")</f>
        <v>...</v>
      </c>
      <c r="D32" s="17"/>
      <c r="E32" s="31"/>
      <c r="F32" s="7"/>
      <c r="G32" s="8" t="str">
        <f t="shared" si="1"/>
        <v>...</v>
      </c>
      <c r="H32" s="31"/>
      <c r="I32" s="52"/>
      <c r="J32" s="45" t="str">
        <f t="shared" si="2"/>
        <v>...</v>
      </c>
      <c r="K32" s="47" t="str">
        <f>IF(B32=0,"...",J32/VLOOKUP(D32,CCL!$A$12:$B35,2,FALSE))</f>
        <v>...</v>
      </c>
      <c r="L32" s="45" t="str">
        <f>IFERROR(__xludf.DUMMYFUNCTION("if(B32=0,""..."",if(E32=""CERRADA"",""Valor Venta"", GOOGLEFINANCE(""BCBA:""&amp;B32)))"),"...")</f>
        <v>...</v>
      </c>
      <c r="M32" s="45" t="str">
        <f>if(B32=0,"...",L32*(1-VLOOKUP(A32,Config!$B$3:$C$22,2,FALSE)))</f>
        <v>...</v>
      </c>
      <c r="N32" s="45" t="str">
        <f t="shared" si="3"/>
        <v>...</v>
      </c>
      <c r="O32" s="12" t="str">
        <f>IFERROR(__xludf.DUMMYFUNCTION("if(B32=0,""..."",GOOGLEFINANCE(B32,""changepct"")/100)"),"...")</f>
        <v>...</v>
      </c>
      <c r="P32" s="10" t="str">
        <f>IFERROR(__xludf.DUMMYFUNCTION("if(B32=0,""..."",GOOGLEFINANCE(B32,""change"")*H32)"),"...")</f>
        <v>...</v>
      </c>
      <c r="Q32" s="12" t="str">
        <f t="shared" si="4"/>
        <v>...</v>
      </c>
      <c r="R32" s="47" t="str">
        <f t="shared" si="5"/>
        <v>...</v>
      </c>
      <c r="S32" s="12" t="str">
        <f>IF(B32=0,"...",(N32/VLOOKUP(IF(E32="ABIERTA",TODAY(),F32),CCL!$A$12:$B35,2,FALSE))/(J32/VLOOKUP(D32,CCL!$A$12:$B35,2,FALSE))-1)</f>
        <v>...</v>
      </c>
      <c r="T32" s="47" t="str">
        <f>IF(B32=0,"...",N32/VLOOKUP(IF(E32="ABIERTA",TODAY(),F32),CCL!$A$12:$B$773,2,FALSE)-J32/VLOOKUP(D32,CCL!$A$12:$B35,2,FALSE))</f>
        <v>...</v>
      </c>
      <c r="U32" s="2"/>
      <c r="V32" s="10"/>
      <c r="W32" s="59" t="str">
        <f t="shared" si="6"/>
        <v>...</v>
      </c>
      <c r="X32" s="12" t="str">
        <f t="shared" si="7"/>
        <v/>
      </c>
      <c r="Y32" s="45" t="str">
        <f t="shared" si="8"/>
        <v>...</v>
      </c>
      <c r="Z32" s="45" t="str">
        <f t="shared" si="9"/>
        <v>...</v>
      </c>
      <c r="AA32" s="12" t="str">
        <f t="shared" si="10"/>
        <v>...</v>
      </c>
      <c r="AB32" s="45" t="str">
        <f t="shared" si="11"/>
        <v>...</v>
      </c>
      <c r="AC32" s="12" t="str">
        <f>IF(W32=0,"...",IF(V32=0,"...",AD32/(Z32/VLOOKUP(TODAY(),CCL!$A$12:$B35,2,FALSE)-AD32)))</f>
        <v>...</v>
      </c>
      <c r="AD32" s="46" t="str">
        <f t="shared" si="12"/>
        <v>...</v>
      </c>
      <c r="AE32" s="2"/>
      <c r="AF32" s="2"/>
      <c r="AG32" s="2"/>
      <c r="AH32" s="2"/>
      <c r="AI32" s="2"/>
      <c r="AJ32" s="2"/>
    </row>
    <row r="33" ht="24.0" customHeight="1">
      <c r="A33" s="4"/>
      <c r="B33" s="30"/>
      <c r="C33" s="5" t="str">
        <f>IFERROR(__xludf.DUMMYFUNCTION("if(B33=0,""..."", sparkline(query(GOOGLEFINANCE(""BCBA:""&amp;B33,""price"",today()-$AH$34,today()),""select Col2"",0),{""charttype"",$AH$33}))"),"...")</f>
        <v>...</v>
      </c>
      <c r="D33" s="17"/>
      <c r="E33" s="31"/>
      <c r="F33" s="7"/>
      <c r="G33" s="8" t="str">
        <f t="shared" si="1"/>
        <v>...</v>
      </c>
      <c r="H33" s="31"/>
      <c r="I33" s="52"/>
      <c r="J33" s="45" t="str">
        <f t="shared" si="2"/>
        <v>...</v>
      </c>
      <c r="K33" s="47" t="str">
        <f>IF(B33=0,"...",J33/VLOOKUP(D33,CCL!$A$12:$B35,2,FALSE))</f>
        <v>...</v>
      </c>
      <c r="L33" s="45" t="str">
        <f>IFERROR(__xludf.DUMMYFUNCTION("if(B33=0,""..."",if(E33=""CERRADA"",""Valor Venta"", GOOGLEFINANCE(""BCBA:""&amp;B33)))"),"...")</f>
        <v>...</v>
      </c>
      <c r="M33" s="45" t="str">
        <f>if(B33=0,"...",L33*(1-VLOOKUP(A33,Config!$B$3:$C$22,2,FALSE)))</f>
        <v>...</v>
      </c>
      <c r="N33" s="45" t="str">
        <f t="shared" si="3"/>
        <v>...</v>
      </c>
      <c r="O33" s="12" t="str">
        <f>IFERROR(__xludf.DUMMYFUNCTION("if(B33=0,""..."",GOOGLEFINANCE(B33,""changepct"")/100)"),"...")</f>
        <v>...</v>
      </c>
      <c r="P33" s="10" t="str">
        <f>IFERROR(__xludf.DUMMYFUNCTION("if(B33=0,""..."",GOOGLEFINANCE(B33,""change"")*H33)"),"...")</f>
        <v>...</v>
      </c>
      <c r="Q33" s="12" t="str">
        <f t="shared" si="4"/>
        <v>...</v>
      </c>
      <c r="R33" s="47" t="str">
        <f t="shared" si="5"/>
        <v>...</v>
      </c>
      <c r="S33" s="12" t="str">
        <f>IF(B33=0,"...",(N33/VLOOKUP(IF(E33="ABIERTA",TODAY(),F33),CCL!$A$12:$B35,2,FALSE))/(J33/VLOOKUP(D33,CCL!$A$12:$B35,2,FALSE))-1)</f>
        <v>...</v>
      </c>
      <c r="T33" s="47" t="str">
        <f>IF(B33=0,"...",N33/VLOOKUP(IF(E33="ABIERTA",TODAY(),F33),CCL!$A$12:$B$773,2,FALSE)-J33/VLOOKUP(D33,CCL!$A$12:$B35,2,FALSE))</f>
        <v>...</v>
      </c>
      <c r="U33" s="2"/>
      <c r="V33" s="10"/>
      <c r="W33" s="59" t="str">
        <f t="shared" si="6"/>
        <v>...</v>
      </c>
      <c r="X33" s="12" t="str">
        <f t="shared" si="7"/>
        <v/>
      </c>
      <c r="Y33" s="45" t="str">
        <f t="shared" si="8"/>
        <v>...</v>
      </c>
      <c r="Z33" s="45" t="str">
        <f t="shared" si="9"/>
        <v>...</v>
      </c>
      <c r="AA33" s="12" t="str">
        <f t="shared" si="10"/>
        <v>...</v>
      </c>
      <c r="AB33" s="45" t="str">
        <f t="shared" si="11"/>
        <v>...</v>
      </c>
      <c r="AC33" s="12" t="str">
        <f>IF(W33=0,"...",IF(V33=0,"...",AD33/(Z33/VLOOKUP(TODAY(),CCL!$A$12:$B35,2,FALSE)-AD33)))</f>
        <v>...</v>
      </c>
      <c r="AD33" s="46" t="str">
        <f t="shared" si="12"/>
        <v>...</v>
      </c>
      <c r="AE33" s="2"/>
      <c r="AF33" s="23" t="s">
        <v>56</v>
      </c>
      <c r="AG33" s="24" t="s">
        <v>57</v>
      </c>
      <c r="AH33" s="25" t="s">
        <v>58</v>
      </c>
      <c r="AI33" s="2"/>
      <c r="AJ33" s="2"/>
    </row>
    <row r="34" ht="24.0" customHeight="1">
      <c r="A34" s="4"/>
      <c r="B34" s="30"/>
      <c r="C34" s="5" t="str">
        <f>IFERROR(__xludf.DUMMYFUNCTION("if(B34=0,""..."", sparkline(query(GOOGLEFINANCE(""BCBA:""&amp;B34,""price"",today()-$AH$34,today()),""select Col2"",0),{""charttype"",$AH$33}))"),"...")</f>
        <v>...</v>
      </c>
      <c r="D34" s="17"/>
      <c r="E34" s="31"/>
      <c r="F34" s="7"/>
      <c r="G34" s="8" t="str">
        <f t="shared" si="1"/>
        <v>...</v>
      </c>
      <c r="H34" s="31"/>
      <c r="I34" s="52"/>
      <c r="J34" s="45" t="str">
        <f t="shared" si="2"/>
        <v>...</v>
      </c>
      <c r="K34" s="47" t="str">
        <f>IF(B34=0,"...",J34/VLOOKUP(D34,CCL!$A$12:$B35,2,FALSE))</f>
        <v>...</v>
      </c>
      <c r="L34" s="45" t="str">
        <f>IFERROR(__xludf.DUMMYFUNCTION("if(B34=0,""..."",if(E34=""CERRADA"",""Valor Venta"", GOOGLEFINANCE(""BCBA:""&amp;B34)))"),"...")</f>
        <v>...</v>
      </c>
      <c r="M34" s="45" t="str">
        <f>if(B34=0,"...",L34*(1-VLOOKUP(A34,Config!$B$3:$C$22,2,FALSE)))</f>
        <v>...</v>
      </c>
      <c r="N34" s="45" t="str">
        <f t="shared" si="3"/>
        <v>...</v>
      </c>
      <c r="O34" s="12" t="str">
        <f>IFERROR(__xludf.DUMMYFUNCTION("if(B34=0,""..."",GOOGLEFINANCE(B34,""changepct"")/100)"),"...")</f>
        <v>...</v>
      </c>
      <c r="P34" s="10" t="str">
        <f>IFERROR(__xludf.DUMMYFUNCTION("if(B34=0,""..."",GOOGLEFINANCE(B34,""change"")*H34)"),"...")</f>
        <v>...</v>
      </c>
      <c r="Q34" s="12" t="str">
        <f t="shared" si="4"/>
        <v>...</v>
      </c>
      <c r="R34" s="47" t="str">
        <f t="shared" si="5"/>
        <v>...</v>
      </c>
      <c r="S34" s="12" t="str">
        <f>IF(B34=0,"...",(N34/VLOOKUP(IF(E34="ABIERTA",TODAY(),F34),CCL!$A$12:$B35,2,FALSE))/(J34/VLOOKUP(D34,CCL!$A$12:$B35,2,FALSE))-1)</f>
        <v>...</v>
      </c>
      <c r="T34" s="47" t="str">
        <f>IF(B34=0,"...",N34/VLOOKUP(IF(E34="ABIERTA",TODAY(),F34),CCL!$A$12:$B$773,2,FALSE)-J34/VLOOKUP(D34,CCL!$A$12:$B35,2,FALSE))</f>
        <v>...</v>
      </c>
      <c r="U34" s="2"/>
      <c r="V34" s="10"/>
      <c r="W34" s="59" t="str">
        <f t="shared" si="6"/>
        <v>...</v>
      </c>
      <c r="X34" s="12" t="str">
        <f t="shared" si="7"/>
        <v/>
      </c>
      <c r="Y34" s="45" t="str">
        <f t="shared" si="8"/>
        <v>...</v>
      </c>
      <c r="Z34" s="45" t="str">
        <f t="shared" si="9"/>
        <v>...</v>
      </c>
      <c r="AA34" s="12" t="str">
        <f t="shared" si="10"/>
        <v>...</v>
      </c>
      <c r="AB34" s="45" t="str">
        <f t="shared" si="11"/>
        <v>...</v>
      </c>
      <c r="AC34" s="12" t="str">
        <f>IF(W34=0,"...",IF(V34=0,"...",AD34/(Z34/VLOOKUP(TODAY(),CCL!$A$12:$B35,2,FALSE)-AD34)))</f>
        <v>...</v>
      </c>
      <c r="AD34" s="46" t="str">
        <f t="shared" si="12"/>
        <v>...</v>
      </c>
      <c r="AE34" s="2"/>
      <c r="AF34" s="26"/>
      <c r="AG34" s="24" t="s">
        <v>59</v>
      </c>
      <c r="AH34" s="25">
        <v>14.0</v>
      </c>
      <c r="AI34" s="2"/>
      <c r="AJ34" s="2"/>
    </row>
    <row r="35" ht="24.0" customHeight="1">
      <c r="A35" s="2"/>
      <c r="B35" s="2"/>
      <c r="C35" s="2"/>
      <c r="D35" s="61"/>
      <c r="E35" s="2"/>
      <c r="F35" s="2"/>
      <c r="G35" s="2"/>
      <c r="H35" s="2"/>
      <c r="I35" s="53"/>
      <c r="J35" s="53"/>
      <c r="K35" s="53"/>
      <c r="L35" s="53"/>
      <c r="M35" s="53"/>
      <c r="N35" s="53"/>
      <c r="O35" s="2"/>
      <c r="P35" s="2"/>
      <c r="Q35" s="2"/>
      <c r="R35" s="53"/>
      <c r="S35" s="2"/>
      <c r="T35" s="53"/>
      <c r="U35" s="2"/>
      <c r="V35" s="2"/>
      <c r="W35" s="62"/>
      <c r="X35" s="2"/>
      <c r="Y35" s="53"/>
      <c r="Z35" s="53"/>
      <c r="AA35" s="2"/>
      <c r="AB35" s="53"/>
      <c r="AC35" s="2"/>
      <c r="AD35" s="53"/>
      <c r="AE35" s="2"/>
      <c r="AF35" s="2"/>
      <c r="AG35" s="2"/>
      <c r="AH35" s="2"/>
      <c r="AI35" s="2"/>
      <c r="AJ35" s="2"/>
    </row>
  </sheetData>
  <mergeCells count="25">
    <mergeCell ref="AF18:AF19"/>
    <mergeCell ref="AG18:AG19"/>
    <mergeCell ref="AH18:AH19"/>
    <mergeCell ref="AI18:AI19"/>
    <mergeCell ref="AG20:AG21"/>
    <mergeCell ref="AH20:AH21"/>
    <mergeCell ref="AI20:AI21"/>
    <mergeCell ref="AH25:AH26"/>
    <mergeCell ref="AI25:AI26"/>
    <mergeCell ref="AF20:AF21"/>
    <mergeCell ref="AF22:AF23"/>
    <mergeCell ref="AG22:AG23"/>
    <mergeCell ref="AH22:AH23"/>
    <mergeCell ref="AI22:AI23"/>
    <mergeCell ref="AF25:AF26"/>
    <mergeCell ref="AG25:AG26"/>
    <mergeCell ref="AF29:AF30"/>
    <mergeCell ref="AF33:AF34"/>
    <mergeCell ref="AF27:AF28"/>
    <mergeCell ref="AG27:AG28"/>
    <mergeCell ref="AH27:AH28"/>
    <mergeCell ref="AI27:AI28"/>
    <mergeCell ref="AG29:AG30"/>
    <mergeCell ref="AH29:AH30"/>
    <mergeCell ref="AI29:AI30"/>
  </mergeCells>
  <conditionalFormatting sqref="AG20:AG23 AI20:AI23 AG27:AG30 AI27:AI30">
    <cfRule type="cellIs" dxfId="9" priority="1" operator="greaterThanOrEqual">
      <formula>0</formula>
    </cfRule>
  </conditionalFormatting>
  <conditionalFormatting sqref="AG20:AG23 AI20:AI23 AG27:AG30 AI27:AI30">
    <cfRule type="cellIs" dxfId="10" priority="2" operator="lessThan">
      <formula>0</formula>
    </cfRule>
  </conditionalFormatting>
  <conditionalFormatting sqref="O2:O34 Q2:Q34 S2:S34 AA2:AA34 AC2:AC34">
    <cfRule type="cellIs" dxfId="0" priority="3" operator="greaterThanOrEqual">
      <formula>"10%"</formula>
    </cfRule>
  </conditionalFormatting>
  <conditionalFormatting sqref="O2:O34 Q2:Q34 S2:S34 AA2:AA34 AC2:AC34">
    <cfRule type="cellIs" dxfId="1" priority="4" operator="between">
      <formula>"1%"</formula>
      <formula>"10%"</formula>
    </cfRule>
  </conditionalFormatting>
  <conditionalFormatting sqref="O2:O34 Q2:Q34 S2:S34 AA2:AA34 AC2:AC34">
    <cfRule type="cellIs" dxfId="2" priority="5" operator="lessThanOrEqual">
      <formula>"-10%"</formula>
    </cfRule>
  </conditionalFormatting>
  <conditionalFormatting sqref="O2:O34 Q2:Q34 S2:S34 AA2:AA34 AC2:AC34">
    <cfRule type="cellIs" dxfId="3" priority="6" operator="between">
      <formula>"-1%"</formula>
      <formula>"-10%"</formula>
    </cfRule>
  </conditionalFormatting>
  <conditionalFormatting sqref="O2:O34 Q2:Q34 S2:S34 AA2:AA34 AC2:AC34">
    <cfRule type="cellIs" dxfId="4" priority="7" operator="between">
      <formula>"-1%"</formula>
      <formula>"1%"</formula>
    </cfRule>
  </conditionalFormatting>
  <conditionalFormatting sqref="L2:L34">
    <cfRule type="expression" dxfId="5" priority="8">
      <formula>L2&gt;I2</formula>
    </cfRule>
  </conditionalFormatting>
  <conditionalFormatting sqref="L2:L34">
    <cfRule type="expression" dxfId="6" priority="9">
      <formula>L2&lt;I2</formula>
    </cfRule>
  </conditionalFormatting>
  <conditionalFormatting sqref="E2:E34">
    <cfRule type="containsText" dxfId="7" priority="10" operator="containsText" text="ABIERTA">
      <formula>NOT(ISERROR(SEARCH(("ABIERTA"),(E2))))</formula>
    </cfRule>
  </conditionalFormatting>
  <conditionalFormatting sqref="E2:E34">
    <cfRule type="containsText" dxfId="8" priority="11" operator="containsText" text="CERRADA">
      <formula>NOT(ISERROR(SEARCH(("CERRADA"),(E2))))</formula>
    </cfRule>
  </conditionalFormatting>
  <dataValidations>
    <dataValidation type="list" allowBlank="1" sqref="A2:A34">
      <formula1>Config!$B$3:$B$22</formula1>
    </dataValidation>
    <dataValidation type="list" allowBlank="1" sqref="E2:E34">
      <formula1>"ABIERTA,CERRADA"</formula1>
    </dataValidation>
    <dataValidation type="list" allowBlank="1" sqref="AH34">
      <formula1>"7,14,28,365"</formula1>
    </dataValidation>
    <dataValidation type="list" allowBlank="1" sqref="AH33">
      <formula1>"line,column"</formula1>
    </dataValidation>
    <dataValidation type="custom" allowBlank="1" showDropDown="1" sqref="D2:D34 F2:F34">
      <formula1>OR(NOT(ISERROR(DATEVALUE(D2))), AND(ISNUMBER(D2), LEFT(CELL("format", D2))="D"))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.75"/>
    <col customWidth="1" min="2" max="2" width="9.5"/>
    <col customWidth="1" min="3" max="6" width="10.75"/>
    <col customWidth="1" min="7" max="7" width="6.38"/>
    <col customWidth="1" min="8" max="9" width="10.75"/>
    <col customWidth="1" min="10" max="10" width="12.5"/>
    <col customWidth="1" min="11" max="11" width="10.75"/>
    <col customWidth="1" min="12" max="13" width="12.0"/>
    <col customWidth="1" min="14" max="20" width="10.75"/>
    <col customWidth="1" hidden="1" min="21" max="21" width="10.75"/>
    <col customWidth="1" hidden="1" min="22" max="22" width="14.75"/>
    <col customWidth="1" hidden="1" min="23" max="23" width="12.0"/>
    <col customWidth="1" min="24" max="25" width="12.0"/>
    <col customWidth="1" min="26" max="26" width="3.0"/>
    <col customWidth="1" min="27" max="28" width="10.13"/>
    <col customWidth="1" min="36" max="36" width="3.0"/>
    <col customWidth="1" min="41" max="41" width="3.0"/>
  </cols>
  <sheetData>
    <row r="1" ht="33.75" customHeight="1">
      <c r="A1" s="54" t="s">
        <v>0</v>
      </c>
      <c r="B1" s="54" t="s">
        <v>1</v>
      </c>
      <c r="C1" s="54" t="s">
        <v>82</v>
      </c>
      <c r="D1" s="55" t="s">
        <v>2</v>
      </c>
      <c r="E1" s="54" t="s">
        <v>3</v>
      </c>
      <c r="F1" s="54" t="s">
        <v>4</v>
      </c>
      <c r="G1" s="54" t="s">
        <v>5</v>
      </c>
      <c r="H1" s="54" t="s">
        <v>6</v>
      </c>
      <c r="I1" s="56" t="s">
        <v>97</v>
      </c>
      <c r="J1" s="56" t="s">
        <v>623</v>
      </c>
      <c r="K1" s="56" t="s">
        <v>10</v>
      </c>
      <c r="L1" s="56" t="s">
        <v>624</v>
      </c>
      <c r="M1" s="56" t="s">
        <v>98</v>
      </c>
      <c r="N1" s="56" t="s">
        <v>99</v>
      </c>
      <c r="O1" s="56" t="s">
        <v>100</v>
      </c>
      <c r="P1" s="56" t="s">
        <v>101</v>
      </c>
      <c r="Q1" s="56" t="s">
        <v>625</v>
      </c>
      <c r="R1" s="56" t="s">
        <v>626</v>
      </c>
      <c r="S1" s="56" t="s">
        <v>627</v>
      </c>
      <c r="T1" s="54" t="s">
        <v>85</v>
      </c>
      <c r="U1" s="54" t="s">
        <v>86</v>
      </c>
      <c r="V1" s="54" t="s">
        <v>102</v>
      </c>
      <c r="W1" s="56" t="s">
        <v>13</v>
      </c>
      <c r="X1" s="54" t="s">
        <v>103</v>
      </c>
      <c r="Y1" s="56" t="s">
        <v>104</v>
      </c>
      <c r="Z1" s="57"/>
      <c r="AA1" s="54" t="s">
        <v>1</v>
      </c>
      <c r="AB1" s="58" t="s">
        <v>6</v>
      </c>
      <c r="AC1" s="54" t="s">
        <v>14</v>
      </c>
      <c r="AD1" s="56" t="s">
        <v>15</v>
      </c>
      <c r="AE1" s="56" t="s">
        <v>16</v>
      </c>
      <c r="AF1" s="54" t="s">
        <v>105</v>
      </c>
      <c r="AG1" s="56" t="s">
        <v>106</v>
      </c>
      <c r="AH1" s="54" t="s">
        <v>108</v>
      </c>
      <c r="AI1" s="56" t="s">
        <v>109</v>
      </c>
      <c r="AJ1" s="57"/>
      <c r="AK1" s="57"/>
      <c r="AL1" s="57"/>
      <c r="AM1" s="57"/>
      <c r="AN1" s="57"/>
      <c r="AO1" s="57"/>
    </row>
    <row r="2" ht="24.0" customHeight="1">
      <c r="A2" s="4" t="s">
        <v>88</v>
      </c>
      <c r="B2" s="4" t="s">
        <v>119</v>
      </c>
      <c r="C2" s="5" t="str">
        <f>IFERROR(__xludf.DUMMYFUNCTION("if(B2=0,""..."", sparkline(query(GOOGLEFINANCE(""BCBA:""&amp;B2,""price"",today()-$AM$34,today()),""select Col2"",0),{""charttype"",$AM$33}))"),"")</f>
        <v/>
      </c>
      <c r="D2" s="17">
        <v>45182.0</v>
      </c>
      <c r="E2" s="6" t="s">
        <v>24</v>
      </c>
      <c r="F2" s="7"/>
      <c r="G2" s="8">
        <f t="shared" ref="G2:G34" si="1">if(B2=0,"...", IF(F2=0,today()-D2,F2-D2))</f>
        <v>935</v>
      </c>
      <c r="H2" s="6">
        <v>2.0</v>
      </c>
      <c r="I2" s="44">
        <v>12970.0</v>
      </c>
      <c r="J2" s="44"/>
      <c r="K2" s="45">
        <f t="shared" ref="K2:K34" si="2">if(B2=0,"...",H2*I2)</f>
        <v>25940</v>
      </c>
      <c r="L2" s="45"/>
      <c r="M2" s="47" t="str">
        <f>if(B2=0,"...",K2/VLOOKUP(D2,CCL!$A$13:$B35,2,FALSE))</f>
        <v>#N/A</v>
      </c>
      <c r="N2" s="45">
        <f>IFERROR(__xludf.DUMMYFUNCTION("if(B2=0,""..."",if(E2=""CERRADA"",""Valor Venta"", GOOGLEFINANCE(""BCBA:""&amp;B2)))"),18990.0)</f>
        <v>18990</v>
      </c>
      <c r="O2" s="45">
        <f>if(B2=0,"...",N2*(1-VLOOKUP(A2,Config!$B$3:$C$22,2,FALSE)))</f>
        <v>18857.07</v>
      </c>
      <c r="P2" s="45">
        <f t="shared" ref="P2:P34" si="3">IF(B2=0,"...",H2*O2)</f>
        <v>37714.14</v>
      </c>
      <c r="Q2" s="45"/>
      <c r="R2" s="45"/>
      <c r="S2" s="45"/>
      <c r="T2" s="12">
        <f>IFERROR(__xludf.DUMMYFUNCTION("if(B2=0,""..."",GOOGLEFINANCE(B2,""changepct"")/100)"),0.0011)</f>
        <v>0.0011</v>
      </c>
      <c r="U2" s="10">
        <f>IFERROR(__xludf.DUMMYFUNCTION("if(B2=0,""..."",GOOGLEFINANCE(B2,""change"")*H2)"),0.58)</f>
        <v>0.58</v>
      </c>
      <c r="V2" s="12">
        <f t="shared" ref="V2:V34" si="4">if(B2=0,"...",P2/K2-1)</f>
        <v>0.4538989977</v>
      </c>
      <c r="W2" s="47">
        <f t="shared" ref="W2:W34" si="5">if(B2=0,"...",P2-K2)</f>
        <v>11774.14</v>
      </c>
      <c r="X2" s="12" t="str">
        <f>IF(B2=0,"...",(P2/IF(E2="ABIERTA",CCL!$K$10,VLOOKUP(F2,CCL!$A$12:$B35,2,FALSE))/(K2/VLOOKUP(D2,CCL!$A$12:$B35,2,FALSE))-1))</f>
        <v>#N/A</v>
      </c>
      <c r="Y2" s="47" t="str">
        <f>IF(B2=0,"...",P2/VLOOKUP(IF(E2="ABIERTA",TODAY(),F2),CCL!$A$12:$B$773,2,FALSE)-K2/VLOOKUP(D2,CCL!$A$12:$B35,2,FALSE))</f>
        <v>#N/A</v>
      </c>
      <c r="Z2" s="2"/>
      <c r="AA2" s="10" t="str">
        <f>IFERROR(__xludf.DUMMYFUNCTION("Unique(Filter(B2:B35,E2:E35=""ABIERTA""))"),"AAPL")</f>
        <v>AAPL</v>
      </c>
      <c r="AB2" s="59">
        <f t="shared" ref="AB2:AB34" si="6">if(AA2=0,"...",sumifs($H$2:$H$35,$B$2:$B$35,AA2,$E$2:$E$35,"ABIERTA"))</f>
        <v>14</v>
      </c>
      <c r="AC2" s="12">
        <f t="shared" ref="AC2:AC34" si="7">if(AA2=0,"",AE2/$AL$18)</f>
        <v>0.1486098224</v>
      </c>
      <c r="AD2" s="45">
        <f t="shared" ref="AD2:AD34" si="8">if(AB2=0,"...",if(AA2=0,"...",sumifs($K$2:$K$35,$B$2:$B$35,AA2,$E$2:$E$35,"ABIERTA")/AB2))</f>
        <v>16181.78571</v>
      </c>
      <c r="AE2" s="45">
        <f t="shared" ref="AE2:AE34" si="9">if(AA2=0,"...",sumifs($P$2:$P$35,$B$2:$B$35,AA2,$E$2:$E$35,"ABIERTA"))</f>
        <v>263998.98</v>
      </c>
      <c r="AF2" s="12">
        <f t="shared" ref="AF2:AF34" si="10">if(AB2=0,"...",if(AA2=0,"...",AG2/(AE2-AG2)))</f>
        <v>0.1653268887</v>
      </c>
      <c r="AG2" s="45">
        <f t="shared" ref="AG2:AG34" si="11">if(AB2=0,"...",if(AA2=0,"...",sumifs($W$2:$W$35,$B$2:$B$35,AA2,$E$2:$E$35,"ABIERTA")))</f>
        <v>37453.98</v>
      </c>
      <c r="AH2" s="12" t="str">
        <f>IF(AB2=0,"...",IF(AA2=0,"...",AI2/(AE2/VLOOKUP(TODAY(),CCL!$A$12:$B35,2,FALSE)-AI2)))</f>
        <v>#N/A</v>
      </c>
      <c r="AI2" s="46" t="str">
        <f t="shared" ref="AI2:AI34" si="12">IF(AB2=0,"...",if(AA2=0,"...",sumifs($Y$2:$Y$35,$B$2:$B$35,AA2,$E$2:$E$35,"ABIERTA")))</f>
        <v>#N/A</v>
      </c>
      <c r="AJ2" s="2"/>
      <c r="AK2" s="2"/>
      <c r="AL2" s="2"/>
      <c r="AM2" s="2"/>
      <c r="AN2" s="2"/>
      <c r="AO2" s="2"/>
    </row>
    <row r="3" ht="24.0" customHeight="1">
      <c r="A3" s="4" t="s">
        <v>88</v>
      </c>
      <c r="B3" s="4" t="s">
        <v>119</v>
      </c>
      <c r="C3" s="5" t="str">
        <f>IFERROR(__xludf.DUMMYFUNCTION("if(B3=0,""..."", sparkline(query(GOOGLEFINANCE(""BCBA:""&amp;B3,""price"",today()-$AM$34,today()),""select Col2"",0),{""charttype"",$AM$33}))"),"")</f>
        <v/>
      </c>
      <c r="D3" s="17">
        <v>45182.0</v>
      </c>
      <c r="E3" s="6" t="s">
        <v>24</v>
      </c>
      <c r="F3" s="17"/>
      <c r="G3" s="8">
        <f t="shared" si="1"/>
        <v>935</v>
      </c>
      <c r="H3" s="6">
        <v>1.0</v>
      </c>
      <c r="I3" s="44">
        <v>12970.0</v>
      </c>
      <c r="J3" s="44"/>
      <c r="K3" s="45">
        <f t="shared" si="2"/>
        <v>12970</v>
      </c>
      <c r="L3" s="45"/>
      <c r="M3" s="47" t="str">
        <f>if(B3=0,"...",K3/VLOOKUP(D3,CCL!$A$13:$B35,2,FALSE))</f>
        <v>#N/A</v>
      </c>
      <c r="N3" s="45">
        <f>IFERROR(__xludf.DUMMYFUNCTION("if(B3=0,""..."",if(E3=""CERRADA"",""Valor Venta"", GOOGLEFINANCE(""BCBA:""&amp;B3)))"),18990.0)</f>
        <v>18990</v>
      </c>
      <c r="O3" s="45">
        <f>if(B3=0,"...",N3*(1-VLOOKUP(A3,Config!$B$3:$C$22,2,FALSE)))</f>
        <v>18857.07</v>
      </c>
      <c r="P3" s="45">
        <f t="shared" si="3"/>
        <v>18857.07</v>
      </c>
      <c r="Q3" s="45"/>
      <c r="R3" s="45"/>
      <c r="S3" s="45"/>
      <c r="T3" s="12">
        <f>IFERROR(__xludf.DUMMYFUNCTION("if(B3=0,""..."",GOOGLEFINANCE(B3,""changepct"")/100)"),0.0011)</f>
        <v>0.0011</v>
      </c>
      <c r="U3" s="10">
        <f>IFERROR(__xludf.DUMMYFUNCTION("if(B3=0,""..."",GOOGLEFINANCE(B3,""change"")*H3)"),0.29)</f>
        <v>0.29</v>
      </c>
      <c r="V3" s="12">
        <f t="shared" si="4"/>
        <v>0.4538989977</v>
      </c>
      <c r="W3" s="47">
        <f t="shared" si="5"/>
        <v>5887.07</v>
      </c>
      <c r="X3" s="12" t="str">
        <f>IF(B3=0,"...",(P3/IF(E3="ABIERTA",CCL!$K$10,VLOOKUP(F3,CCL!$A$12:$B35,2,FALSE))/(K3/VLOOKUP(D3,CCL!$A$12:$B35,2,FALSE))-1))</f>
        <v>#N/A</v>
      </c>
      <c r="Y3" s="47" t="str">
        <f>IF(B3=0,"...",P3/VLOOKUP(IF(E3="ABIERTA",TODAY(),F3),CCL!$A$12:$B$773,2,FALSE)-K3/VLOOKUP(D3,CCL!$A$12:$B35,2,FALSE))</f>
        <v>#N/A</v>
      </c>
      <c r="Z3" s="2"/>
      <c r="AA3" s="10" t="str">
        <f>IFERROR(__xludf.DUMMYFUNCTION("""COMPUTED_VALUE"""),"SPY")</f>
        <v>SPY</v>
      </c>
      <c r="AB3" s="59">
        <f t="shared" si="6"/>
        <v>7</v>
      </c>
      <c r="AC3" s="12">
        <f t="shared" si="7"/>
        <v>0.1907902827</v>
      </c>
      <c r="AD3" s="45">
        <f t="shared" si="8"/>
        <v>18894.28571</v>
      </c>
      <c r="AE3" s="45">
        <f t="shared" si="9"/>
        <v>338930.76</v>
      </c>
      <c r="AF3" s="12">
        <f t="shared" si="10"/>
        <v>1.562609708</v>
      </c>
      <c r="AG3" s="45">
        <f t="shared" si="11"/>
        <v>206670.76</v>
      </c>
      <c r="AH3" s="12" t="str">
        <f>IF(AB3=0,"...",IF(AA3=0,"...",AI3/(AE3/VLOOKUP(TODAY(),CCL!$A$12:$B35,2,FALSE)-AI3)))</f>
        <v>#N/A</v>
      </c>
      <c r="AI3" s="46" t="str">
        <f t="shared" si="12"/>
        <v>#N/A</v>
      </c>
      <c r="AJ3" s="2"/>
      <c r="AK3" s="2"/>
      <c r="AL3" s="2"/>
      <c r="AM3" s="2"/>
      <c r="AN3" s="2"/>
      <c r="AO3" s="2"/>
    </row>
    <row r="4" ht="24.0" customHeight="1">
      <c r="A4" s="4" t="s">
        <v>88</v>
      </c>
      <c r="B4" s="4" t="s">
        <v>119</v>
      </c>
      <c r="C4" s="5" t="str">
        <f>IFERROR(__xludf.DUMMYFUNCTION("if(B4=0,""..."", sparkline(query(GOOGLEFINANCE(""BCBA:""&amp;B4,""price"",today()-$AM$34,today()),""select Col2"",0),{""charttype"",$AM$33}))"),"")</f>
        <v/>
      </c>
      <c r="D4" s="17">
        <v>45187.0</v>
      </c>
      <c r="E4" s="6" t="s">
        <v>24</v>
      </c>
      <c r="F4" s="17"/>
      <c r="G4" s="8">
        <f t="shared" si="1"/>
        <v>930</v>
      </c>
      <c r="H4" s="6">
        <v>1.0</v>
      </c>
      <c r="I4" s="44">
        <v>13130.0</v>
      </c>
      <c r="J4" s="44"/>
      <c r="K4" s="45">
        <f t="shared" si="2"/>
        <v>13130</v>
      </c>
      <c r="L4" s="45"/>
      <c r="M4" s="47" t="str">
        <f>if(B4=0,"...",K4/VLOOKUP(D4,CCL!$A$13:$B35,2,FALSE))</f>
        <v>#N/A</v>
      </c>
      <c r="N4" s="45">
        <f>IFERROR(__xludf.DUMMYFUNCTION("if(B4=0,""..."",if(E4=""CERRADA"",""Valor Venta"", GOOGLEFINANCE(""BCBA:""&amp;B4)))"),18990.0)</f>
        <v>18990</v>
      </c>
      <c r="O4" s="45">
        <f>if(B4=0,"...",N4*(1-VLOOKUP(A4,Config!$B$3:$C$22,2,FALSE)))</f>
        <v>18857.07</v>
      </c>
      <c r="P4" s="45">
        <f t="shared" si="3"/>
        <v>18857.07</v>
      </c>
      <c r="Q4" s="45"/>
      <c r="R4" s="45"/>
      <c r="S4" s="45"/>
      <c r="T4" s="12">
        <f>IFERROR(__xludf.DUMMYFUNCTION("if(B4=0,""..."",GOOGLEFINANCE(B4,""changepct"")/100)"),0.0011)</f>
        <v>0.0011</v>
      </c>
      <c r="U4" s="10">
        <f>IFERROR(__xludf.DUMMYFUNCTION("if(B4=0,""..."",GOOGLEFINANCE(B4,""change"")*H4)"),0.29)</f>
        <v>0.29</v>
      </c>
      <c r="V4" s="12">
        <f t="shared" si="4"/>
        <v>0.4361820259</v>
      </c>
      <c r="W4" s="47">
        <f t="shared" si="5"/>
        <v>5727.07</v>
      </c>
      <c r="X4" s="12" t="str">
        <f>IF(B4=0,"...",(P4/IF(E4="ABIERTA",CCL!$K$10,VLOOKUP(F4,CCL!$A$12:$B35,2,FALSE))/(K4/VLOOKUP(D4,CCL!$A$12:$B35,2,FALSE))-1))</f>
        <v>#N/A</v>
      </c>
      <c r="Y4" s="47" t="str">
        <f>IF(B4=0,"...",P4/VLOOKUP(IF(E4="ABIERTA",TODAY(),F4),CCL!$A$12:$B$773,2,FALSE)-K4/VLOOKUP(D4,CCL!$A$12:$B35,2,FALSE))</f>
        <v>#N/A</v>
      </c>
      <c r="Z4" s="2"/>
      <c r="AA4" s="10" t="str">
        <f>IFERROR(__xludf.DUMMYFUNCTION("""COMPUTED_VALUE"""),"MSFT")</f>
        <v>MSFT</v>
      </c>
      <c r="AB4" s="59">
        <f t="shared" si="6"/>
        <v>8</v>
      </c>
      <c r="AC4" s="12">
        <f t="shared" si="7"/>
        <v>0.08196849601</v>
      </c>
      <c r="AD4" s="45">
        <f t="shared" si="8"/>
        <v>11237</v>
      </c>
      <c r="AE4" s="45">
        <f t="shared" si="9"/>
        <v>145613.52</v>
      </c>
      <c r="AF4" s="12">
        <f t="shared" si="10"/>
        <v>0.6197997686</v>
      </c>
      <c r="AG4" s="45">
        <f t="shared" si="11"/>
        <v>55717.52</v>
      </c>
      <c r="AH4" s="12" t="str">
        <f>IF(AB4=0,"...",IF(AA4=0,"...",AI4/(AE4/VLOOKUP(TODAY(),CCL!$A$12:$B35,2,FALSE)-AI4)))</f>
        <v>#N/A</v>
      </c>
      <c r="AI4" s="46" t="str">
        <f t="shared" si="12"/>
        <v>#N/A</v>
      </c>
      <c r="AJ4" s="2"/>
      <c r="AK4" s="2"/>
      <c r="AL4" s="2"/>
      <c r="AM4" s="2"/>
      <c r="AN4" s="2"/>
      <c r="AO4" s="2"/>
    </row>
    <row r="5" ht="24.0" customHeight="1">
      <c r="A5" s="4" t="s">
        <v>88</v>
      </c>
      <c r="B5" s="4" t="s">
        <v>112</v>
      </c>
      <c r="C5" s="5" t="str">
        <f>IFERROR(__xludf.DUMMYFUNCTION("if(B5=0,""..."", sparkline(query(GOOGLEFINANCE(""BCBA:""&amp;B5,""price"",today()-$AM$34,today()),""select Col2"",0),{""charttype"",$AM$33}))"),"")</f>
        <v/>
      </c>
      <c r="D5" s="17">
        <v>45189.0</v>
      </c>
      <c r="E5" s="6" t="s">
        <v>24</v>
      </c>
      <c r="F5" s="7"/>
      <c r="G5" s="8">
        <f t="shared" si="1"/>
        <v>928</v>
      </c>
      <c r="H5" s="6">
        <v>2.0</v>
      </c>
      <c r="I5" s="44">
        <v>16410.0</v>
      </c>
      <c r="J5" s="44"/>
      <c r="K5" s="45">
        <f t="shared" si="2"/>
        <v>32820</v>
      </c>
      <c r="L5" s="45"/>
      <c r="M5" s="47" t="str">
        <f>if(B5=0,"...",K5/VLOOKUP(D5,CCL!$A$13:$B35,2,FALSE))</f>
        <v>#N/A</v>
      </c>
      <c r="N5" s="45">
        <f>IFERROR(__xludf.DUMMYFUNCTION("if(B5=0,""..."",if(E5=""CERRADA"",""Valor Venta"", GOOGLEFINANCE(""BCBA:""&amp;B5)))"),48760.0)</f>
        <v>48760</v>
      </c>
      <c r="O5" s="45">
        <f>if(B5=0,"...",N5*(1-VLOOKUP(A5,Config!$B$3:$C$22,2,FALSE)))</f>
        <v>48418.68</v>
      </c>
      <c r="P5" s="45">
        <f t="shared" si="3"/>
        <v>96837.36</v>
      </c>
      <c r="Q5" s="45"/>
      <c r="R5" s="45"/>
      <c r="S5" s="45"/>
      <c r="T5" s="12">
        <f>IFERROR(__xludf.DUMMYFUNCTION("if(B5=0,""..."",GOOGLEFINANCE(B5,""changepct"")/100)"),9.0E-4)</f>
        <v>0.0009</v>
      </c>
      <c r="U5" s="10">
        <f>IFERROR(__xludf.DUMMYFUNCTION("if(B5=0,""..."",GOOGLEFINANCE(B5,""change"")*H5)"),1.18)</f>
        <v>1.18</v>
      </c>
      <c r="V5" s="12">
        <f t="shared" si="4"/>
        <v>1.950559415</v>
      </c>
      <c r="W5" s="47">
        <f t="shared" si="5"/>
        <v>64017.36</v>
      </c>
      <c r="X5" s="12" t="str">
        <f>IF(B5=0,"...",(P5/IF(E5="ABIERTA",CCL!$K$10,VLOOKUP(F5,CCL!$A$12:$B35,2,FALSE))/(K5/VLOOKUP(D5,CCL!$A$12:$B35,2,FALSE))-1))</f>
        <v>#N/A</v>
      </c>
      <c r="Y5" s="47" t="str">
        <f>IF(B5=0,"...",P5/VLOOKUP(IF(E5="ABIERTA",TODAY(),F5),CCL!$A$12:$B$773,2,FALSE)-K5/VLOOKUP(D5,CCL!$A$12:$B35,2,FALSE))</f>
        <v>#N/A</v>
      </c>
      <c r="Z5" s="2"/>
      <c r="AA5" s="10" t="str">
        <f>IFERROR(__xludf.DUMMYFUNCTION("""COMPUTED_VALUE"""),"TSLA")</f>
        <v>TSLA</v>
      </c>
      <c r="AB5" s="59">
        <f t="shared" si="6"/>
        <v>9</v>
      </c>
      <c r="AC5" s="12">
        <f t="shared" si="7"/>
        <v>0.1903654596</v>
      </c>
      <c r="AD5" s="45">
        <f t="shared" si="8"/>
        <v>15085.33333</v>
      </c>
      <c r="AE5" s="45">
        <f t="shared" si="9"/>
        <v>338176.08</v>
      </c>
      <c r="AF5" s="12">
        <f t="shared" si="10"/>
        <v>1.4908379</v>
      </c>
      <c r="AG5" s="45">
        <f t="shared" si="11"/>
        <v>202408.08</v>
      </c>
      <c r="AH5" s="12" t="str">
        <f>IF(AB5=0,"...",IF(AA5=0,"...",AI5/(AE5/VLOOKUP(TODAY(),CCL!$A$12:$B35,2,FALSE)-AI5)))</f>
        <v>#N/A</v>
      </c>
      <c r="AI5" s="46" t="str">
        <f t="shared" si="12"/>
        <v>#N/A</v>
      </c>
      <c r="AJ5" s="2"/>
      <c r="AK5" s="2"/>
      <c r="AL5" s="2"/>
      <c r="AM5" s="2"/>
      <c r="AN5" s="2"/>
      <c r="AO5" s="2"/>
    </row>
    <row r="6" ht="24.0" customHeight="1">
      <c r="A6" s="4" t="s">
        <v>88</v>
      </c>
      <c r="B6" s="4" t="s">
        <v>119</v>
      </c>
      <c r="C6" s="5" t="str">
        <f>IFERROR(__xludf.DUMMYFUNCTION("if(B6=0,""..."", sparkline(query(GOOGLEFINANCE(""BCBA:""&amp;B6,""price"",today()-$AM$34,today()),""select Col2"",0),{""charttype"",$AM$33}))"),"")</f>
        <v/>
      </c>
      <c r="D6" s="17">
        <v>45208.0</v>
      </c>
      <c r="E6" s="6" t="s">
        <v>24</v>
      </c>
      <c r="F6" s="7"/>
      <c r="G6" s="8">
        <f t="shared" si="1"/>
        <v>909</v>
      </c>
      <c r="H6" s="6">
        <v>1.0</v>
      </c>
      <c r="I6" s="44">
        <v>15850.0</v>
      </c>
      <c r="J6" s="44"/>
      <c r="K6" s="45">
        <f t="shared" si="2"/>
        <v>15850</v>
      </c>
      <c r="L6" s="45"/>
      <c r="M6" s="47" t="str">
        <f>if(B6=0,"...",K6/VLOOKUP(D6,CCL!$A$13:$B35,2,FALSE))</f>
        <v>#N/A</v>
      </c>
      <c r="N6" s="45">
        <f>IFERROR(__xludf.DUMMYFUNCTION("if(B6=0,""..."",if(E6=""CERRADA"",""Valor Venta"", GOOGLEFINANCE(""BCBA:""&amp;B6)))"),18990.0)</f>
        <v>18990</v>
      </c>
      <c r="O6" s="45">
        <f>if(B6=0,"...",N6*(1-VLOOKUP(A6,Config!$B$3:$C$22,2,FALSE)))</f>
        <v>18857.07</v>
      </c>
      <c r="P6" s="45">
        <f t="shared" si="3"/>
        <v>18857.07</v>
      </c>
      <c r="Q6" s="45"/>
      <c r="R6" s="45"/>
      <c r="S6" s="45"/>
      <c r="T6" s="12">
        <f>IFERROR(__xludf.DUMMYFUNCTION("if(B6=0,""..."",GOOGLEFINANCE(B6,""changepct"")/100)"),0.0011)</f>
        <v>0.0011</v>
      </c>
      <c r="U6" s="10">
        <f>IFERROR(__xludf.DUMMYFUNCTION("if(B6=0,""..."",GOOGLEFINANCE(B6,""change"")*H6)"),0.29)</f>
        <v>0.29</v>
      </c>
      <c r="V6" s="12">
        <f t="shared" si="4"/>
        <v>0.1897205047</v>
      </c>
      <c r="W6" s="47">
        <f t="shared" si="5"/>
        <v>3007.07</v>
      </c>
      <c r="X6" s="12" t="str">
        <f>IF(B6=0,"...",(P6/IF(E6="ABIERTA",CCL!$K$10,VLOOKUP(F6,CCL!$A$12:$B35,2,FALSE))/(K6/VLOOKUP(D6,CCL!$A$12:$B35,2,FALSE))-1))</f>
        <v>#N/A</v>
      </c>
      <c r="Y6" s="47" t="str">
        <f>IF(B6=0,"...",P6/VLOOKUP(IF(E6="ABIERTA",TODAY(),F6),CCL!$A$12:$B$773,2,FALSE)-K6/VLOOKUP(D6,CCL!$A$12:$B35,2,FALSE))</f>
        <v>#N/A</v>
      </c>
      <c r="Z6" s="2"/>
      <c r="AA6" s="10" t="str">
        <f>IFERROR(__xludf.DUMMYFUNCTION("""COMPUTED_VALUE"""),"GOOGL")</f>
        <v>GOOGL</v>
      </c>
      <c r="AB6" s="59">
        <f t="shared" si="6"/>
        <v>80</v>
      </c>
      <c r="AC6" s="12">
        <f t="shared" si="7"/>
        <v>0.3405292401</v>
      </c>
      <c r="AD6" s="45">
        <f t="shared" si="8"/>
        <v>2159.4</v>
      </c>
      <c r="AE6" s="45">
        <f t="shared" si="9"/>
        <v>604935.6</v>
      </c>
      <c r="AF6" s="12">
        <f t="shared" si="10"/>
        <v>2.501757433</v>
      </c>
      <c r="AG6" s="45">
        <f t="shared" si="11"/>
        <v>432183.6</v>
      </c>
      <c r="AH6" s="12" t="str">
        <f>IF(AB6=0,"...",IF(AA6=0,"...",AI6/(AE6/VLOOKUP(TODAY(),CCL!$A$12:$B35,2,FALSE)-AI6)))</f>
        <v>#N/A</v>
      </c>
      <c r="AI6" s="46" t="str">
        <f t="shared" si="12"/>
        <v>#N/A</v>
      </c>
      <c r="AJ6" s="2"/>
      <c r="AK6" s="2"/>
      <c r="AL6" s="2"/>
      <c r="AM6" s="2"/>
      <c r="AN6" s="2"/>
      <c r="AO6" s="2"/>
    </row>
    <row r="7" ht="24.0" customHeight="1">
      <c r="A7" s="4" t="s">
        <v>88</v>
      </c>
      <c r="B7" s="4" t="s">
        <v>123</v>
      </c>
      <c r="C7" s="5" t="str">
        <f>IFERROR(__xludf.DUMMYFUNCTION("if(B7=0,""..."", sparkline(query(GOOGLEFINANCE(""BCBA:""&amp;B7,""price"",today()-$AM$34,today()),""select Col2"",0),{""charttype"",$AM$33}))"),"")</f>
        <v/>
      </c>
      <c r="D7" s="17">
        <v>45208.0</v>
      </c>
      <c r="E7" s="6" t="s">
        <v>22</v>
      </c>
      <c r="F7" s="17">
        <v>45267.0</v>
      </c>
      <c r="G7" s="8">
        <f t="shared" si="1"/>
        <v>59</v>
      </c>
      <c r="H7" s="6">
        <v>5.0</v>
      </c>
      <c r="I7" s="44">
        <v>9406.5</v>
      </c>
      <c r="J7" s="44"/>
      <c r="K7" s="45">
        <f t="shared" si="2"/>
        <v>47032.5</v>
      </c>
      <c r="L7" s="45"/>
      <c r="M7" s="47" t="str">
        <f>if(B7=0,"...",K7/VLOOKUP(D7,CCL!$A$13:$B35,2,FALSE))</f>
        <v>#N/A</v>
      </c>
      <c r="N7" s="46">
        <v>11735.0</v>
      </c>
      <c r="O7" s="45">
        <f>if(B7=0,"...",N7*(1-VLOOKUP(A7,Config!$B$3:$C$22,2,FALSE)))</f>
        <v>11652.855</v>
      </c>
      <c r="P7" s="45">
        <f t="shared" si="3"/>
        <v>58264.275</v>
      </c>
      <c r="Q7" s="45"/>
      <c r="R7" s="45"/>
      <c r="S7" s="45"/>
      <c r="T7" s="12">
        <f>IFERROR(__xludf.DUMMYFUNCTION("if(B7=0,""..."",GOOGLEFINANCE(B7,""changepct"")/100)"),0.0084)</f>
        <v>0.0084</v>
      </c>
      <c r="U7" s="10">
        <f>IFERROR(__xludf.DUMMYFUNCTION("if(B7=0,""..."",GOOGLEFINANCE(B7,""change"")*H7)"),3.2)</f>
        <v>3.2</v>
      </c>
      <c r="V7" s="12">
        <f t="shared" si="4"/>
        <v>0.2388088024</v>
      </c>
      <c r="W7" s="47">
        <f t="shared" si="5"/>
        <v>11231.775</v>
      </c>
      <c r="X7" s="12" t="str">
        <f>IF(B7=0,"...",(P7/IF(E7="ABIERTA",CCL!$K$10,VLOOKUP(F7,CCL!$A$12:$B35,2,FALSE))/(K7/VLOOKUP(D7,CCL!$A$12:$B35,2,FALSE))-1))</f>
        <v>#N/A</v>
      </c>
      <c r="Y7" s="47" t="str">
        <f>IF(B7=0,"...",P7/VLOOKUP(IF(E7="ABIERTA",TODAY(),F7),CCL!$A$12:$B$773,2,FALSE)-K7/VLOOKUP(D7,CCL!$A$12:$B35,2,FALSE))</f>
        <v>#N/A</v>
      </c>
      <c r="Z7" s="2"/>
      <c r="AA7" s="10" t="str">
        <f>IFERROR(__xludf.DUMMYFUNCTION("""COMPUTED_VALUE"""),"MELI")</f>
        <v>MELI</v>
      </c>
      <c r="AB7" s="59">
        <f t="shared" si="6"/>
        <v>4</v>
      </c>
      <c r="AC7" s="12">
        <f t="shared" si="7"/>
        <v>0.04773669912</v>
      </c>
      <c r="AD7" s="45">
        <f t="shared" si="8"/>
        <v>24700</v>
      </c>
      <c r="AE7" s="45">
        <f t="shared" si="9"/>
        <v>84802.2</v>
      </c>
      <c r="AF7" s="12">
        <f t="shared" si="10"/>
        <v>-0.1416781377</v>
      </c>
      <c r="AG7" s="45">
        <f t="shared" si="11"/>
        <v>-13997.8</v>
      </c>
      <c r="AH7" s="12" t="str">
        <f>IF(AB7=0,"...",IF(AA7=0,"...",AI7/(AE7/VLOOKUP(TODAY(),CCL!$A$12:$B35,2,FALSE)-AI7)))</f>
        <v>#N/A</v>
      </c>
      <c r="AI7" s="46" t="str">
        <f t="shared" si="12"/>
        <v>#N/A</v>
      </c>
      <c r="AJ7" s="2"/>
      <c r="AK7" s="2"/>
      <c r="AL7" s="2"/>
      <c r="AM7" s="2"/>
      <c r="AN7" s="2"/>
      <c r="AO7" s="2"/>
    </row>
    <row r="8" ht="24.0" customHeight="1">
      <c r="A8" s="4" t="s">
        <v>88</v>
      </c>
      <c r="B8" s="4" t="s">
        <v>110</v>
      </c>
      <c r="C8" s="5" t="str">
        <f>IFERROR(__xludf.DUMMYFUNCTION("if(B8=0,""..."", sparkline(query(GOOGLEFINANCE(""BCBA:""&amp;B8,""price"",today()-$AM$34,today()),""select Col2"",0),{""charttype"",$AM$33}))"),"")</f>
        <v/>
      </c>
      <c r="D8" s="17">
        <v>45208.0</v>
      </c>
      <c r="E8" s="6" t="s">
        <v>24</v>
      </c>
      <c r="F8" s="7"/>
      <c r="G8" s="8">
        <f t="shared" si="1"/>
        <v>909</v>
      </c>
      <c r="H8" s="6">
        <v>2.0</v>
      </c>
      <c r="I8" s="44">
        <v>9788.0</v>
      </c>
      <c r="J8" s="44"/>
      <c r="K8" s="45">
        <f t="shared" si="2"/>
        <v>19576</v>
      </c>
      <c r="L8" s="45"/>
      <c r="M8" s="47" t="str">
        <f>if(B8=0,"...",K8/VLOOKUP(D8,CCL!$A$13:$B35,2,FALSE))</f>
        <v>#N/A</v>
      </c>
      <c r="N8" s="45">
        <f>IFERROR(__xludf.DUMMYFUNCTION("if(B8=0,""..."",if(E8=""CERRADA"",""Valor Venta"", GOOGLEFINANCE(""BCBA:""&amp;B8)))"),18330.0)</f>
        <v>18330</v>
      </c>
      <c r="O8" s="45">
        <f>if(B8=0,"...",N8*(1-VLOOKUP(A8,Config!$B$3:$C$22,2,FALSE)))</f>
        <v>18201.69</v>
      </c>
      <c r="P8" s="45">
        <f t="shared" si="3"/>
        <v>36403.38</v>
      </c>
      <c r="Q8" s="45"/>
      <c r="R8" s="45"/>
      <c r="S8" s="45"/>
      <c r="T8" s="12">
        <f>IFERROR(__xludf.DUMMYFUNCTION("if(B8=0,""..."",GOOGLEFINANCE(B8,""changepct"")/100)"),0.0111)</f>
        <v>0.0111</v>
      </c>
      <c r="U8" s="10">
        <f>IFERROR(__xludf.DUMMYFUNCTION("if(B8=0,""..."",GOOGLEFINANCE(B8,""change"")*H8)"),8.18)</f>
        <v>8.18</v>
      </c>
      <c r="V8" s="12">
        <f t="shared" si="4"/>
        <v>0.859592358</v>
      </c>
      <c r="W8" s="47">
        <f t="shared" si="5"/>
        <v>16827.38</v>
      </c>
      <c r="X8" s="12" t="str">
        <f>IF(B8=0,"...",(P8/IF(E8="ABIERTA",CCL!$K$10,VLOOKUP(F8,CCL!$A$12:$B35,2,FALSE))/(K8/VLOOKUP(D8,CCL!$A$12:$B35,2,FALSE))-1))</f>
        <v>#N/A</v>
      </c>
      <c r="Y8" s="47" t="str">
        <f>IF(B8=0,"...",P8/VLOOKUP(IF(E8="ABIERTA",TODAY(),F8),CCL!$A$12:$B$773,2,FALSE)-K8/VLOOKUP(D8,CCL!$A$12:$B35,2,FALSE))</f>
        <v>#N/A</v>
      </c>
      <c r="Z8" s="2"/>
      <c r="AA8" s="10"/>
      <c r="AB8" s="59" t="str">
        <f t="shared" si="6"/>
        <v>...</v>
      </c>
      <c r="AC8" s="12" t="str">
        <f t="shared" si="7"/>
        <v/>
      </c>
      <c r="AD8" s="45" t="str">
        <f t="shared" si="8"/>
        <v>...</v>
      </c>
      <c r="AE8" s="45" t="str">
        <f t="shared" si="9"/>
        <v>...</v>
      </c>
      <c r="AF8" s="12" t="str">
        <f t="shared" si="10"/>
        <v>...</v>
      </c>
      <c r="AG8" s="45" t="str">
        <f t="shared" si="11"/>
        <v>...</v>
      </c>
      <c r="AH8" s="12" t="str">
        <f>IF(AB8=0,"...",IF(AA8=0,"...",AI8/(AE8/VLOOKUP(TODAY(),CCL!$A$12:$B35,2,FALSE)-AI8)))</f>
        <v>...</v>
      </c>
      <c r="AI8" s="46" t="str">
        <f t="shared" si="12"/>
        <v>...</v>
      </c>
      <c r="AJ8" s="2"/>
      <c r="AK8" s="2"/>
      <c r="AL8" s="2"/>
      <c r="AM8" s="2"/>
      <c r="AN8" s="2"/>
      <c r="AO8" s="2"/>
    </row>
    <row r="9" ht="24.0" customHeight="1">
      <c r="A9" s="4" t="s">
        <v>88</v>
      </c>
      <c r="B9" s="4" t="s">
        <v>145</v>
      </c>
      <c r="C9" s="5" t="str">
        <f>IFERROR(__xludf.DUMMYFUNCTION("if(B9=0,""..."", sparkline(query(GOOGLEFINANCE(""BCBA:""&amp;B9,""price"",today()-$AM$34,today()),""select Col2"",0),{""charttype"",$AM$33}))"),"")</f>
        <v/>
      </c>
      <c r="D9" s="17">
        <v>45237.0</v>
      </c>
      <c r="E9" s="6" t="s">
        <v>22</v>
      </c>
      <c r="F9" s="17">
        <v>45252.0</v>
      </c>
      <c r="G9" s="8">
        <f t="shared" si="1"/>
        <v>15</v>
      </c>
      <c r="H9" s="6">
        <v>18.0</v>
      </c>
      <c r="I9" s="44">
        <v>1680.0</v>
      </c>
      <c r="J9" s="44"/>
      <c r="K9" s="45">
        <f t="shared" si="2"/>
        <v>30240</v>
      </c>
      <c r="L9" s="45"/>
      <c r="M9" s="47">
        <f>if(B9=0,"...",K9/VLOOKUP(D9,CCL!$A$13:$B35,2,FALSE))</f>
        <v>35.25543871</v>
      </c>
      <c r="N9" s="46">
        <v>1700.0</v>
      </c>
      <c r="O9" s="45">
        <f>if(B9=0,"...",N9*(1-VLOOKUP(A9,Config!$B$3:$C$22,2,FALSE)))</f>
        <v>1688.1</v>
      </c>
      <c r="P9" s="45">
        <f t="shared" si="3"/>
        <v>30385.8</v>
      </c>
      <c r="Q9" s="45"/>
      <c r="R9" s="45"/>
      <c r="S9" s="45"/>
      <c r="T9" s="12">
        <f>IFERROR(__xludf.DUMMYFUNCTION("if(B9=0,""..."",GOOGLEFINANCE(B9,""changepct"")/100)"),0.0161)</f>
        <v>0.0161</v>
      </c>
      <c r="U9" s="10">
        <f>IFERROR(__xludf.DUMMYFUNCTION("if(B9=0,""..."",GOOGLEFINANCE(B9,""change"")*H9)"),1.8)</f>
        <v>1.8</v>
      </c>
      <c r="V9" s="12">
        <f t="shared" si="4"/>
        <v>0.004821428571</v>
      </c>
      <c r="W9" s="47">
        <f t="shared" si="5"/>
        <v>145.8</v>
      </c>
      <c r="X9" s="12">
        <f>IF(B9=0,"...",(P9/IF(E9="ABIERTA",CCL!$K$10,VLOOKUP(F9,CCL!$A$12:$B35,2,FALSE))/(K9/VLOOKUP(D9,CCL!$A$12:$B35,2,FALSE))-1))</f>
        <v>-0.09004230316</v>
      </c>
      <c r="Y9" s="47">
        <f>IF(B9=0,"...",P9/VLOOKUP(IF(E9="ABIERTA",TODAY(),F9),CCL!$A$12:$B$773,2,FALSE)-K9/VLOOKUP(D9,CCL!$A$12:$B35,2,FALSE))</f>
        <v>-3.1744809</v>
      </c>
      <c r="Z9" s="2"/>
      <c r="AA9" s="10"/>
      <c r="AB9" s="59" t="str">
        <f t="shared" si="6"/>
        <v>...</v>
      </c>
      <c r="AC9" s="12" t="str">
        <f t="shared" si="7"/>
        <v/>
      </c>
      <c r="AD9" s="45" t="str">
        <f t="shared" si="8"/>
        <v>...</v>
      </c>
      <c r="AE9" s="45" t="str">
        <f t="shared" si="9"/>
        <v>...</v>
      </c>
      <c r="AF9" s="12" t="str">
        <f t="shared" si="10"/>
        <v>...</v>
      </c>
      <c r="AG9" s="45" t="str">
        <f t="shared" si="11"/>
        <v>...</v>
      </c>
      <c r="AH9" s="12" t="str">
        <f>IF(AB9=0,"...",IF(AA9=0,"...",AI9/(AE9/VLOOKUP(TODAY(),CCL!$A$12:$B35,2,FALSE)-AI9)))</f>
        <v>...</v>
      </c>
      <c r="AI9" s="46" t="str">
        <f t="shared" si="12"/>
        <v>...</v>
      </c>
      <c r="AJ9" s="2"/>
      <c r="AK9" s="2"/>
      <c r="AL9" s="2"/>
      <c r="AM9" s="2"/>
      <c r="AN9" s="2"/>
      <c r="AO9" s="2"/>
    </row>
    <row r="10" ht="24.0" customHeight="1">
      <c r="A10" s="4" t="s">
        <v>88</v>
      </c>
      <c r="B10" s="4" t="s">
        <v>151</v>
      </c>
      <c r="C10" s="5" t="str">
        <f>IFERROR(__xludf.DUMMYFUNCTION("if(B10=0,""..."", sparkline(query(GOOGLEFINANCE(""BCBA:""&amp;B10,""price"",today()-$AM$34,today()),""select Col2"",0),{""charttype"",$AM$33}))"),"#N/A")</f>
        <v>#N/A</v>
      </c>
      <c r="D10" s="17">
        <v>45237.0</v>
      </c>
      <c r="E10" s="6" t="s">
        <v>22</v>
      </c>
      <c r="F10" s="17">
        <v>45252.0</v>
      </c>
      <c r="G10" s="8">
        <f t="shared" si="1"/>
        <v>15</v>
      </c>
      <c r="H10" s="6">
        <v>2.0</v>
      </c>
      <c r="I10" s="44">
        <v>13468.0</v>
      </c>
      <c r="J10" s="44"/>
      <c r="K10" s="45">
        <f t="shared" si="2"/>
        <v>26936</v>
      </c>
      <c r="L10" s="45"/>
      <c r="M10" s="47">
        <f>if(B10=0,"...",K10/VLOOKUP(D10,CCL!$A$13:$B35,2,FALSE))</f>
        <v>31.40345559</v>
      </c>
      <c r="N10" s="46">
        <v>14500.0</v>
      </c>
      <c r="O10" s="45">
        <f>if(B10=0,"...",N10*(1-VLOOKUP(A10,Config!$B$3:$C$22,2,FALSE)))</f>
        <v>14398.5</v>
      </c>
      <c r="P10" s="45">
        <f t="shared" si="3"/>
        <v>28797</v>
      </c>
      <c r="Q10" s="45"/>
      <c r="R10" s="45"/>
      <c r="S10" s="45"/>
      <c r="T10" s="12">
        <f>IFERROR(__xludf.DUMMYFUNCTION("if(B10=0,""..."",GOOGLEFINANCE(B10,""changepct"")/100)"),-0.0129)</f>
        <v>-0.0129</v>
      </c>
      <c r="U10" s="10">
        <f>IFERROR(__xludf.DUMMYFUNCTION("if(B10=0,""..."",GOOGLEFINANCE(B10,""change"")*H10)"),-1.08)</f>
        <v>-1.08</v>
      </c>
      <c r="V10" s="12">
        <f t="shared" si="4"/>
        <v>0.06908969409</v>
      </c>
      <c r="W10" s="47">
        <f t="shared" si="5"/>
        <v>1861</v>
      </c>
      <c r="X10" s="12">
        <f>IF(B10=0,"...",(P10/IF(E10="ABIERTA",CCL!$K$10,VLOOKUP(F10,CCL!$A$12:$B35,2,FALSE))/(K10/VLOOKUP(D10,CCL!$A$12:$B35,2,FALSE))-1))</f>
        <v>-0.03184151125</v>
      </c>
      <c r="Y10" s="47">
        <f>IF(B10=0,"...",P10/VLOOKUP(IF(E10="ABIERTA",TODAY(),F10),CCL!$A$12:$B$773,2,FALSE)-K10/VLOOKUP(D10,CCL!$A$12:$B35,2,FALSE))</f>
        <v>-0.9999334844</v>
      </c>
      <c r="Z10" s="2"/>
      <c r="AA10" s="10"/>
      <c r="AB10" s="59" t="str">
        <f t="shared" si="6"/>
        <v>...</v>
      </c>
      <c r="AC10" s="12" t="str">
        <f t="shared" si="7"/>
        <v/>
      </c>
      <c r="AD10" s="45" t="str">
        <f t="shared" si="8"/>
        <v>...</v>
      </c>
      <c r="AE10" s="45" t="str">
        <f t="shared" si="9"/>
        <v>...</v>
      </c>
      <c r="AF10" s="12" t="str">
        <f t="shared" si="10"/>
        <v>...</v>
      </c>
      <c r="AG10" s="45" t="str">
        <f t="shared" si="11"/>
        <v>...</v>
      </c>
      <c r="AH10" s="12" t="str">
        <f>IF(AB10=0,"...",IF(AA10=0,"...",AI10/(AE10/VLOOKUP(TODAY(),CCL!$A$12:$B35,2,FALSE)-AI10)))</f>
        <v>...</v>
      </c>
      <c r="AI10" s="46" t="str">
        <f t="shared" si="12"/>
        <v>...</v>
      </c>
      <c r="AJ10" s="2"/>
      <c r="AK10" s="2"/>
      <c r="AL10" s="2"/>
      <c r="AM10" s="2"/>
      <c r="AN10" s="2"/>
      <c r="AO10" s="2"/>
    </row>
    <row r="11" ht="24.0" customHeight="1">
      <c r="A11" s="4" t="s">
        <v>88</v>
      </c>
      <c r="B11" s="4" t="s">
        <v>620</v>
      </c>
      <c r="C11" s="5" t="str">
        <f>IFERROR(__xludf.DUMMYFUNCTION("if(B11=0,""..."", sparkline(query(GOOGLEFINANCE(""BCBA:""&amp;B11,""price"",today()-$AM$34,today()),""select Col2"",0),{""charttype"",$AM$33}))"),"#N/A")</f>
        <v>#N/A</v>
      </c>
      <c r="D11" s="17">
        <v>45237.0</v>
      </c>
      <c r="E11" s="6" t="s">
        <v>22</v>
      </c>
      <c r="F11" s="17">
        <v>45252.0</v>
      </c>
      <c r="G11" s="8">
        <f t="shared" si="1"/>
        <v>15</v>
      </c>
      <c r="H11" s="6">
        <v>4.0</v>
      </c>
      <c r="I11" s="44">
        <v>6278.0</v>
      </c>
      <c r="J11" s="44"/>
      <c r="K11" s="45">
        <f t="shared" si="2"/>
        <v>25112</v>
      </c>
      <c r="L11" s="45"/>
      <c r="M11" s="47">
        <f>if(B11=0,"...",K11/VLOOKUP(D11,CCL!$A$13:$B35,2,FALSE))</f>
        <v>29.27693707</v>
      </c>
      <c r="N11" s="46">
        <v>6300.0</v>
      </c>
      <c r="O11" s="45">
        <f>if(B11=0,"...",N11*(1-VLOOKUP(A11,Config!$B$3:$C$22,2,FALSE)))</f>
        <v>6255.9</v>
      </c>
      <c r="P11" s="45">
        <f t="shared" si="3"/>
        <v>25023.6</v>
      </c>
      <c r="Q11" s="45"/>
      <c r="R11" s="45"/>
      <c r="S11" s="45"/>
      <c r="T11" s="12">
        <f>IFERROR(__xludf.DUMMYFUNCTION("if(B11=0,""..."",GOOGLEFINANCE(B11,""changepct"")/100)"),0.0)</f>
        <v>0</v>
      </c>
      <c r="U11" s="10">
        <f>IFERROR(__xludf.DUMMYFUNCTION("if(B11=0,""..."",GOOGLEFINANCE(B11,""change"")*H11)"),0.0)</f>
        <v>0</v>
      </c>
      <c r="V11" s="12">
        <f t="shared" si="4"/>
        <v>-0.003520229372</v>
      </c>
      <c r="W11" s="47">
        <f t="shared" si="5"/>
        <v>-88.4</v>
      </c>
      <c r="X11" s="12">
        <f>IF(B11=0,"...",(P11/IF(E11="ABIERTA",CCL!$K$10,VLOOKUP(F11,CCL!$A$12:$B35,2,FALSE))/(K11/VLOOKUP(D11,CCL!$A$12:$B35,2,FALSE))-1))</f>
        <v>-0.09759643729</v>
      </c>
      <c r="Y11" s="47">
        <f>IF(B11=0,"...",P11/VLOOKUP(IF(E11="ABIERTA",TODAY(),F11),CCL!$A$12:$B$773,2,FALSE)-K11/VLOOKUP(D11,CCL!$A$12:$B35,2,FALSE))</f>
        <v>-2.857324752</v>
      </c>
      <c r="Z11" s="2"/>
      <c r="AA11" s="10"/>
      <c r="AB11" s="59" t="str">
        <f t="shared" si="6"/>
        <v>...</v>
      </c>
      <c r="AC11" s="12" t="str">
        <f t="shared" si="7"/>
        <v/>
      </c>
      <c r="AD11" s="45" t="str">
        <f t="shared" si="8"/>
        <v>...</v>
      </c>
      <c r="AE11" s="45" t="str">
        <f t="shared" si="9"/>
        <v>...</v>
      </c>
      <c r="AF11" s="12" t="str">
        <f t="shared" si="10"/>
        <v>...</v>
      </c>
      <c r="AG11" s="45" t="str">
        <f t="shared" si="11"/>
        <v>...</v>
      </c>
      <c r="AH11" s="12" t="str">
        <f>IF(AB11=0,"...",IF(AA11=0,"...",AI11/(AE11/VLOOKUP(TODAY(),CCL!$A$12:$B35,2,FALSE)-AI11)))</f>
        <v>...</v>
      </c>
      <c r="AI11" s="46" t="str">
        <f t="shared" si="12"/>
        <v>...</v>
      </c>
      <c r="AJ11" s="2"/>
      <c r="AK11" s="2"/>
      <c r="AL11" s="2"/>
      <c r="AM11" s="2"/>
      <c r="AN11" s="2"/>
      <c r="AO11" s="2"/>
    </row>
    <row r="12" ht="24.0" customHeight="1">
      <c r="A12" s="4" t="s">
        <v>88</v>
      </c>
      <c r="B12" s="4" t="s">
        <v>119</v>
      </c>
      <c r="C12" s="5" t="str">
        <f>IFERROR(__xludf.DUMMYFUNCTION("if(B12=0,""..."", sparkline(query(GOOGLEFINANCE(""BCBA:""&amp;B12,""price"",today()-$AM$34,today()),""select Col2"",0),{""charttype"",$AM$33}))"),"")</f>
        <v/>
      </c>
      <c r="D12" s="17">
        <v>45245.0</v>
      </c>
      <c r="E12" s="6" t="s">
        <v>24</v>
      </c>
      <c r="F12" s="7"/>
      <c r="G12" s="8">
        <f t="shared" si="1"/>
        <v>872</v>
      </c>
      <c r="H12" s="6">
        <v>2.0</v>
      </c>
      <c r="I12" s="44">
        <v>16450.0</v>
      </c>
      <c r="J12" s="44"/>
      <c r="K12" s="45">
        <f t="shared" si="2"/>
        <v>32900</v>
      </c>
      <c r="L12" s="45"/>
      <c r="M12" s="47">
        <f>if(B12=0,"...",K12/VLOOKUP(D12,CCL!$A$13:$B35,2,FALSE))</f>
        <v>37.5918372</v>
      </c>
      <c r="N12" s="45">
        <f>IFERROR(__xludf.DUMMYFUNCTION("if(B12=0,""..."",if(E12=""CERRADA"",""Valor Venta"", GOOGLEFINANCE(""BCBA:""&amp;B12)))"),18990.0)</f>
        <v>18990</v>
      </c>
      <c r="O12" s="45">
        <f>if(B12=0,"...",N12*(1-VLOOKUP(A12,Config!$B$3:$C$22,2,FALSE)))</f>
        <v>18857.07</v>
      </c>
      <c r="P12" s="45">
        <f t="shared" si="3"/>
        <v>37714.14</v>
      </c>
      <c r="Q12" s="45"/>
      <c r="R12" s="45"/>
      <c r="S12" s="45"/>
      <c r="T12" s="12">
        <f>IFERROR(__xludf.DUMMYFUNCTION("if(B12=0,""..."",GOOGLEFINANCE(B12,""changepct"")/100)"),0.0011)</f>
        <v>0.0011</v>
      </c>
      <c r="U12" s="10">
        <f>IFERROR(__xludf.DUMMYFUNCTION("if(B12=0,""..."",GOOGLEFINANCE(B12,""change"")*H12)"),0.58)</f>
        <v>0.58</v>
      </c>
      <c r="V12" s="12">
        <f t="shared" si="4"/>
        <v>0.1463264438</v>
      </c>
      <c r="W12" s="47">
        <f t="shared" si="5"/>
        <v>4814.14</v>
      </c>
      <c r="X12" s="12">
        <f>IF(B12=0,"...",(P12/IF(E12="ABIERTA",CCL!$K$10,VLOOKUP(F12,CCL!$A$12:$B35,2,FALSE))/(K12/VLOOKUP(D12,CCL!$A$12:$B35,2,FALSE))-1))</f>
        <v>-0.3295501078</v>
      </c>
      <c r="Y12" s="47" t="str">
        <f>IF(B12=0,"...",P12/VLOOKUP(IF(E12="ABIERTA",TODAY(),F12),CCL!$A$12:$B$773,2,FALSE)-K12/VLOOKUP(D12,CCL!$A$12:$B35,2,FALSE))</f>
        <v>#N/A</v>
      </c>
      <c r="Z12" s="2"/>
      <c r="AA12" s="10"/>
      <c r="AB12" s="59" t="str">
        <f t="shared" si="6"/>
        <v>...</v>
      </c>
      <c r="AC12" s="12" t="str">
        <f t="shared" si="7"/>
        <v/>
      </c>
      <c r="AD12" s="45" t="str">
        <f t="shared" si="8"/>
        <v>...</v>
      </c>
      <c r="AE12" s="45" t="str">
        <f t="shared" si="9"/>
        <v>...</v>
      </c>
      <c r="AF12" s="12" t="str">
        <f t="shared" si="10"/>
        <v>...</v>
      </c>
      <c r="AG12" s="45" t="str">
        <f t="shared" si="11"/>
        <v>...</v>
      </c>
      <c r="AH12" s="12" t="str">
        <f>IF(AB12=0,"...",IF(AA12=0,"...",AI12/(AE12/VLOOKUP(TODAY(),CCL!$A$12:$B35,2,FALSE)-AI12)))</f>
        <v>...</v>
      </c>
      <c r="AI12" s="46" t="str">
        <f t="shared" si="12"/>
        <v>...</v>
      </c>
      <c r="AJ12" s="2"/>
      <c r="AK12" s="2"/>
      <c r="AL12" s="2"/>
      <c r="AM12" s="2"/>
      <c r="AN12" s="2"/>
      <c r="AO12" s="2"/>
    </row>
    <row r="13" ht="24.0" customHeight="1">
      <c r="A13" s="4" t="s">
        <v>88</v>
      </c>
      <c r="B13" s="4" t="s">
        <v>112</v>
      </c>
      <c r="C13" s="5" t="str">
        <f>IFERROR(__xludf.DUMMYFUNCTION("if(B13=0,""..."", sparkline(query(GOOGLEFINANCE(""BCBA:""&amp;B13,""price"",today()-$AM$34,today()),""select Col2"",0),{""charttype"",$AM$33}))"),"")</f>
        <v/>
      </c>
      <c r="D13" s="17">
        <v>45245.0</v>
      </c>
      <c r="E13" s="6" t="s">
        <v>24</v>
      </c>
      <c r="F13" s="7"/>
      <c r="G13" s="8">
        <f t="shared" si="1"/>
        <v>872</v>
      </c>
      <c r="H13" s="6">
        <v>2.0</v>
      </c>
      <c r="I13" s="44">
        <v>19870.0</v>
      </c>
      <c r="J13" s="44"/>
      <c r="K13" s="45">
        <f t="shared" si="2"/>
        <v>39740</v>
      </c>
      <c r="L13" s="45"/>
      <c r="M13" s="47">
        <f>if(B13=0,"...",K13/VLOOKUP(D13,CCL!$A$13:$B35,2,FALSE))</f>
        <v>45.40728299</v>
      </c>
      <c r="N13" s="45">
        <f>IFERROR(__xludf.DUMMYFUNCTION("if(B13=0,""..."",if(E13=""CERRADA"",""Valor Venta"", GOOGLEFINANCE(""BCBA:""&amp;B13)))"),48760.0)</f>
        <v>48760</v>
      </c>
      <c r="O13" s="45">
        <f>if(B13=0,"...",N13*(1-VLOOKUP(A13,Config!$B$3:$C$22,2,FALSE)))</f>
        <v>48418.68</v>
      </c>
      <c r="P13" s="45">
        <f t="shared" si="3"/>
        <v>96837.36</v>
      </c>
      <c r="Q13" s="45"/>
      <c r="R13" s="45"/>
      <c r="S13" s="45"/>
      <c r="T13" s="12">
        <f>IFERROR(__xludf.DUMMYFUNCTION("if(B13=0,""..."",GOOGLEFINANCE(B13,""changepct"")/100)"),9.0E-4)</f>
        <v>0.0009</v>
      </c>
      <c r="U13" s="10">
        <f>IFERROR(__xludf.DUMMYFUNCTION("if(B13=0,""..."",GOOGLEFINANCE(B13,""change"")*H13)"),1.18)</f>
        <v>1.18</v>
      </c>
      <c r="V13" s="12">
        <f t="shared" si="4"/>
        <v>1.436773025</v>
      </c>
      <c r="W13" s="47">
        <f t="shared" si="5"/>
        <v>57097.36</v>
      </c>
      <c r="X13" s="12">
        <f>IF(B13=0,"...",(P13/IF(E13="ABIERTA",CCL!$K$10,VLOOKUP(F13,CCL!$A$12:$B35,2,FALSE))/(K13/VLOOKUP(D13,CCL!$A$12:$B35,2,FALSE))-1))</f>
        <v>0.4251910706</v>
      </c>
      <c r="Y13" s="47" t="str">
        <f>IF(B13=0,"...",P13/VLOOKUP(IF(E13="ABIERTA",TODAY(),F13),CCL!$A$12:$B$773,2,FALSE)-K13/VLOOKUP(D13,CCL!$A$12:$B35,2,FALSE))</f>
        <v>#N/A</v>
      </c>
      <c r="Z13" s="2"/>
      <c r="AA13" s="10"/>
      <c r="AB13" s="59" t="str">
        <f t="shared" si="6"/>
        <v>...</v>
      </c>
      <c r="AC13" s="12" t="str">
        <f t="shared" si="7"/>
        <v/>
      </c>
      <c r="AD13" s="45" t="str">
        <f t="shared" si="8"/>
        <v>...</v>
      </c>
      <c r="AE13" s="45" t="str">
        <f t="shared" si="9"/>
        <v>...</v>
      </c>
      <c r="AF13" s="12" t="str">
        <f t="shared" si="10"/>
        <v>...</v>
      </c>
      <c r="AG13" s="45" t="str">
        <f t="shared" si="11"/>
        <v>...</v>
      </c>
      <c r="AH13" s="12" t="str">
        <f>IF(AB13=0,"...",IF(AA13=0,"...",AI13/(AE13/VLOOKUP(TODAY(),CCL!$A$12:$B35,2,FALSE)-AI13)))</f>
        <v>...</v>
      </c>
      <c r="AI13" s="46" t="str">
        <f t="shared" si="12"/>
        <v>...</v>
      </c>
      <c r="AJ13" s="2"/>
      <c r="AK13" s="2"/>
      <c r="AL13" s="2"/>
      <c r="AM13" s="2"/>
      <c r="AN13" s="2"/>
      <c r="AO13" s="2"/>
    </row>
    <row r="14" ht="24.0" customHeight="1">
      <c r="A14" s="4" t="s">
        <v>88</v>
      </c>
      <c r="B14" s="4" t="s">
        <v>140</v>
      </c>
      <c r="C14" s="5" t="str">
        <f>IFERROR(__xludf.DUMMYFUNCTION("if(B14=0,""..."", sparkline(query(GOOGLEFINANCE(""BCBA:""&amp;B14,""price"",today()-$AM$34,today()),""select Col2"",0),{""charttype"",$AM$33}))"),"")</f>
        <v/>
      </c>
      <c r="D14" s="17">
        <v>45245.0</v>
      </c>
      <c r="E14" s="6" t="s">
        <v>22</v>
      </c>
      <c r="F14" s="17">
        <v>45281.0</v>
      </c>
      <c r="G14" s="8">
        <f t="shared" si="1"/>
        <v>36</v>
      </c>
      <c r="H14" s="6">
        <v>2.0</v>
      </c>
      <c r="I14" s="44">
        <v>15380.0</v>
      </c>
      <c r="J14" s="44"/>
      <c r="K14" s="45">
        <f t="shared" si="2"/>
        <v>30760</v>
      </c>
      <c r="L14" s="45"/>
      <c r="M14" s="47">
        <f>if(B14=0,"...",K14/VLOOKUP(D14,CCL!$A$13:$B35,2,FALSE))</f>
        <v>35.14665387</v>
      </c>
      <c r="N14" s="46">
        <v>17570.0</v>
      </c>
      <c r="O14" s="45">
        <f>if(B14=0,"...",N14*(1-VLOOKUP(A14,Config!$B$3:$C$22,2,FALSE)))</f>
        <v>17447.01</v>
      </c>
      <c r="P14" s="45">
        <f t="shared" si="3"/>
        <v>34894.02</v>
      </c>
      <c r="Q14" s="45"/>
      <c r="R14" s="45"/>
      <c r="S14" s="45"/>
      <c r="T14" s="12">
        <f>IFERROR(__xludf.DUMMYFUNCTION("if(B14=0,""..."",GOOGLEFINANCE(B14,""changepct"")/100)"),-9.0E-4)</f>
        <v>-0.0009</v>
      </c>
      <c r="U14" s="10">
        <f>IFERROR(__xludf.DUMMYFUNCTION("if(B14=0,""..."",GOOGLEFINANCE(B14,""change"")*H14)"),-0.84)</f>
        <v>-0.84</v>
      </c>
      <c r="V14" s="12">
        <f t="shared" si="4"/>
        <v>0.1343959688</v>
      </c>
      <c r="W14" s="47">
        <f t="shared" si="5"/>
        <v>4134.02</v>
      </c>
      <c r="X14" s="12">
        <f>IF(B14=0,"...",(P14/IF(E14="ABIERTA",CCL!$K$10,VLOOKUP(F14,CCL!$A$12:$B35,2,FALSE))/(K14/VLOOKUP(D14,CCL!$A$12:$B35,2,FALSE))-1))</f>
        <v>0.05072814318</v>
      </c>
      <c r="Y14" s="47">
        <f>IF(B14=0,"...",P14/VLOOKUP(IF(E14="ABIERTA",TODAY(),F14),CCL!$A$12:$B$773,2,FALSE)-K14/VLOOKUP(D14,CCL!$A$12:$B35,2,FALSE))</f>
        <v>1.78292449</v>
      </c>
      <c r="Z14" s="2"/>
      <c r="AA14" s="10"/>
      <c r="AB14" s="59" t="str">
        <f t="shared" si="6"/>
        <v>...</v>
      </c>
      <c r="AC14" s="12" t="str">
        <f t="shared" si="7"/>
        <v/>
      </c>
      <c r="AD14" s="45" t="str">
        <f t="shared" si="8"/>
        <v>...</v>
      </c>
      <c r="AE14" s="45" t="str">
        <f t="shared" si="9"/>
        <v>...</v>
      </c>
      <c r="AF14" s="12" t="str">
        <f t="shared" si="10"/>
        <v>...</v>
      </c>
      <c r="AG14" s="45" t="str">
        <f t="shared" si="11"/>
        <v>...</v>
      </c>
      <c r="AH14" s="12" t="str">
        <f>IF(AB14=0,"...",IF(AA14=0,"...",AI14/(AE14/VLOOKUP(TODAY(),CCL!$A$12:$B35,2,FALSE)-AI14)))</f>
        <v>...</v>
      </c>
      <c r="AI14" s="46" t="str">
        <f t="shared" si="12"/>
        <v>...</v>
      </c>
      <c r="AJ14" s="2"/>
      <c r="AK14" s="2"/>
      <c r="AL14" s="2"/>
      <c r="AM14" s="2"/>
      <c r="AN14" s="2"/>
      <c r="AO14" s="2"/>
    </row>
    <row r="15" ht="24.0" customHeight="1">
      <c r="A15" s="4" t="s">
        <v>88</v>
      </c>
      <c r="B15" s="4" t="s">
        <v>139</v>
      </c>
      <c r="C15" s="5" t="str">
        <f>IFERROR(__xludf.DUMMYFUNCTION("if(B15=0,""..."", sparkline(query(GOOGLEFINANCE(""BCBA:""&amp;B15,""price"",today()-$AM$34,today()),""select Col2"",0),{""charttype"",$AM$33}))"),"")</f>
        <v/>
      </c>
      <c r="D15" s="17">
        <v>45247.0</v>
      </c>
      <c r="E15" s="6" t="s">
        <v>24</v>
      </c>
      <c r="F15" s="7"/>
      <c r="G15" s="8">
        <f t="shared" si="1"/>
        <v>870</v>
      </c>
      <c r="H15" s="6">
        <v>3.0</v>
      </c>
      <c r="I15" s="44">
        <v>13300.0</v>
      </c>
      <c r="J15" s="44"/>
      <c r="K15" s="45">
        <f t="shared" si="2"/>
        <v>39900</v>
      </c>
      <c r="L15" s="45"/>
      <c r="M15" s="47">
        <f>if(B15=0,"...",K15/VLOOKUP(D15,CCL!$A$13:$B35,2,FALSE))</f>
        <v>45.49808429</v>
      </c>
      <c r="N15" s="45">
        <f>IFERROR(__xludf.DUMMYFUNCTION("if(B15=0,""..."",if(E15=""CERRADA"",""Valor Venta"", GOOGLEFINANCE(""BCBA:""&amp;B15)))"),37840.0)</f>
        <v>37840</v>
      </c>
      <c r="O15" s="45">
        <f>if(B15=0,"...",N15*(1-VLOOKUP(A15,Config!$B$3:$C$22,2,FALSE)))</f>
        <v>37575.12</v>
      </c>
      <c r="P15" s="45">
        <f t="shared" si="3"/>
        <v>112725.36</v>
      </c>
      <c r="Q15" s="45"/>
      <c r="R15" s="45"/>
      <c r="S15" s="45"/>
      <c r="T15" s="12">
        <f>IFERROR(__xludf.DUMMYFUNCTION("if(B15=0,""..."",GOOGLEFINANCE(B15,""changepct"")/100)"),-0.0542)</f>
        <v>-0.0542</v>
      </c>
      <c r="U15" s="10">
        <f>IFERROR(__xludf.DUMMYFUNCTION("if(B15=0,""..."",GOOGLEFINANCE(B15,""change"")*H15)"),-62.010000000000005)</f>
        <v>-62.01</v>
      </c>
      <c r="V15" s="12">
        <f t="shared" si="4"/>
        <v>1.825196992</v>
      </c>
      <c r="W15" s="47">
        <f t="shared" si="5"/>
        <v>72825.36</v>
      </c>
      <c r="X15" s="12">
        <f>IF(B15=0,"...",(P15/IF(E15="ABIERTA",CCL!$K$10,VLOOKUP(F15,CCL!$A$12:$B35,2,FALSE))/(K15/VLOOKUP(D15,CCL!$A$12:$B35,2,FALSE))-1))</f>
        <v>0.6557096789</v>
      </c>
      <c r="Y15" s="47" t="str">
        <f>IF(B15=0,"...",P15/VLOOKUP(IF(E15="ABIERTA",TODAY(),F15),CCL!$A$12:$B$773,2,FALSE)-K15/VLOOKUP(D15,CCL!$A$12:$B35,2,FALSE))</f>
        <v>#N/A</v>
      </c>
      <c r="Z15" s="2"/>
      <c r="AA15" s="10"/>
      <c r="AB15" s="59" t="str">
        <f t="shared" si="6"/>
        <v>...</v>
      </c>
      <c r="AC15" s="12" t="str">
        <f t="shared" si="7"/>
        <v/>
      </c>
      <c r="AD15" s="45" t="str">
        <f t="shared" si="8"/>
        <v>...</v>
      </c>
      <c r="AE15" s="45" t="str">
        <f t="shared" si="9"/>
        <v>...</v>
      </c>
      <c r="AF15" s="12" t="str">
        <f t="shared" si="10"/>
        <v>...</v>
      </c>
      <c r="AG15" s="45" t="str">
        <f t="shared" si="11"/>
        <v>...</v>
      </c>
      <c r="AH15" s="12" t="str">
        <f>IF(AB15=0,"...",IF(AA15=0,"...",AI15/(AE15/VLOOKUP(TODAY(),CCL!$A$12:$B35,2,FALSE)-AI15)))</f>
        <v>...</v>
      </c>
      <c r="AI15" s="46" t="str">
        <f t="shared" si="12"/>
        <v>...</v>
      </c>
      <c r="AJ15" s="2"/>
      <c r="AK15" s="2"/>
      <c r="AL15" s="2"/>
      <c r="AM15" s="2"/>
      <c r="AN15" s="2"/>
      <c r="AO15" s="2"/>
    </row>
    <row r="16" ht="24.0" customHeight="1">
      <c r="A16" s="4" t="s">
        <v>88</v>
      </c>
      <c r="B16" s="4" t="s">
        <v>621</v>
      </c>
      <c r="C16" s="5" t="str">
        <f>IFERROR(__xludf.DUMMYFUNCTION("if(B16=0,""..."", sparkline(query(GOOGLEFINANCE(""BCBA:""&amp;B16,""price"",today()-$AM$34,today()),""select Col2"",0),{""charttype"",$AM$33}))"),"")</f>
        <v/>
      </c>
      <c r="D16" s="17">
        <v>45243.0</v>
      </c>
      <c r="E16" s="6" t="s">
        <v>22</v>
      </c>
      <c r="F16" s="17">
        <v>45254.0</v>
      </c>
      <c r="G16" s="8">
        <f t="shared" si="1"/>
        <v>11</v>
      </c>
      <c r="H16" s="6">
        <v>121.0</v>
      </c>
      <c r="I16" s="44">
        <v>328.0</v>
      </c>
      <c r="J16" s="44"/>
      <c r="K16" s="45">
        <f t="shared" si="2"/>
        <v>39688</v>
      </c>
      <c r="L16" s="45"/>
      <c r="M16" s="47">
        <f>if(B16=0,"...",K16/VLOOKUP(D16,CCL!$A$13:$B35,2,FALSE))</f>
        <v>45.18780813</v>
      </c>
      <c r="N16" s="46">
        <v>590.0</v>
      </c>
      <c r="O16" s="45">
        <f>if(B16=0,"...",N16*(1-VLOOKUP(A16,Config!$B$3:$C$22,2,FALSE)))</f>
        <v>585.87</v>
      </c>
      <c r="P16" s="45">
        <f t="shared" si="3"/>
        <v>70890.27</v>
      </c>
      <c r="Q16" s="45"/>
      <c r="R16" s="45"/>
      <c r="S16" s="45"/>
      <c r="T16" s="12">
        <f>IFERROR(__xludf.DUMMYFUNCTION("if(B16=0,""..."",GOOGLEFINANCE(B16,""changepct"")/100)"),-0.0126)</f>
        <v>-0.0126</v>
      </c>
      <c r="U16" s="10">
        <f>IFERROR(__xludf.DUMMYFUNCTION("if(B16=0,""..."",GOOGLEFINANCE(B16,""change"")*H16)"),-14.52)</f>
        <v>-14.52</v>
      </c>
      <c r="V16" s="12">
        <f t="shared" si="4"/>
        <v>0.7861890244</v>
      </c>
      <c r="W16" s="47">
        <f t="shared" si="5"/>
        <v>31202.27</v>
      </c>
      <c r="X16" s="12">
        <f>IF(B16=0,"...",(P16/IF(E16="ABIERTA",CCL!$K$10,VLOOKUP(F16,CCL!$A$12:$B35,2,FALSE))/(K16/VLOOKUP(D16,CCL!$A$12:$B35,2,FALSE))-1))</f>
        <v>0.6956613397</v>
      </c>
      <c r="Y16" s="47">
        <f>IF(B16=0,"...",P16/VLOOKUP(IF(E16="ABIERTA",TODAY(),F16),CCL!$A$12:$B$773,2,FALSE)-K16/VLOOKUP(D16,CCL!$A$12:$B35,2,FALSE))</f>
        <v>31.43541114</v>
      </c>
      <c r="Z16" s="2"/>
      <c r="AA16" s="10"/>
      <c r="AB16" s="59" t="str">
        <f t="shared" si="6"/>
        <v>...</v>
      </c>
      <c r="AC16" s="12" t="str">
        <f t="shared" si="7"/>
        <v/>
      </c>
      <c r="AD16" s="45" t="str">
        <f t="shared" si="8"/>
        <v>...</v>
      </c>
      <c r="AE16" s="45" t="str">
        <f t="shared" si="9"/>
        <v>...</v>
      </c>
      <c r="AF16" s="12" t="str">
        <f t="shared" si="10"/>
        <v>...</v>
      </c>
      <c r="AG16" s="45" t="str">
        <f t="shared" si="11"/>
        <v>...</v>
      </c>
      <c r="AH16" s="12" t="str">
        <f>IF(AB16=0,"...",IF(AA16=0,"...",AI16/(AE16/VLOOKUP(TODAY(),CCL!$A$12:$B35,2,FALSE)-AI16)))</f>
        <v>...</v>
      </c>
      <c r="AI16" s="46" t="str">
        <f t="shared" si="12"/>
        <v>...</v>
      </c>
      <c r="AJ16" s="2"/>
      <c r="AK16" s="2"/>
      <c r="AL16" s="2"/>
      <c r="AM16" s="2"/>
      <c r="AN16" s="2"/>
      <c r="AO16" s="2"/>
    </row>
    <row r="17" ht="24.0" customHeight="1">
      <c r="A17" s="4" t="s">
        <v>88</v>
      </c>
      <c r="B17" s="4" t="s">
        <v>123</v>
      </c>
      <c r="C17" s="5" t="str">
        <f>IFERROR(__xludf.DUMMYFUNCTION("if(B17=0,""..."", sparkline(query(GOOGLEFINANCE(""BCBA:""&amp;B17,""price"",today()-$AM$34,today()),""select Col2"",0),{""charttype"",$AM$33}))"),"")</f>
        <v/>
      </c>
      <c r="D17" s="17">
        <v>45258.0</v>
      </c>
      <c r="E17" s="6" t="s">
        <v>22</v>
      </c>
      <c r="F17" s="17">
        <v>45267.0</v>
      </c>
      <c r="G17" s="8">
        <f t="shared" si="1"/>
        <v>9</v>
      </c>
      <c r="H17" s="6">
        <v>3.0</v>
      </c>
      <c r="I17" s="9">
        <v>9850.0</v>
      </c>
      <c r="J17" s="9"/>
      <c r="K17" s="45">
        <f t="shared" si="2"/>
        <v>29550</v>
      </c>
      <c r="L17" s="45"/>
      <c r="M17" s="47">
        <f>IF(B17=0,"...",K17/VLOOKUP(D17,CCL!$A$12:$B35,2,FALSE))</f>
        <v>34.8097538</v>
      </c>
      <c r="N17" s="46">
        <v>11735.0</v>
      </c>
      <c r="O17" s="45">
        <f>if(B17=0,"...",N17*(1-VLOOKUP(A17,Config!$B$3:$C$22,2,FALSE)))</f>
        <v>11652.855</v>
      </c>
      <c r="P17" s="45">
        <f t="shared" si="3"/>
        <v>34958.565</v>
      </c>
      <c r="Q17" s="45"/>
      <c r="R17" s="45"/>
      <c r="S17" s="45"/>
      <c r="T17" s="12">
        <f>IFERROR(__xludf.DUMMYFUNCTION("if(B17=0,""..."",GOOGLEFINANCE(B17,""changepct"")/100)"),0.0084)</f>
        <v>0.0084</v>
      </c>
      <c r="U17" s="10">
        <f>IFERROR(__xludf.DUMMYFUNCTION("if(B17=0,""..."",GOOGLEFINANCE(B17,""change"")*H17)"),1.92)</f>
        <v>1.92</v>
      </c>
      <c r="V17" s="12">
        <f t="shared" si="4"/>
        <v>0.1830309645</v>
      </c>
      <c r="W17" s="47">
        <f t="shared" si="5"/>
        <v>5408.565</v>
      </c>
      <c r="X17" s="12">
        <f>IF(B17=0,"...",(P17/IF(E17="ABIERTA",CCL!$K$10,VLOOKUP(F17,CCL!$A$12:$B35,2,FALSE))/(K17/VLOOKUP(D17,CCL!$A$12:$B35,2,FALSE))-1))</f>
        <v>0.0125474988</v>
      </c>
      <c r="Y17" s="47">
        <f>IF(B17=0,"...",P17/VLOOKUP(IF(E17="ABIERTA",TODAY(),F17),CCL!$A$12:$B$773,2,FALSE)-K17/VLOOKUP(D17,CCL!$A$12:$B35,2,FALSE))</f>
        <v>0.4367753441</v>
      </c>
      <c r="Z17" s="2"/>
      <c r="AA17" s="10"/>
      <c r="AB17" s="59" t="str">
        <f t="shared" si="6"/>
        <v>...</v>
      </c>
      <c r="AC17" s="12" t="str">
        <f t="shared" si="7"/>
        <v/>
      </c>
      <c r="AD17" s="45" t="str">
        <f t="shared" si="8"/>
        <v>...</v>
      </c>
      <c r="AE17" s="45" t="str">
        <f t="shared" si="9"/>
        <v>...</v>
      </c>
      <c r="AF17" s="12" t="str">
        <f t="shared" si="10"/>
        <v>...</v>
      </c>
      <c r="AG17" s="45" t="str">
        <f t="shared" si="11"/>
        <v>...</v>
      </c>
      <c r="AH17" s="12" t="str">
        <f>IF(AB17=0,"...",IF(AA17=0,"...",AI17/(AE17/VLOOKUP(TODAY(),CCL!$A$12:$B35,2,FALSE)-AI17)))</f>
        <v>...</v>
      </c>
      <c r="AI17" s="46" t="str">
        <f t="shared" si="12"/>
        <v>...</v>
      </c>
      <c r="AJ17" s="2"/>
      <c r="AK17" s="2"/>
      <c r="AL17" s="2"/>
      <c r="AM17" s="2"/>
      <c r="AN17" s="2"/>
      <c r="AO17" s="2"/>
    </row>
    <row r="18" ht="24.0" customHeight="1">
      <c r="A18" s="4" t="s">
        <v>88</v>
      </c>
      <c r="B18" s="4" t="s">
        <v>119</v>
      </c>
      <c r="C18" s="5" t="str">
        <f>IFERROR(__xludf.DUMMYFUNCTION("if(B18=0,""..."", sparkline(query(GOOGLEFINANCE(""BCBA:""&amp;B18,""price"",today()-$AM$34,today()),""select Col2"",0),{""charttype"",$AM$33}))"),"")</f>
        <v/>
      </c>
      <c r="D18" s="17">
        <v>45258.0</v>
      </c>
      <c r="E18" s="6" t="s">
        <v>24</v>
      </c>
      <c r="F18" s="7"/>
      <c r="G18" s="8">
        <f t="shared" si="1"/>
        <v>859</v>
      </c>
      <c r="H18" s="6">
        <v>1.0</v>
      </c>
      <c r="I18" s="44">
        <v>15955.0</v>
      </c>
      <c r="J18" s="44"/>
      <c r="K18" s="45">
        <f t="shared" si="2"/>
        <v>15955</v>
      </c>
      <c r="L18" s="45"/>
      <c r="M18" s="47">
        <f>IF(B18=0,"...",K18/VLOOKUP(D18,CCL!$A$12:$B35,2,FALSE))</f>
        <v>18.79491106</v>
      </c>
      <c r="N18" s="45">
        <f>IFERROR(__xludf.DUMMYFUNCTION("if(B18=0,""..."",if(E18=""CERRADA"",""Valor Venta"", GOOGLEFINANCE(""BCBA:""&amp;B18)))"),18990.0)</f>
        <v>18990</v>
      </c>
      <c r="O18" s="45">
        <f>if(B18=0,"...",N18*(1-VLOOKUP(A18,Config!$B$3:$C$22,2,FALSE)))</f>
        <v>18857.07</v>
      </c>
      <c r="P18" s="45">
        <f t="shared" si="3"/>
        <v>18857.07</v>
      </c>
      <c r="Q18" s="45"/>
      <c r="R18" s="45"/>
      <c r="S18" s="45"/>
      <c r="T18" s="12">
        <f>IFERROR(__xludf.DUMMYFUNCTION("if(B18=0,""..."",GOOGLEFINANCE(B18,""changepct"")/100)"),0.0011)</f>
        <v>0.0011</v>
      </c>
      <c r="U18" s="10">
        <f>IFERROR(__xludf.DUMMYFUNCTION("if(B18=0,""..."",GOOGLEFINANCE(B18,""change"")*H18)"),0.29)</f>
        <v>0.29</v>
      </c>
      <c r="V18" s="12">
        <f t="shared" si="4"/>
        <v>0.1818909433</v>
      </c>
      <c r="W18" s="47">
        <f t="shared" si="5"/>
        <v>2902.07</v>
      </c>
      <c r="X18" s="12">
        <f>IF(B18=0,"...",(P18/IF(E18="ABIERTA",CCL!$K$10,VLOOKUP(F18,CCL!$A$12:$B35,2,FALSE))/(K18/VLOOKUP(D18,CCL!$A$12:$B35,2,FALSE))-1))</f>
        <v>-0.329514167</v>
      </c>
      <c r="Y18" s="47" t="str">
        <f>IF(B18=0,"...",P18/VLOOKUP(IF(E18="ABIERTA",TODAY(),F18),CCL!$A$12:$B$773,2,FALSE)-K18/VLOOKUP(D18,CCL!$A$12:$B35,2,FALSE))</f>
        <v>#N/A</v>
      </c>
      <c r="Z18" s="2"/>
      <c r="AA18" s="10"/>
      <c r="AB18" s="59" t="str">
        <f t="shared" si="6"/>
        <v>...</v>
      </c>
      <c r="AC18" s="12" t="str">
        <f t="shared" si="7"/>
        <v/>
      </c>
      <c r="AD18" s="45" t="str">
        <f t="shared" si="8"/>
        <v>...</v>
      </c>
      <c r="AE18" s="45" t="str">
        <f t="shared" si="9"/>
        <v>...</v>
      </c>
      <c r="AF18" s="12" t="str">
        <f t="shared" si="10"/>
        <v>...</v>
      </c>
      <c r="AG18" s="45" t="str">
        <f t="shared" si="11"/>
        <v>...</v>
      </c>
      <c r="AH18" s="12" t="str">
        <f>IF(AB18=0,"...",IF(AA18=0,"...",AI18/(AE18/VLOOKUP(TODAY(),CCL!$A$12:$B35,2,FALSE)-AI18)))</f>
        <v>...</v>
      </c>
      <c r="AI18" s="46" t="str">
        <f t="shared" si="12"/>
        <v>...</v>
      </c>
      <c r="AJ18" s="2"/>
      <c r="AK18" s="18" t="s">
        <v>96</v>
      </c>
      <c r="AL18" s="19">
        <f>sumifs(P2:P34,E2:E34,"ABIERTA")</f>
        <v>1776457.14</v>
      </c>
      <c r="AM18" s="18" t="s">
        <v>47</v>
      </c>
      <c r="AN18" s="19">
        <f>sum(P2:P34)</f>
        <v>2124851.935</v>
      </c>
      <c r="AO18" s="2"/>
    </row>
    <row r="19" ht="24.0" customHeight="1">
      <c r="A19" s="4" t="s">
        <v>88</v>
      </c>
      <c r="B19" s="4" t="s">
        <v>112</v>
      </c>
      <c r="C19" s="5" t="str">
        <f>IFERROR(__xludf.DUMMYFUNCTION("if(B19=0,""..."", sparkline(query(GOOGLEFINANCE(""BCBA:""&amp;B19,""price"",today()-$AM$34,today()),""select Col2"",0),{""charttype"",$AM$33}))"),"")</f>
        <v/>
      </c>
      <c r="D19" s="17">
        <v>45259.0</v>
      </c>
      <c r="E19" s="6" t="s">
        <v>24</v>
      </c>
      <c r="F19" s="7"/>
      <c r="G19" s="8">
        <f t="shared" si="1"/>
        <v>858</v>
      </c>
      <c r="H19" s="6">
        <v>2.0</v>
      </c>
      <c r="I19" s="44">
        <v>18700.0</v>
      </c>
      <c r="J19" s="44"/>
      <c r="K19" s="45">
        <f t="shared" si="2"/>
        <v>37400</v>
      </c>
      <c r="L19" s="45"/>
      <c r="M19" s="47">
        <f>IF(B19=0,"...",K19/VLOOKUP(D19,CCL!$A$12:$B35,2,FALSE))</f>
        <v>45.59474319</v>
      </c>
      <c r="N19" s="45">
        <f>IFERROR(__xludf.DUMMYFUNCTION("if(B19=0,""..."",if(E19=""CERRADA"",""Valor Venta"", GOOGLEFINANCE(""BCBA:""&amp;B19)))"),48760.0)</f>
        <v>48760</v>
      </c>
      <c r="O19" s="45">
        <f>if(B19=0,"...",N19*(1-VLOOKUP(A19,Config!$B$3:$C$22,2,FALSE)))</f>
        <v>48418.68</v>
      </c>
      <c r="P19" s="45">
        <f t="shared" si="3"/>
        <v>96837.36</v>
      </c>
      <c r="Q19" s="45"/>
      <c r="R19" s="45"/>
      <c r="S19" s="45"/>
      <c r="T19" s="12">
        <f>IFERROR(__xludf.DUMMYFUNCTION("if(B19=0,""..."",GOOGLEFINANCE(B19,""changepct"")/100)"),9.0E-4)</f>
        <v>0.0009</v>
      </c>
      <c r="U19" s="10">
        <f>IFERROR(__xludf.DUMMYFUNCTION("if(B19=0,""..."",GOOGLEFINANCE(B19,""change"")*H19)"),1.18)</f>
        <v>1.18</v>
      </c>
      <c r="V19" s="12">
        <f t="shared" si="4"/>
        <v>1.589234225</v>
      </c>
      <c r="W19" s="47">
        <f t="shared" si="5"/>
        <v>59437.36</v>
      </c>
      <c r="X19" s="12">
        <f>IF(B19=0,"...",(P19/IF(E19="ABIERTA",CCL!$K$10,VLOOKUP(F19,CCL!$A$12:$B35,2,FALSE))/(K19/VLOOKUP(D19,CCL!$A$12:$B35,2,FALSE))-1))</f>
        <v>0.4193314782</v>
      </c>
      <c r="Y19" s="47" t="str">
        <f>IF(B19=0,"...",P19/VLOOKUP(IF(E19="ABIERTA",TODAY(),F19),CCL!$A$12:$B$773,2,FALSE)-K19/VLOOKUP(D19,CCL!$A$12:$B35,2,FALSE))</f>
        <v>#N/A</v>
      </c>
      <c r="Z19" s="2"/>
      <c r="AA19" s="10"/>
      <c r="AB19" s="59" t="str">
        <f t="shared" si="6"/>
        <v>...</v>
      </c>
      <c r="AC19" s="12" t="str">
        <f t="shared" si="7"/>
        <v/>
      </c>
      <c r="AD19" s="45" t="str">
        <f t="shared" si="8"/>
        <v>...</v>
      </c>
      <c r="AE19" s="45" t="str">
        <f t="shared" si="9"/>
        <v>...</v>
      </c>
      <c r="AF19" s="12" t="str">
        <f t="shared" si="10"/>
        <v>...</v>
      </c>
      <c r="AG19" s="45" t="str">
        <f t="shared" si="11"/>
        <v>...</v>
      </c>
      <c r="AH19" s="12" t="str">
        <f>IF(AB19=0,"...",IF(AA19=0,"...",AI19/(AE19/VLOOKUP(TODAY(),CCL!$A$12:$B35,2,FALSE)-AI19)))</f>
        <v>...</v>
      </c>
      <c r="AI19" s="46" t="str">
        <f t="shared" si="12"/>
        <v>...</v>
      </c>
      <c r="AJ19" s="2"/>
      <c r="AO19" s="2"/>
    </row>
    <row r="20" ht="24.0" customHeight="1">
      <c r="A20" s="4" t="s">
        <v>88</v>
      </c>
      <c r="B20" s="4" t="s">
        <v>622</v>
      </c>
      <c r="C20" s="5" t="str">
        <f>IFERROR(__xludf.DUMMYFUNCTION("if(B20=0,""..."", sparkline(query(GOOGLEFINANCE(""BCBA:""&amp;B20,""price"",today()-$AM$34,today()),""select Col2"",0),{""charttype"",$AM$33}))"),"")</f>
        <v/>
      </c>
      <c r="D20" s="17">
        <v>45260.0</v>
      </c>
      <c r="E20" s="6" t="s">
        <v>22</v>
      </c>
      <c r="F20" s="17">
        <v>45282.0</v>
      </c>
      <c r="G20" s="8">
        <f t="shared" si="1"/>
        <v>22</v>
      </c>
      <c r="H20" s="6">
        <v>7.0</v>
      </c>
      <c r="I20" s="44">
        <v>7400.0</v>
      </c>
      <c r="J20" s="44"/>
      <c r="K20" s="45">
        <f t="shared" si="2"/>
        <v>51800</v>
      </c>
      <c r="L20" s="45"/>
      <c r="M20" s="47">
        <f>IF(B20=0,"...",K20/VLOOKUP(D20,CCL!$A$12:$B35,2,FALSE))</f>
        <v>61.89952679</v>
      </c>
      <c r="N20" s="46">
        <v>9377.25</v>
      </c>
      <c r="O20" s="45">
        <f>if(B20=0,"...",N20*(1-VLOOKUP(A20,Config!$B$3:$C$22,2,FALSE)))</f>
        <v>9311.60925</v>
      </c>
      <c r="P20" s="45">
        <f t="shared" si="3"/>
        <v>65181.26475</v>
      </c>
      <c r="Q20" s="45"/>
      <c r="R20" s="45"/>
      <c r="S20" s="45"/>
      <c r="T20" s="12">
        <f>IFERROR(__xludf.DUMMYFUNCTION("if(B20=0,""..."",GOOGLEFINANCE(B20,""changepct"")/100)"),4.0E-4)</f>
        <v>0.0004</v>
      </c>
      <c r="U20" s="10">
        <f>IFERROR(__xludf.DUMMYFUNCTION("if(B20=0,""..."",GOOGLEFINANCE(B20,""change"")*H20)"),0.21)</f>
        <v>0.21</v>
      </c>
      <c r="V20" s="12">
        <f t="shared" si="4"/>
        <v>0.2583255743</v>
      </c>
      <c r="W20" s="47">
        <f t="shared" si="5"/>
        <v>13381.26475</v>
      </c>
      <c r="X20" s="12">
        <f>IF(B20=0,"...",(P20/IF(E20="ABIERTA",CCL!$K$10,VLOOKUP(F20,CCL!$A$12:$B35,2,FALSE))/(K20/VLOOKUP(D20,CCL!$A$12:$B35,2,FALSE))-1))</f>
        <v>0.1181849951</v>
      </c>
      <c r="Y20" s="47">
        <f>IF(B20=0,"...",P20/VLOOKUP(IF(E20="ABIERTA",TODAY(),F20),CCL!$A$12:$B$773,2,FALSE)-K20/VLOOKUP(D20,CCL!$A$12:$B35,2,FALSE))</f>
        <v>7.315595273</v>
      </c>
      <c r="Z20" s="2"/>
      <c r="AA20" s="10"/>
      <c r="AB20" s="59" t="str">
        <f t="shared" si="6"/>
        <v>...</v>
      </c>
      <c r="AC20" s="12" t="str">
        <f t="shared" si="7"/>
        <v/>
      </c>
      <c r="AD20" s="45" t="str">
        <f t="shared" si="8"/>
        <v>...</v>
      </c>
      <c r="AE20" s="45" t="str">
        <f t="shared" si="9"/>
        <v>...</v>
      </c>
      <c r="AF20" s="12" t="str">
        <f t="shared" si="10"/>
        <v>...</v>
      </c>
      <c r="AG20" s="45" t="str">
        <f t="shared" si="11"/>
        <v>...</v>
      </c>
      <c r="AH20" s="12" t="str">
        <f>IF(AB20=0,"...",IF(AA20=0,"...",AI20/(AE20/VLOOKUP(TODAY(),CCL!$A$12:$B35,2,FALSE)-AI20)))</f>
        <v>...</v>
      </c>
      <c r="AI20" s="46" t="str">
        <f t="shared" si="12"/>
        <v>...</v>
      </c>
      <c r="AJ20" s="2"/>
      <c r="AK20" s="18" t="s">
        <v>49</v>
      </c>
      <c r="AL20" s="19">
        <f>sumifs(W2:W34,E2:E34,"ABIERTA")</f>
        <v>920436.14</v>
      </c>
      <c r="AM20" s="18" t="s">
        <v>50</v>
      </c>
      <c r="AN20" s="19">
        <f>sum(W2:W34)</f>
        <v>987712.4348</v>
      </c>
      <c r="AO20" s="2"/>
    </row>
    <row r="21" ht="24.0" customHeight="1">
      <c r="A21" s="4" t="s">
        <v>88</v>
      </c>
      <c r="B21" s="4" t="s">
        <v>115</v>
      </c>
      <c r="C21" s="5" t="str">
        <f>IFERROR(__xludf.DUMMYFUNCTION("if(B21=0,""..."", sparkline(query(GOOGLEFINANCE(""BCBA:""&amp;B21,""price"",today()-$AM$34,today()),""select Col2"",0),{""charttype"",$AM$33}))"),"")</f>
        <v/>
      </c>
      <c r="D21" s="17">
        <v>45266.0</v>
      </c>
      <c r="E21" s="6" t="s">
        <v>24</v>
      </c>
      <c r="F21" s="7"/>
      <c r="G21" s="8">
        <f t="shared" si="1"/>
        <v>851</v>
      </c>
      <c r="H21" s="6">
        <v>48.0</v>
      </c>
      <c r="I21" s="44">
        <v>2055.0</v>
      </c>
      <c r="J21" s="44"/>
      <c r="K21" s="45">
        <f t="shared" si="2"/>
        <v>98640</v>
      </c>
      <c r="L21" s="45"/>
      <c r="M21" s="47">
        <f>IF(B21=0,"...",K21/VLOOKUP(D21,CCL!$A$12:$B35,2,FALSE))</f>
        <v>105.2227343</v>
      </c>
      <c r="N21" s="45">
        <f>IFERROR(__xludf.DUMMYFUNCTION("if(B21=0,""..."",if(E21=""CERRADA"",""Valor Venta"", GOOGLEFINANCE(""BCBA:""&amp;B21)))"),7615.0)</f>
        <v>7615</v>
      </c>
      <c r="O21" s="45">
        <f>if(B21=0,"...",N21*(1-VLOOKUP(A21,Config!$B$3:$C$22,2,FALSE)))</f>
        <v>7561.695</v>
      </c>
      <c r="P21" s="45">
        <f t="shared" si="3"/>
        <v>362961.36</v>
      </c>
      <c r="Q21" s="45"/>
      <c r="R21" s="45"/>
      <c r="S21" s="45"/>
      <c r="T21" s="12">
        <f>IFERROR(__xludf.DUMMYFUNCTION("if(B21=0,""..."",GOOGLEFINANCE(B21,""changepct"")/100)"),-0.0054)</f>
        <v>-0.0054</v>
      </c>
      <c r="U21" s="10">
        <f>IFERROR(__xludf.DUMMYFUNCTION("if(B21=0,""..."",GOOGLEFINANCE(B21,""change"")*H21)"),-77.76)</f>
        <v>-77.76</v>
      </c>
      <c r="V21" s="12">
        <f t="shared" si="4"/>
        <v>2.679656934</v>
      </c>
      <c r="W21" s="47">
        <f t="shared" si="5"/>
        <v>264321.36</v>
      </c>
      <c r="X21" s="12">
        <f>IF(B21=0,"...",(P21/IF(E21="ABIERTA",CCL!$K$10,VLOOKUP(F21,CCL!$A$12:$B35,2,FALSE))/(K21/VLOOKUP(D21,CCL!$A$12:$B35,2,FALSE))-1))</f>
        <v>1.30518868</v>
      </c>
      <c r="Y21" s="47" t="str">
        <f>IF(B21=0,"...",P21/VLOOKUP(IF(E21="ABIERTA",TODAY(),F21),CCL!$A$12:$B$773,2,FALSE)-K21/VLOOKUP(D21,CCL!$A$12:$B35,2,FALSE))</f>
        <v>#N/A</v>
      </c>
      <c r="Z21" s="2"/>
      <c r="AA21" s="10"/>
      <c r="AB21" s="59" t="str">
        <f t="shared" si="6"/>
        <v>...</v>
      </c>
      <c r="AC21" s="12" t="str">
        <f t="shared" si="7"/>
        <v/>
      </c>
      <c r="AD21" s="45" t="str">
        <f t="shared" si="8"/>
        <v>...</v>
      </c>
      <c r="AE21" s="45" t="str">
        <f t="shared" si="9"/>
        <v>...</v>
      </c>
      <c r="AF21" s="12" t="str">
        <f t="shared" si="10"/>
        <v>...</v>
      </c>
      <c r="AG21" s="45" t="str">
        <f t="shared" si="11"/>
        <v>...</v>
      </c>
      <c r="AH21" s="12" t="str">
        <f>IF(AB21=0,"...",IF(AA21=0,"...",AI21/(AE21/VLOOKUP(TODAY(),CCL!$A$12:$B35,2,FALSE)-AI21)))</f>
        <v>...</v>
      </c>
      <c r="AI21" s="46" t="str">
        <f t="shared" si="12"/>
        <v>...</v>
      </c>
      <c r="AJ21" s="2"/>
      <c r="AO21" s="2"/>
    </row>
    <row r="22" ht="24.0" customHeight="1">
      <c r="A22" s="4" t="s">
        <v>88</v>
      </c>
      <c r="B22" s="4" t="s">
        <v>120</v>
      </c>
      <c r="C22" s="5" t="str">
        <f>IFERROR(__xludf.DUMMYFUNCTION("if(B22=0,""..."", sparkline(query(GOOGLEFINANCE(""BCBA:""&amp;B22,""price"",today()-$AM$34,today()),""select Col2"",0),{""charttype"",$AM$33}))"),"")</f>
        <v/>
      </c>
      <c r="D22" s="17">
        <v>45282.0</v>
      </c>
      <c r="E22" s="6" t="s">
        <v>24</v>
      </c>
      <c r="F22" s="7"/>
      <c r="G22" s="8">
        <f t="shared" si="1"/>
        <v>835</v>
      </c>
      <c r="H22" s="6">
        <v>4.0</v>
      </c>
      <c r="I22" s="44">
        <v>24700.0</v>
      </c>
      <c r="J22" s="44"/>
      <c r="K22" s="45">
        <f t="shared" si="2"/>
        <v>98800</v>
      </c>
      <c r="L22" s="45"/>
      <c r="M22" s="47">
        <f>IF(B22=0,"...",K22/VLOOKUP(D22,CCL!$A$12:$B35,2,FALSE))</f>
        <v>104.9144119</v>
      </c>
      <c r="N22" s="45">
        <f>IFERROR(__xludf.DUMMYFUNCTION("if(B22=0,""..."",if(E22=""CERRADA"",""Valor Venta"", GOOGLEFINANCE(""BCBA:""&amp;B22)))"),21350.0)</f>
        <v>21350</v>
      </c>
      <c r="O22" s="45">
        <f>if(B22=0,"...",N22*(1-VLOOKUP(A22,Config!$B$3:$C$22,2,FALSE)))</f>
        <v>21200.55</v>
      </c>
      <c r="P22" s="45">
        <f t="shared" si="3"/>
        <v>84802.2</v>
      </c>
      <c r="Q22" s="45"/>
      <c r="R22" s="45"/>
      <c r="S22" s="45"/>
      <c r="T22" s="12">
        <f>IFERROR(__xludf.DUMMYFUNCTION("if(B22=0,""..."",GOOGLEFINANCE(B22,""changepct"")/100)"),-0.002)</f>
        <v>-0.002</v>
      </c>
      <c r="U22" s="10">
        <f>IFERROR(__xludf.DUMMYFUNCTION("if(B22=0,""..."",GOOGLEFINANCE(B22,""change"")*H22)"),-13.8)</f>
        <v>-13.8</v>
      </c>
      <c r="V22" s="12">
        <f t="shared" si="4"/>
        <v>-0.1416781377</v>
      </c>
      <c r="W22" s="47">
        <f t="shared" si="5"/>
        <v>-13997.8</v>
      </c>
      <c r="X22" s="12">
        <f>IF(B22=0,"...",(P22/IF(E22="ABIERTA",CCL!$K$10,VLOOKUP(F22,CCL!$A$12:$B35,2,FALSE))/(K22/VLOOKUP(D22,CCL!$A$12:$B35,2,FALSE))-1))</f>
        <v>-0.4598335131</v>
      </c>
      <c r="Y22" s="47" t="str">
        <f>IF(B22=0,"...",P22/VLOOKUP(IF(E22="ABIERTA",TODAY(),F22),CCL!$A$12:$B$773,2,FALSE)-K22/VLOOKUP(D22,CCL!$A$12:$B35,2,FALSE))</f>
        <v>#N/A</v>
      </c>
      <c r="Z22" s="2"/>
      <c r="AA22" s="10"/>
      <c r="AB22" s="59" t="str">
        <f t="shared" si="6"/>
        <v>...</v>
      </c>
      <c r="AC22" s="12" t="str">
        <f t="shared" si="7"/>
        <v/>
      </c>
      <c r="AD22" s="45" t="str">
        <f t="shared" si="8"/>
        <v>...</v>
      </c>
      <c r="AE22" s="45" t="str">
        <f t="shared" si="9"/>
        <v>...</v>
      </c>
      <c r="AF22" s="12" t="str">
        <f t="shared" si="10"/>
        <v>...</v>
      </c>
      <c r="AG22" s="45" t="str">
        <f t="shared" si="11"/>
        <v>...</v>
      </c>
      <c r="AH22" s="12" t="str">
        <f>IF(AB22=0,"...",IF(AA22=0,"...",AI22/(AE22/VLOOKUP(TODAY(),CCL!$A$12:$B35,2,FALSE)-AI22)))</f>
        <v>...</v>
      </c>
      <c r="AI22" s="46" t="str">
        <f t="shared" si="12"/>
        <v>...</v>
      </c>
      <c r="AJ22" s="2"/>
      <c r="AK22" s="18" t="s">
        <v>53</v>
      </c>
      <c r="AL22" s="22">
        <f>AL20/(AL18-AL20)</f>
        <v>1.075249486</v>
      </c>
      <c r="AM22" s="18" t="s">
        <v>53</v>
      </c>
      <c r="AN22" s="22">
        <f>AN20/(AN18-AN20)</f>
        <v>0.8685939014</v>
      </c>
      <c r="AO22" s="2"/>
    </row>
    <row r="23" ht="24.0" customHeight="1">
      <c r="A23" s="4" t="s">
        <v>88</v>
      </c>
      <c r="B23" s="4" t="s">
        <v>139</v>
      </c>
      <c r="C23" s="5" t="str">
        <f>IFERROR(__xludf.DUMMYFUNCTION("if(B23=0,""..."", sparkline(query(GOOGLEFINANCE(""BCBA:""&amp;B23,""price"",today()-$AM$34,today()),""select Col2"",0),{""charttype"",$AM$33}))"),"")</f>
        <v/>
      </c>
      <c r="D23" s="17">
        <v>45282.0</v>
      </c>
      <c r="E23" s="6" t="s">
        <v>24</v>
      </c>
      <c r="F23" s="7"/>
      <c r="G23" s="8">
        <f t="shared" si="1"/>
        <v>835</v>
      </c>
      <c r="H23" s="6">
        <v>6.0</v>
      </c>
      <c r="I23" s="44">
        <v>15978.0</v>
      </c>
      <c r="J23" s="44"/>
      <c r="K23" s="45">
        <f t="shared" si="2"/>
        <v>95868</v>
      </c>
      <c r="L23" s="45"/>
      <c r="M23" s="47">
        <f>IF(B23=0,"...",K23/VLOOKUP(D23,CCL!$A$12:$B35,2,FALSE))</f>
        <v>101.8009599</v>
      </c>
      <c r="N23" s="45">
        <f>IFERROR(__xludf.DUMMYFUNCTION("if(B23=0,""..."",if(E23=""CERRADA"",""Valor Venta"", GOOGLEFINANCE(""BCBA:""&amp;B23)))"),37840.0)</f>
        <v>37840</v>
      </c>
      <c r="O23" s="45">
        <f>if(B23=0,"...",N23*(1-VLOOKUP(A23,Config!$B$3:$C$22,2,FALSE)))</f>
        <v>37575.12</v>
      </c>
      <c r="P23" s="45">
        <f t="shared" si="3"/>
        <v>225450.72</v>
      </c>
      <c r="Q23" s="45"/>
      <c r="R23" s="45"/>
      <c r="S23" s="45"/>
      <c r="T23" s="12">
        <f>IFERROR(__xludf.DUMMYFUNCTION("if(B23=0,""..."",GOOGLEFINANCE(B23,""changepct"")/100)"),-0.0542)</f>
        <v>-0.0542</v>
      </c>
      <c r="U23" s="10">
        <f>IFERROR(__xludf.DUMMYFUNCTION("if(B23=0,""..."",GOOGLEFINANCE(B23,""change"")*H23)"),-124.02000000000001)</f>
        <v>-124.02</v>
      </c>
      <c r="V23" s="12">
        <f t="shared" si="4"/>
        <v>1.351678558</v>
      </c>
      <c r="W23" s="47">
        <f t="shared" si="5"/>
        <v>129582.72</v>
      </c>
      <c r="X23" s="12">
        <f>IF(B23=0,"...",(P23/IF(E23="ABIERTA",CCL!$K$10,VLOOKUP(F23,CCL!$A$12:$B35,2,FALSE))/(K23/VLOOKUP(D23,CCL!$A$12:$B35,2,FALSE))-1))</f>
        <v>0.4799785497</v>
      </c>
      <c r="Y23" s="47" t="str">
        <f>IF(B23=0,"...",P23/VLOOKUP(IF(E23="ABIERTA",TODAY(),F23),CCL!$A$12:$B$773,2,FALSE)-K23/VLOOKUP(D23,CCL!$A$12:$B35,2,FALSE))</f>
        <v>#N/A</v>
      </c>
      <c r="Z23" s="2"/>
      <c r="AA23" s="10"/>
      <c r="AB23" s="59" t="str">
        <f t="shared" si="6"/>
        <v>...</v>
      </c>
      <c r="AC23" s="12" t="str">
        <f t="shared" si="7"/>
        <v/>
      </c>
      <c r="AD23" s="45" t="str">
        <f t="shared" si="8"/>
        <v>...</v>
      </c>
      <c r="AE23" s="45" t="str">
        <f t="shared" si="9"/>
        <v>...</v>
      </c>
      <c r="AF23" s="12" t="str">
        <f t="shared" si="10"/>
        <v>...</v>
      </c>
      <c r="AG23" s="45" t="str">
        <f t="shared" si="11"/>
        <v>...</v>
      </c>
      <c r="AH23" s="12" t="str">
        <f>IF(AB23=0,"...",IF(AA23=0,"...",AI23/(AE23/VLOOKUP(TODAY(),CCL!$A$12:$B35,2,FALSE)-AI23)))</f>
        <v>...</v>
      </c>
      <c r="AI23" s="46" t="str">
        <f t="shared" si="12"/>
        <v>...</v>
      </c>
      <c r="AJ23" s="2"/>
      <c r="AO23" s="2"/>
    </row>
    <row r="24" ht="24.0" customHeight="1">
      <c r="A24" s="4" t="s">
        <v>88</v>
      </c>
      <c r="B24" s="4" t="s">
        <v>115</v>
      </c>
      <c r="C24" s="5" t="str">
        <f>IFERROR(__xludf.DUMMYFUNCTION("if(B24=0,""..."", sparkline(query(GOOGLEFINANCE(""BCBA:""&amp;B24,""price"",today()-$AM$34,today()),""select Col2"",0),{""charttype"",$AM$33}))"),"")</f>
        <v/>
      </c>
      <c r="D24" s="17">
        <v>45282.0</v>
      </c>
      <c r="E24" s="6" t="s">
        <v>24</v>
      </c>
      <c r="F24" s="7"/>
      <c r="G24" s="8">
        <f t="shared" si="1"/>
        <v>835</v>
      </c>
      <c r="H24" s="6">
        <v>32.0</v>
      </c>
      <c r="I24" s="44">
        <v>2316.0</v>
      </c>
      <c r="J24" s="44"/>
      <c r="K24" s="45">
        <f t="shared" si="2"/>
        <v>74112</v>
      </c>
      <c r="L24" s="45"/>
      <c r="M24" s="47">
        <f>IF(B24=0,"...",K24/VLOOKUP(D24,CCL!$A$12:$B35,2,FALSE))</f>
        <v>78.69855159</v>
      </c>
      <c r="N24" s="45">
        <f>IFERROR(__xludf.DUMMYFUNCTION("if(B24=0,""..."",if(E24=""CERRADA"",""Valor Venta"", GOOGLEFINANCE(""BCBA:""&amp;B24)))"),7615.0)</f>
        <v>7615</v>
      </c>
      <c r="O24" s="45">
        <f>if(B24=0,"...",N24*(1-VLOOKUP(A24,Config!$B$3:$C$22,2,FALSE)))</f>
        <v>7561.695</v>
      </c>
      <c r="P24" s="45">
        <f t="shared" si="3"/>
        <v>241974.24</v>
      </c>
      <c r="Q24" s="45"/>
      <c r="R24" s="45"/>
      <c r="S24" s="45"/>
      <c r="T24" s="12">
        <f>IFERROR(__xludf.DUMMYFUNCTION("if(B24=0,""..."",GOOGLEFINANCE(B24,""changepct"")/100)"),-0.0054)</f>
        <v>-0.0054</v>
      </c>
      <c r="U24" s="10">
        <f>IFERROR(__xludf.DUMMYFUNCTION("if(B24=0,""..."",GOOGLEFINANCE(B24,""change"")*H24)"),-51.84)</f>
        <v>-51.84</v>
      </c>
      <c r="V24" s="12">
        <f t="shared" si="4"/>
        <v>2.26498057</v>
      </c>
      <c r="W24" s="47">
        <f t="shared" si="5"/>
        <v>167862.24</v>
      </c>
      <c r="X24" s="12">
        <f>IF(B24=0,"...",(P24/IF(E24="ABIERTA",CCL!$K$10,VLOOKUP(F24,CCL!$A$12:$B35,2,FALSE))/(K24/VLOOKUP(D24,CCL!$A$12:$B35,2,FALSE))-1))</f>
        <v>1.054745617</v>
      </c>
      <c r="Y24" s="47" t="str">
        <f>IF(B24=0,"...",P24/VLOOKUP(IF(E24="ABIERTA",TODAY(),F24),CCL!$A$12:$B$773,2,FALSE)-K24/VLOOKUP(D24,CCL!$A$12:$B35,2,FALSE))</f>
        <v>#N/A</v>
      </c>
      <c r="Z24" s="2"/>
      <c r="AA24" s="10"/>
      <c r="AB24" s="59" t="str">
        <f t="shared" si="6"/>
        <v>...</v>
      </c>
      <c r="AC24" s="12" t="str">
        <f t="shared" si="7"/>
        <v/>
      </c>
      <c r="AD24" s="45" t="str">
        <f t="shared" si="8"/>
        <v>...</v>
      </c>
      <c r="AE24" s="45" t="str">
        <f t="shared" si="9"/>
        <v>...</v>
      </c>
      <c r="AF24" s="12" t="str">
        <f t="shared" si="10"/>
        <v>...</v>
      </c>
      <c r="AG24" s="45" t="str">
        <f t="shared" si="11"/>
        <v>...</v>
      </c>
      <c r="AH24" s="12" t="str">
        <f>IF(AB24=0,"...",IF(AA24=0,"...",AI24/(AE24/VLOOKUP(TODAY(),CCL!$A$12:$B35,2,FALSE)-AI24)))</f>
        <v>...</v>
      </c>
      <c r="AI24" s="46" t="str">
        <f t="shared" si="12"/>
        <v>...</v>
      </c>
      <c r="AJ24" s="2"/>
      <c r="AK24" s="2"/>
      <c r="AL24" s="2"/>
      <c r="AM24" s="2"/>
      <c r="AN24" s="2"/>
      <c r="AO24" s="2"/>
    </row>
    <row r="25" ht="24.0" customHeight="1">
      <c r="A25" s="4" t="s">
        <v>88</v>
      </c>
      <c r="B25" s="4" t="s">
        <v>112</v>
      </c>
      <c r="C25" s="5" t="str">
        <f>IFERROR(__xludf.DUMMYFUNCTION("if(B25=0,""..."", sparkline(query(GOOGLEFINANCE(""BCBA:""&amp;B25,""price"",today()-$AM$34,today()),""select Col2"",0),{""charttype"",$AM$33}))"),"")</f>
        <v/>
      </c>
      <c r="D25" s="17">
        <v>45282.0</v>
      </c>
      <c r="E25" s="6" t="s">
        <v>24</v>
      </c>
      <c r="F25" s="7"/>
      <c r="G25" s="8">
        <f t="shared" si="1"/>
        <v>835</v>
      </c>
      <c r="H25" s="6">
        <v>1.0</v>
      </c>
      <c r="I25" s="44">
        <v>22300.0</v>
      </c>
      <c r="J25" s="44"/>
      <c r="K25" s="45">
        <f t="shared" si="2"/>
        <v>22300</v>
      </c>
      <c r="L25" s="45"/>
      <c r="M25" s="47">
        <f>IF(B25=0,"...",K25/VLOOKUP(D25,CCL!$A$12:$B35,2,FALSE))</f>
        <v>23.68007476</v>
      </c>
      <c r="N25" s="45">
        <f>IFERROR(__xludf.DUMMYFUNCTION("if(B25=0,""..."",if(E25=""CERRADA"",""Valor Venta"", GOOGLEFINANCE(""BCBA:""&amp;B25)))"),48760.0)</f>
        <v>48760</v>
      </c>
      <c r="O25" s="45">
        <f>if(B25=0,"...",N25*(1-VLOOKUP(A25,Config!$B$3:$C$22,2,FALSE)))</f>
        <v>48418.68</v>
      </c>
      <c r="P25" s="45">
        <f t="shared" si="3"/>
        <v>48418.68</v>
      </c>
      <c r="Q25" s="45"/>
      <c r="R25" s="45"/>
      <c r="S25" s="45"/>
      <c r="T25" s="12">
        <f>IFERROR(__xludf.DUMMYFUNCTION("if(B25=0,""..."",GOOGLEFINANCE(B25,""changepct"")/100)"),9.0E-4)</f>
        <v>0.0009</v>
      </c>
      <c r="U25" s="10">
        <f>IFERROR(__xludf.DUMMYFUNCTION("if(B25=0,""..."",GOOGLEFINANCE(B25,""change"")*H25)"),0.59)</f>
        <v>0.59</v>
      </c>
      <c r="V25" s="12">
        <f t="shared" si="4"/>
        <v>1.171241256</v>
      </c>
      <c r="W25" s="47">
        <f t="shared" si="5"/>
        <v>26118.68</v>
      </c>
      <c r="X25" s="12">
        <f>IF(B25=0,"...",(P25/IF(E25="ABIERTA",CCL!$K$10,VLOOKUP(F25,CCL!$A$12:$B35,2,FALSE))/(K25/VLOOKUP(D25,CCL!$A$12:$B35,2,FALSE))-1))</f>
        <v>0.3664241967</v>
      </c>
      <c r="Y25" s="47" t="str">
        <f>IF(B25=0,"...",P25/VLOOKUP(IF(E25="ABIERTA",TODAY(),F25),CCL!$A$12:$B$773,2,FALSE)-K25/VLOOKUP(D25,CCL!$A$12:$B35,2,FALSE))</f>
        <v>#N/A</v>
      </c>
      <c r="Z25" s="2"/>
      <c r="AA25" s="10"/>
      <c r="AB25" s="59" t="str">
        <f t="shared" si="6"/>
        <v>...</v>
      </c>
      <c r="AC25" s="12" t="str">
        <f t="shared" si="7"/>
        <v/>
      </c>
      <c r="AD25" s="45" t="str">
        <f t="shared" si="8"/>
        <v>...</v>
      </c>
      <c r="AE25" s="45" t="str">
        <f t="shared" si="9"/>
        <v>...</v>
      </c>
      <c r="AF25" s="12" t="str">
        <f t="shared" si="10"/>
        <v>...</v>
      </c>
      <c r="AG25" s="45" t="str">
        <f t="shared" si="11"/>
        <v>...</v>
      </c>
      <c r="AH25" s="12" t="str">
        <f>IF(AB25=0,"...",IF(AA25=0,"...",AI25/(AE25/VLOOKUP(TODAY(),CCL!$A$12:$B35,2,FALSE)-AI25)))</f>
        <v>...</v>
      </c>
      <c r="AI25" s="46" t="str">
        <f t="shared" si="12"/>
        <v>...</v>
      </c>
      <c r="AJ25" s="2"/>
      <c r="AK25" s="18" t="s">
        <v>126</v>
      </c>
      <c r="AL25" s="19" t="str">
        <f>AL18/VLOOKUP(TODAY(),CCL!$A$12:$B35,2,FALSE)</f>
        <v>#N/A</v>
      </c>
      <c r="AM25" s="18" t="s">
        <v>143</v>
      </c>
      <c r="AN25" s="19" t="str">
        <f>sum(M2:M35)</f>
        <v>#N/A</v>
      </c>
      <c r="AO25" s="2"/>
    </row>
    <row r="26" ht="24.0" customHeight="1">
      <c r="A26" s="4" t="s">
        <v>88</v>
      </c>
      <c r="B26" s="4" t="s">
        <v>119</v>
      </c>
      <c r="C26" s="5" t="str">
        <f>IFERROR(__xludf.DUMMYFUNCTION("if(B26=0,""..."", sparkline(query(GOOGLEFINANCE(""BCBA:""&amp;B26,""price"",today()-$AM$34,today()),""select Col2"",0),{""charttype"",$AM$33}))"),"")</f>
        <v/>
      </c>
      <c r="D26" s="17">
        <v>45282.0</v>
      </c>
      <c r="E26" s="6" t="s">
        <v>24</v>
      </c>
      <c r="F26" s="7"/>
      <c r="G26" s="8">
        <f t="shared" si="1"/>
        <v>835</v>
      </c>
      <c r="H26" s="6">
        <v>2.0</v>
      </c>
      <c r="I26" s="44">
        <v>18300.0</v>
      </c>
      <c r="J26" s="44"/>
      <c r="K26" s="45">
        <f t="shared" si="2"/>
        <v>36600</v>
      </c>
      <c r="L26" s="45"/>
      <c r="M26" s="47">
        <f>IF(B26=0,"...",K26/VLOOKUP(D26,CCL!$A$12:$B35,2,FALSE))</f>
        <v>38.86505543</v>
      </c>
      <c r="N26" s="45">
        <f>IFERROR(__xludf.DUMMYFUNCTION("if(B26=0,""..."",if(E26=""CERRADA"",""Valor Venta"", GOOGLEFINANCE(""BCBA:""&amp;B26)))"),18990.0)</f>
        <v>18990</v>
      </c>
      <c r="O26" s="45">
        <f>if(B26=0,"...",N26*(1-VLOOKUP(A26,Config!$B$3:$C$22,2,FALSE)))</f>
        <v>18857.07</v>
      </c>
      <c r="P26" s="45">
        <f t="shared" si="3"/>
        <v>37714.14</v>
      </c>
      <c r="Q26" s="45"/>
      <c r="R26" s="45"/>
      <c r="S26" s="45"/>
      <c r="T26" s="12">
        <f>IFERROR(__xludf.DUMMYFUNCTION("if(B26=0,""..."",GOOGLEFINANCE(B26,""changepct"")/100)"),0.0011)</f>
        <v>0.0011</v>
      </c>
      <c r="U26" s="10">
        <f>IFERROR(__xludf.DUMMYFUNCTION("if(B26=0,""..."",GOOGLEFINANCE(B26,""change"")*H26)"),0.58)</f>
        <v>0.58</v>
      </c>
      <c r="V26" s="12">
        <f t="shared" si="4"/>
        <v>0.03044098361</v>
      </c>
      <c r="W26" s="47">
        <f t="shared" si="5"/>
        <v>1114.14</v>
      </c>
      <c r="X26" s="12">
        <f>IF(B26=0,"...",(P26/IF(E26="ABIERTA",CCL!$K$10,VLOOKUP(F26,CCL!$A$12:$B35,2,FALSE))/(K26/VLOOKUP(D26,CCL!$A$12:$B35,2,FALSE))-1))</f>
        <v>-0.3515140293</v>
      </c>
      <c r="Y26" s="47" t="str">
        <f>IF(B26=0,"...",P26/VLOOKUP(IF(E26="ABIERTA",TODAY(),F26),CCL!$A$12:$B$773,2,FALSE)-K26/VLOOKUP(D26,CCL!$A$12:$B35,2,FALSE))</f>
        <v>#N/A</v>
      </c>
      <c r="Z26" s="2"/>
      <c r="AA26" s="10"/>
      <c r="AB26" s="59" t="str">
        <f t="shared" si="6"/>
        <v>...</v>
      </c>
      <c r="AC26" s="12" t="str">
        <f t="shared" si="7"/>
        <v/>
      </c>
      <c r="AD26" s="45" t="str">
        <f t="shared" si="8"/>
        <v>...</v>
      </c>
      <c r="AE26" s="45" t="str">
        <f t="shared" si="9"/>
        <v>...</v>
      </c>
      <c r="AF26" s="12" t="str">
        <f t="shared" si="10"/>
        <v>...</v>
      </c>
      <c r="AG26" s="45" t="str">
        <f t="shared" si="11"/>
        <v>...</v>
      </c>
      <c r="AH26" s="12" t="str">
        <f>IF(AB26=0,"...",IF(AA26=0,"...",AI26/(AE26/VLOOKUP(TODAY(),CCL!$A$12:$B35,2,FALSE)-AI26)))</f>
        <v>...</v>
      </c>
      <c r="AI26" s="46" t="str">
        <f t="shared" si="12"/>
        <v>...</v>
      </c>
      <c r="AJ26" s="2"/>
      <c r="AO26" s="2"/>
    </row>
    <row r="27" ht="24.0" customHeight="1">
      <c r="A27" s="4" t="s">
        <v>88</v>
      </c>
      <c r="B27" s="4" t="s">
        <v>110</v>
      </c>
      <c r="C27" s="5" t="str">
        <f>IFERROR(__xludf.DUMMYFUNCTION("if(B27=0,""..."", sparkline(query(GOOGLEFINANCE(""BCBA:""&amp;B27,""price"",today()-$AM$34,today()),""select Col2"",0),{""charttype"",$AM$33}))"),"")</f>
        <v/>
      </c>
      <c r="D27" s="17">
        <v>45282.0</v>
      </c>
      <c r="E27" s="6" t="s">
        <v>24</v>
      </c>
      <c r="F27" s="7"/>
      <c r="G27" s="8">
        <f t="shared" si="1"/>
        <v>835</v>
      </c>
      <c r="H27" s="6">
        <v>6.0</v>
      </c>
      <c r="I27" s="44">
        <v>11720.0</v>
      </c>
      <c r="J27" s="44"/>
      <c r="K27" s="45">
        <f t="shared" si="2"/>
        <v>70320</v>
      </c>
      <c r="L27" s="45"/>
      <c r="M27" s="47">
        <f>IF(B27=0,"...",K27/VLOOKUP(D27,CCL!$A$12:$B35,2,FALSE))</f>
        <v>74.67187699</v>
      </c>
      <c r="N27" s="45">
        <f>IFERROR(__xludf.DUMMYFUNCTION("if(B27=0,""..."",if(E27=""CERRADA"",""Valor Venta"", GOOGLEFINANCE(""BCBA:""&amp;B27)))"),18330.0)</f>
        <v>18330</v>
      </c>
      <c r="O27" s="45">
        <f>if(B27=0,"...",N27*(1-VLOOKUP(A27,Config!$B$3:$C$22,2,FALSE)))</f>
        <v>18201.69</v>
      </c>
      <c r="P27" s="45">
        <f t="shared" si="3"/>
        <v>109210.14</v>
      </c>
      <c r="Q27" s="45"/>
      <c r="R27" s="45"/>
      <c r="S27" s="45"/>
      <c r="T27" s="12">
        <f>IFERROR(__xludf.DUMMYFUNCTION("if(B27=0,""..."",GOOGLEFINANCE(B27,""changepct"")/100)"),0.0111)</f>
        <v>0.0111</v>
      </c>
      <c r="U27" s="10">
        <f>IFERROR(__xludf.DUMMYFUNCTION("if(B27=0,""..."",GOOGLEFINANCE(B27,""change"")*H27)"),24.54)</f>
        <v>24.54</v>
      </c>
      <c r="V27" s="12">
        <f t="shared" si="4"/>
        <v>0.5530452218</v>
      </c>
      <c r="W27" s="47">
        <f t="shared" si="5"/>
        <v>38890.14</v>
      </c>
      <c r="X27" s="12">
        <f>IF(B27=0,"...",(P27/IF(E27="ABIERTA",CCL!$K$10,VLOOKUP(F27,CCL!$A$12:$B35,2,FALSE))/(K27/VLOOKUP(D27,CCL!$A$12:$B35,2,FALSE))-1))</f>
        <v>-0.02262424119</v>
      </c>
      <c r="Y27" s="47" t="str">
        <f>IF(B27=0,"...",P27/VLOOKUP(IF(E27="ABIERTA",TODAY(),F27),CCL!$A$12:$B$773,2,FALSE)-K27/VLOOKUP(D27,CCL!$A$12:$B35,2,FALSE))</f>
        <v>#N/A</v>
      </c>
      <c r="Z27" s="2"/>
      <c r="AA27" s="10"/>
      <c r="AB27" s="59" t="str">
        <f t="shared" si="6"/>
        <v>...</v>
      </c>
      <c r="AC27" s="12" t="str">
        <f t="shared" si="7"/>
        <v/>
      </c>
      <c r="AD27" s="45" t="str">
        <f t="shared" si="8"/>
        <v>...</v>
      </c>
      <c r="AE27" s="45" t="str">
        <f t="shared" si="9"/>
        <v>...</v>
      </c>
      <c r="AF27" s="12" t="str">
        <f t="shared" si="10"/>
        <v>...</v>
      </c>
      <c r="AG27" s="45" t="str">
        <f t="shared" si="11"/>
        <v>...</v>
      </c>
      <c r="AH27" s="12" t="str">
        <f>IF(AB27=0,"...",IF(AA27=0,"...",AI27/(AE27/VLOOKUP(TODAY(),CCL!$A$12:$B35,2,FALSE)-AI27)))</f>
        <v>...</v>
      </c>
      <c r="AI27" s="46" t="str">
        <f t="shared" si="12"/>
        <v>...</v>
      </c>
      <c r="AJ27" s="2"/>
      <c r="AK27" s="18" t="s">
        <v>128</v>
      </c>
      <c r="AL27" s="19" t="str">
        <f>sumifs(Y2:Y35,E2:E35,"ABIERTA")</f>
        <v>#N/A</v>
      </c>
      <c r="AM27" s="18" t="s">
        <v>129</v>
      </c>
      <c r="AN27" s="19" t="str">
        <f>sum(Y2:Y35)</f>
        <v>#N/A</v>
      </c>
      <c r="AO27" s="2"/>
    </row>
    <row r="28" ht="24.0" customHeight="1">
      <c r="A28" s="4"/>
      <c r="B28" s="4"/>
      <c r="C28" s="5" t="str">
        <f>IFERROR(__xludf.DUMMYFUNCTION("if(B28=0,""..."", sparkline(query(GOOGLEFINANCE(""BCBA:""&amp;B28,""price"",today()-$AM$34,today()),""select Col2"",0),{""charttype"",$AM$33}))"),"...")</f>
        <v>...</v>
      </c>
      <c r="D28" s="17"/>
      <c r="E28" s="31"/>
      <c r="F28" s="7"/>
      <c r="G28" s="8" t="str">
        <f t="shared" si="1"/>
        <v>...</v>
      </c>
      <c r="H28" s="31"/>
      <c r="I28" s="52"/>
      <c r="J28" s="52"/>
      <c r="K28" s="45" t="str">
        <f t="shared" si="2"/>
        <v>...</v>
      </c>
      <c r="L28" s="45"/>
      <c r="M28" s="47" t="str">
        <f>IF(B28=0,"...",K28/VLOOKUP(D28,CCL!$A$12:$B35,2,FALSE))</f>
        <v>...</v>
      </c>
      <c r="N28" s="45" t="str">
        <f>IFERROR(__xludf.DUMMYFUNCTION("if(B28=0,""..."",if(E28=""CERRADA"",""Valor Venta"", GOOGLEFINANCE(""BCBA:""&amp;B28)))"),"...")</f>
        <v>...</v>
      </c>
      <c r="O28" s="45" t="str">
        <f>if(B28=0,"...",N28*(1-VLOOKUP(A28,Config!$B$3:$C$22,2,FALSE)))</f>
        <v>...</v>
      </c>
      <c r="P28" s="45" t="str">
        <f t="shared" si="3"/>
        <v>...</v>
      </c>
      <c r="Q28" s="45"/>
      <c r="R28" s="45"/>
      <c r="S28" s="45"/>
      <c r="T28" s="12" t="str">
        <f>IFERROR(__xludf.DUMMYFUNCTION("if(B28=0,""..."",GOOGLEFINANCE(B28,""changepct"")/100)"),"...")</f>
        <v>...</v>
      </c>
      <c r="U28" s="10" t="str">
        <f>IFERROR(__xludf.DUMMYFUNCTION("if(B28=0,""..."",GOOGLEFINANCE(B28,""change"")*H28)"),"...")</f>
        <v>...</v>
      </c>
      <c r="V28" s="12" t="str">
        <f t="shared" si="4"/>
        <v>...</v>
      </c>
      <c r="W28" s="47" t="str">
        <f t="shared" si="5"/>
        <v>...</v>
      </c>
      <c r="X28" s="12" t="str">
        <f>IF(B28=0,"...",(P28/VLOOKUP(IF(E28="ABIERTA",TODAY(),F28),CCL!$A$12:$B35,2,FALSE))/(K28/VLOOKUP(D28,CCL!$A$12:$B35,2,FALSE))-1)</f>
        <v>...</v>
      </c>
      <c r="Y28" s="47" t="str">
        <f>IF(B28=0,"...",P28/VLOOKUP(IF(E28="ABIERTA",TODAY(),F28),CCL!$A$12:$B$773,2,FALSE)-K28/VLOOKUP(D28,CCL!$A$12:$B35,2,FALSE))</f>
        <v>...</v>
      </c>
      <c r="Z28" s="2"/>
      <c r="AA28" s="10"/>
      <c r="AB28" s="59" t="str">
        <f t="shared" si="6"/>
        <v>...</v>
      </c>
      <c r="AC28" s="12" t="str">
        <f t="shared" si="7"/>
        <v/>
      </c>
      <c r="AD28" s="45" t="str">
        <f t="shared" si="8"/>
        <v>...</v>
      </c>
      <c r="AE28" s="45" t="str">
        <f t="shared" si="9"/>
        <v>...</v>
      </c>
      <c r="AF28" s="12" t="str">
        <f t="shared" si="10"/>
        <v>...</v>
      </c>
      <c r="AG28" s="45" t="str">
        <f t="shared" si="11"/>
        <v>...</v>
      </c>
      <c r="AH28" s="12" t="str">
        <f>IF(AB28=0,"...",IF(AA28=0,"...",AI28/(AE28/VLOOKUP(TODAY(),CCL!$A$12:$B35,2,FALSE)-AI28)))</f>
        <v>...</v>
      </c>
      <c r="AI28" s="46" t="str">
        <f t="shared" si="12"/>
        <v>...</v>
      </c>
      <c r="AJ28" s="2"/>
      <c r="AO28" s="2"/>
    </row>
    <row r="29" ht="24.0" customHeight="1">
      <c r="A29" s="4" t="s">
        <v>88</v>
      </c>
      <c r="B29" s="4" t="s">
        <v>119</v>
      </c>
      <c r="C29" s="5" t="str">
        <f>IFERROR(__xludf.DUMMYFUNCTION("if(B29=0,""..."", sparkline(query(GOOGLEFINANCE(""BCBA:""&amp;B29,""price"",today()-$AM$34,today()),""select Col2"",0),{""charttype"",$AM$33}))"),"")</f>
        <v/>
      </c>
      <c r="D29" s="17">
        <v>45282.0</v>
      </c>
      <c r="E29" s="6" t="s">
        <v>24</v>
      </c>
      <c r="F29" s="7"/>
      <c r="G29" s="8">
        <f t="shared" si="1"/>
        <v>835</v>
      </c>
      <c r="H29" s="6">
        <v>2.0</v>
      </c>
      <c r="I29" s="44">
        <v>18300.0</v>
      </c>
      <c r="J29" s="44">
        <v>194.5</v>
      </c>
      <c r="K29" s="45">
        <f t="shared" si="2"/>
        <v>36600</v>
      </c>
      <c r="L29" s="45"/>
      <c r="M29" s="47">
        <f>(J29/10)*H29</f>
        <v>38.9</v>
      </c>
      <c r="N29" s="45">
        <f>IFERROR(__xludf.DUMMYFUNCTION("if(B29=0,""..."",if(E29=""CERRADA"",""Valor Venta"", GOOGLEFINANCE(""BCBA:""&amp;B29)))"),18990.0)</f>
        <v>18990</v>
      </c>
      <c r="O29" s="45">
        <f>if(B29=0,"...",N29*(1-VLOOKUP(A29,Config!$B$3:$C$22,2,FALSE)))</f>
        <v>18857.07</v>
      </c>
      <c r="P29" s="45">
        <f t="shared" si="3"/>
        <v>37714.14</v>
      </c>
      <c r="Q29" s="45"/>
      <c r="R29" s="45"/>
      <c r="S29" s="45"/>
      <c r="T29" s="12">
        <f>IFERROR(__xludf.DUMMYFUNCTION("if(B29=0,""..."",GOOGLEFINANCE(B29,""changepct"")/100)"),0.0011)</f>
        <v>0.0011</v>
      </c>
      <c r="U29" s="10">
        <f>IFERROR(__xludf.DUMMYFUNCTION("if(B29=0,""..."",GOOGLEFINANCE(B29,""change"")*H29)"),0.58)</f>
        <v>0.58</v>
      </c>
      <c r="V29" s="12">
        <f t="shared" si="4"/>
        <v>0.03044098361</v>
      </c>
      <c r="W29" s="47">
        <f t="shared" si="5"/>
        <v>1114.14</v>
      </c>
      <c r="X29" s="12">
        <f>IF(B29=0,"...",(P29/CCL!$E$2)/(K29/VLOOKUP(D29,CCL!$A$12:$B35,2,FALSE))-1)</f>
        <v>-0.3432015411</v>
      </c>
      <c r="Y29" s="47">
        <f>IF(B29=0,"...",P29/CCL!$E$2-K29/VLOOKUP(D29,CCL!$A$12:$B35,2,FALSE))</f>
        <v>-13.33854692</v>
      </c>
      <c r="Z29" s="2"/>
      <c r="AA29" s="10"/>
      <c r="AB29" s="59" t="str">
        <f t="shared" si="6"/>
        <v>...</v>
      </c>
      <c r="AC29" s="12" t="str">
        <f t="shared" si="7"/>
        <v/>
      </c>
      <c r="AD29" s="45" t="str">
        <f t="shared" si="8"/>
        <v>...</v>
      </c>
      <c r="AE29" s="45" t="str">
        <f t="shared" si="9"/>
        <v>...</v>
      </c>
      <c r="AF29" s="12" t="str">
        <f t="shared" si="10"/>
        <v>...</v>
      </c>
      <c r="AG29" s="45" t="str">
        <f t="shared" si="11"/>
        <v>...</v>
      </c>
      <c r="AH29" s="12" t="str">
        <f>IF(AB29=0,"...",IF(AA29=0,"...",AI29/(AE29/VLOOKUP(TODAY(),CCL!$A$12:$B35,2,FALSE)-AI29)))</f>
        <v>...</v>
      </c>
      <c r="AI29" s="46" t="str">
        <f t="shared" si="12"/>
        <v>...</v>
      </c>
      <c r="AJ29" s="2"/>
      <c r="AK29" s="18" t="s">
        <v>132</v>
      </c>
      <c r="AL29" s="22" t="str">
        <f>AL27/(AL25-AL27)</f>
        <v>#N/A</v>
      </c>
      <c r="AM29" s="18" t="s">
        <v>132</v>
      </c>
      <c r="AN29" s="22" t="str">
        <f>AN27/(AN25-AN27)</f>
        <v>#N/A</v>
      </c>
      <c r="AO29" s="2"/>
    </row>
    <row r="30" ht="24.0" customHeight="1">
      <c r="A30" s="4" t="s">
        <v>88</v>
      </c>
      <c r="B30" s="4" t="s">
        <v>119</v>
      </c>
      <c r="C30" s="5" t="str">
        <f>IFERROR(__xludf.DUMMYFUNCTION("if(B30=0,""..."", sparkline(query(GOOGLEFINANCE(""BCBA:""&amp;B30,""price"",today()-$AM$34,today()),""select Col2"",0),{""charttype"",$AM$33}))"),"")</f>
        <v/>
      </c>
      <c r="D30" s="17">
        <v>45282.0</v>
      </c>
      <c r="E30" s="6" t="s">
        <v>24</v>
      </c>
      <c r="F30" s="7"/>
      <c r="G30" s="8">
        <f t="shared" si="1"/>
        <v>835</v>
      </c>
      <c r="H30" s="6">
        <v>2.0</v>
      </c>
      <c r="I30" s="44">
        <v>18300.0</v>
      </c>
      <c r="J30" s="44">
        <v>194.5</v>
      </c>
      <c r="K30" s="45">
        <f t="shared" si="2"/>
        <v>36600</v>
      </c>
      <c r="L30" s="45">
        <f>10*I30/J30</f>
        <v>940.874036</v>
      </c>
      <c r="M30" s="47">
        <f>K30/L30</f>
        <v>38.9</v>
      </c>
      <c r="N30" s="45">
        <f>IFERROR(__xludf.DUMMYFUNCTION("if(B30=0,""..."",if(E30=""CERRADA"",""Valor Venta"", GOOGLEFINANCE(""BCBA:""&amp;B30)))"),18990.0)</f>
        <v>18990</v>
      </c>
      <c r="O30" s="45">
        <f>if(B30=0,"...",N30*(1-VLOOKUP(A30,Config!$B$3:$C$22,2,FALSE)))</f>
        <v>18857.07</v>
      </c>
      <c r="P30" s="45">
        <f t="shared" si="3"/>
        <v>37714.14</v>
      </c>
      <c r="Q30" s="45">
        <f>IFERROR(__xludf.DUMMYFUNCTION("IF(B30=0,""..."",IF(E30=""CERRADA"",""Valor Venta"", GOOGLEFINANCE(""NASDAQ:""&amp;B30)))"),255.92)</f>
        <v>255.92</v>
      </c>
      <c r="R30" s="45">
        <f>10*N30/Q30</f>
        <v>742.028759</v>
      </c>
      <c r="S30" s="45">
        <f>P30/R30</f>
        <v>50.825712</v>
      </c>
      <c r="T30" s="12">
        <f>IFERROR(__xludf.DUMMYFUNCTION("if(B30=0,""..."",GOOGLEFINANCE(B30,""changepct"")/100)"),0.0011)</f>
        <v>0.0011</v>
      </c>
      <c r="U30" s="10">
        <f>IFERROR(__xludf.DUMMYFUNCTION("if(B30=0,""..."",GOOGLEFINANCE(B30,""change"")*H30)"),0.58)</f>
        <v>0.58</v>
      </c>
      <c r="V30" s="12">
        <f t="shared" si="4"/>
        <v>0.03044098361</v>
      </c>
      <c r="W30" s="47">
        <f t="shared" si="5"/>
        <v>1114.14</v>
      </c>
      <c r="X30" s="12">
        <f>1-(M30/S30)</f>
        <v>0.2346393495</v>
      </c>
      <c r="Y30" s="47">
        <f>M30*X30</f>
        <v>9.127470694</v>
      </c>
      <c r="Z30" s="2"/>
      <c r="AA30" s="10"/>
      <c r="AB30" s="59" t="str">
        <f t="shared" si="6"/>
        <v>...</v>
      </c>
      <c r="AC30" s="12" t="str">
        <f t="shared" si="7"/>
        <v/>
      </c>
      <c r="AD30" s="45" t="str">
        <f t="shared" si="8"/>
        <v>...</v>
      </c>
      <c r="AE30" s="45" t="str">
        <f t="shared" si="9"/>
        <v>...</v>
      </c>
      <c r="AF30" s="12" t="str">
        <f t="shared" si="10"/>
        <v>...</v>
      </c>
      <c r="AG30" s="45" t="str">
        <f t="shared" si="11"/>
        <v>...</v>
      </c>
      <c r="AH30" s="12" t="str">
        <f>IF(AB30=0,"...",IF(AA30=0,"...",AI30/(AE30/VLOOKUP(TODAY(),CCL!$A$12:$B35,2,FALSE)-AI30)))</f>
        <v>...</v>
      </c>
      <c r="AI30" s="46" t="str">
        <f t="shared" si="12"/>
        <v>...</v>
      </c>
      <c r="AJ30" s="2"/>
      <c r="AO30" s="2"/>
    </row>
    <row r="31" ht="24.0" customHeight="1">
      <c r="A31" s="4"/>
      <c r="B31" s="30"/>
      <c r="C31" s="5" t="str">
        <f>IFERROR(__xludf.DUMMYFUNCTION("if(B31=0,""..."", sparkline(query(GOOGLEFINANCE(""BCBA:""&amp;B31,""price"",today()-$AM$34,today()),""select Col2"",0),{""charttype"",$AM$33}))"),"...")</f>
        <v>...</v>
      </c>
      <c r="D31" s="17"/>
      <c r="E31" s="31"/>
      <c r="F31" s="7"/>
      <c r="G31" s="8" t="str">
        <f t="shared" si="1"/>
        <v>...</v>
      </c>
      <c r="H31" s="31"/>
      <c r="I31" s="52"/>
      <c r="J31" s="52"/>
      <c r="K31" s="45" t="str">
        <f t="shared" si="2"/>
        <v>...</v>
      </c>
      <c r="L31" s="45"/>
      <c r="M31" s="47" t="str">
        <f>IF(B31=0,"...",K31/VLOOKUP(D31,CCL!$A$12:$B35,2,FALSE))</f>
        <v>...</v>
      </c>
      <c r="N31" s="45" t="str">
        <f>IFERROR(__xludf.DUMMYFUNCTION("if(B31=0,""..."",if(E31=""CERRADA"",""Valor Venta"", GOOGLEFINANCE(""BCBA:""&amp;B31)))"),"...")</f>
        <v>...</v>
      </c>
      <c r="O31" s="45" t="str">
        <f>if(B31=0,"...",N31*(1-VLOOKUP(A31,Config!$B$3:$C$22,2,FALSE)))</f>
        <v>...</v>
      </c>
      <c r="P31" s="45" t="str">
        <f t="shared" si="3"/>
        <v>...</v>
      </c>
      <c r="Q31" s="45"/>
      <c r="R31" s="45"/>
      <c r="S31" s="45"/>
      <c r="T31" s="12" t="str">
        <f>IFERROR(__xludf.DUMMYFUNCTION("if(B31=0,""..."",GOOGLEFINANCE(B31,""changepct"")/100)"),"...")</f>
        <v>...</v>
      </c>
      <c r="U31" s="10" t="str">
        <f>IFERROR(__xludf.DUMMYFUNCTION("if(B31=0,""..."",GOOGLEFINANCE(B31,""change"")*H31)"),"...")</f>
        <v>...</v>
      </c>
      <c r="V31" s="12" t="str">
        <f t="shared" si="4"/>
        <v>...</v>
      </c>
      <c r="W31" s="47" t="str">
        <f t="shared" si="5"/>
        <v>...</v>
      </c>
      <c r="X31" s="12" t="str">
        <f>IF(B31=0,"...",(P31/VLOOKUP(IF(E31="ABIERTA",TODAY(),F31),CCL!$A$12:$B35,2,FALSE))/(K31/VLOOKUP(D31,CCL!$A$12:$B35,2,FALSE))-1)</f>
        <v>...</v>
      </c>
      <c r="Y31" s="47" t="str">
        <f>IF(B31=0,"...",P31/VLOOKUP(IF(E31="ABIERTA",TODAY(),F31),CCL!$A$12:$B$773,2,FALSE)-K31/VLOOKUP(D31,CCL!$A$12:$B35,2,FALSE))</f>
        <v>...</v>
      </c>
      <c r="Z31" s="2"/>
      <c r="AA31" s="10"/>
      <c r="AB31" s="59" t="str">
        <f t="shared" si="6"/>
        <v>...</v>
      </c>
      <c r="AC31" s="12" t="str">
        <f t="shared" si="7"/>
        <v/>
      </c>
      <c r="AD31" s="45" t="str">
        <f t="shared" si="8"/>
        <v>...</v>
      </c>
      <c r="AE31" s="45" t="str">
        <f t="shared" si="9"/>
        <v>...</v>
      </c>
      <c r="AF31" s="12" t="str">
        <f t="shared" si="10"/>
        <v>...</v>
      </c>
      <c r="AG31" s="45" t="str">
        <f t="shared" si="11"/>
        <v>...</v>
      </c>
      <c r="AH31" s="12" t="str">
        <f>IF(AB31=0,"...",IF(AA31=0,"...",AI31/(AE31/VLOOKUP(TODAY(),CCL!$A$12:$B35,2,FALSE)-AI31)))</f>
        <v>...</v>
      </c>
      <c r="AI31" s="46" t="str">
        <f t="shared" si="12"/>
        <v>...</v>
      </c>
      <c r="AJ31" s="2"/>
      <c r="AK31" s="2"/>
      <c r="AL31" s="2"/>
      <c r="AM31" s="2"/>
      <c r="AN31" s="2"/>
      <c r="AO31" s="2"/>
    </row>
    <row r="32" ht="24.0" customHeight="1">
      <c r="A32" s="4"/>
      <c r="B32" s="30"/>
      <c r="C32" s="5" t="str">
        <f>IFERROR(__xludf.DUMMYFUNCTION("if(B32=0,""..."", sparkline(query(GOOGLEFINANCE(""BCBA:""&amp;B32,""price"",today()-$AM$34,today()),""select Col2"",0),{""charttype"",$AM$33}))"),"...")</f>
        <v>...</v>
      </c>
      <c r="D32" s="17"/>
      <c r="E32" s="31"/>
      <c r="F32" s="7"/>
      <c r="G32" s="8" t="str">
        <f t="shared" si="1"/>
        <v>...</v>
      </c>
      <c r="H32" s="31"/>
      <c r="I32" s="52"/>
      <c r="J32" s="52"/>
      <c r="K32" s="45" t="str">
        <f t="shared" si="2"/>
        <v>...</v>
      </c>
      <c r="L32" s="45"/>
      <c r="M32" s="47" t="str">
        <f>IF(B32=0,"...",K32/VLOOKUP(D32,CCL!$A$12:$B35,2,FALSE))</f>
        <v>...</v>
      </c>
      <c r="N32" s="45" t="str">
        <f>IFERROR(__xludf.DUMMYFUNCTION("if(B32=0,""..."",if(E32=""CERRADA"",""Valor Venta"", GOOGLEFINANCE(""BCBA:""&amp;B32)))"),"...")</f>
        <v>...</v>
      </c>
      <c r="O32" s="45" t="str">
        <f>if(B32=0,"...",N32*(1-VLOOKUP(A32,Config!$B$3:$C$22,2,FALSE)))</f>
        <v>...</v>
      </c>
      <c r="P32" s="45" t="str">
        <f t="shared" si="3"/>
        <v>...</v>
      </c>
      <c r="Q32" s="45"/>
      <c r="R32" s="45"/>
      <c r="S32" s="45"/>
      <c r="T32" s="12" t="str">
        <f>IFERROR(__xludf.DUMMYFUNCTION("if(B32=0,""..."",GOOGLEFINANCE(B32,""changepct"")/100)"),"...")</f>
        <v>...</v>
      </c>
      <c r="U32" s="10" t="str">
        <f>IFERROR(__xludf.DUMMYFUNCTION("if(B32=0,""..."",GOOGLEFINANCE(B32,""change"")*H32)"),"...")</f>
        <v>...</v>
      </c>
      <c r="V32" s="12" t="str">
        <f t="shared" si="4"/>
        <v>...</v>
      </c>
      <c r="W32" s="47" t="str">
        <f t="shared" si="5"/>
        <v>...</v>
      </c>
      <c r="X32" s="12" t="str">
        <f>IF(B32=0,"...",(P32/VLOOKUP(IF(E32="ABIERTA",TODAY(),F32),CCL!$A$12:$B35,2,FALSE))/(K32/VLOOKUP(D32,CCL!$A$12:$B35,2,FALSE))-1)</f>
        <v>...</v>
      </c>
      <c r="Y32" s="47" t="str">
        <f>IF(B32=0,"...",P32/VLOOKUP(IF(E32="ABIERTA",TODAY(),F32),CCL!$A$12:$B$773,2,FALSE)-K32/VLOOKUP(D32,CCL!$A$12:$B35,2,FALSE))</f>
        <v>...</v>
      </c>
      <c r="Z32" s="2"/>
      <c r="AA32" s="10"/>
      <c r="AB32" s="59" t="str">
        <f t="shared" si="6"/>
        <v>...</v>
      </c>
      <c r="AC32" s="12" t="str">
        <f t="shared" si="7"/>
        <v/>
      </c>
      <c r="AD32" s="45" t="str">
        <f t="shared" si="8"/>
        <v>...</v>
      </c>
      <c r="AE32" s="45" t="str">
        <f t="shared" si="9"/>
        <v>...</v>
      </c>
      <c r="AF32" s="12" t="str">
        <f t="shared" si="10"/>
        <v>...</v>
      </c>
      <c r="AG32" s="45" t="str">
        <f t="shared" si="11"/>
        <v>...</v>
      </c>
      <c r="AH32" s="12" t="str">
        <f>IF(AB32=0,"...",IF(AA32=0,"...",AI32/(AE32/VLOOKUP(TODAY(),CCL!$A$12:$B35,2,FALSE)-AI32)))</f>
        <v>...</v>
      </c>
      <c r="AI32" s="46" t="str">
        <f t="shared" si="12"/>
        <v>...</v>
      </c>
      <c r="AJ32" s="2"/>
      <c r="AK32" s="2"/>
      <c r="AL32" s="2"/>
      <c r="AM32" s="2"/>
      <c r="AN32" s="2"/>
      <c r="AO32" s="2"/>
    </row>
    <row r="33" ht="24.0" customHeight="1">
      <c r="A33" s="4"/>
      <c r="B33" s="30"/>
      <c r="C33" s="5" t="str">
        <f>IFERROR(__xludf.DUMMYFUNCTION("if(B33=0,""..."", sparkline(query(GOOGLEFINANCE(""BCBA:""&amp;B33,""price"",today()-$AM$34,today()),""select Col2"",0),{""charttype"",$AM$33}))"),"...")</f>
        <v>...</v>
      </c>
      <c r="D33" s="17"/>
      <c r="E33" s="31"/>
      <c r="F33" s="7"/>
      <c r="G33" s="8" t="str">
        <f t="shared" si="1"/>
        <v>...</v>
      </c>
      <c r="H33" s="31"/>
      <c r="I33" s="52"/>
      <c r="J33" s="52"/>
      <c r="K33" s="45" t="str">
        <f t="shared" si="2"/>
        <v>...</v>
      </c>
      <c r="L33" s="45"/>
      <c r="M33" s="47" t="str">
        <f>IF(B33=0,"...",K33/VLOOKUP(D33,CCL!$A$12:$B35,2,FALSE))</f>
        <v>...</v>
      </c>
      <c r="N33" s="45" t="str">
        <f>IFERROR(__xludf.DUMMYFUNCTION("if(B33=0,""..."",if(E33=""CERRADA"",""Valor Venta"", GOOGLEFINANCE(""BCBA:""&amp;B33)))"),"...")</f>
        <v>...</v>
      </c>
      <c r="O33" s="45" t="str">
        <f>if(B33=0,"...",N33*(1-VLOOKUP(A33,Config!$B$3:$C$22,2,FALSE)))</f>
        <v>...</v>
      </c>
      <c r="P33" s="45" t="str">
        <f t="shared" si="3"/>
        <v>...</v>
      </c>
      <c r="Q33" s="45"/>
      <c r="R33" s="45"/>
      <c r="S33" s="45"/>
      <c r="T33" s="12" t="str">
        <f>IFERROR(__xludf.DUMMYFUNCTION("if(B33=0,""..."",GOOGLEFINANCE(B33,""changepct"")/100)"),"...")</f>
        <v>...</v>
      </c>
      <c r="U33" s="10" t="str">
        <f>IFERROR(__xludf.DUMMYFUNCTION("if(B33=0,""..."",GOOGLEFINANCE(B33,""change"")*H33)"),"...")</f>
        <v>...</v>
      </c>
      <c r="V33" s="12" t="str">
        <f t="shared" si="4"/>
        <v>...</v>
      </c>
      <c r="W33" s="47" t="str">
        <f t="shared" si="5"/>
        <v>...</v>
      </c>
      <c r="X33" s="12" t="str">
        <f>IF(B33=0,"...",(P33/VLOOKUP(IF(E33="ABIERTA",TODAY(),F33),CCL!$A$12:$B35,2,FALSE))/(K33/VLOOKUP(D33,CCL!$A$12:$B35,2,FALSE))-1)</f>
        <v>...</v>
      </c>
      <c r="Y33" s="47" t="str">
        <f>IF(B33=0,"...",P33/VLOOKUP(IF(E33="ABIERTA",TODAY(),F33),CCL!$A$12:$B$773,2,FALSE)-K33/VLOOKUP(D33,CCL!$A$12:$B35,2,FALSE))</f>
        <v>...</v>
      </c>
      <c r="Z33" s="2"/>
      <c r="AA33" s="10"/>
      <c r="AB33" s="59" t="str">
        <f t="shared" si="6"/>
        <v>...</v>
      </c>
      <c r="AC33" s="12" t="str">
        <f t="shared" si="7"/>
        <v/>
      </c>
      <c r="AD33" s="45" t="str">
        <f t="shared" si="8"/>
        <v>...</v>
      </c>
      <c r="AE33" s="45" t="str">
        <f t="shared" si="9"/>
        <v>...</v>
      </c>
      <c r="AF33" s="12" t="str">
        <f t="shared" si="10"/>
        <v>...</v>
      </c>
      <c r="AG33" s="45" t="str">
        <f t="shared" si="11"/>
        <v>...</v>
      </c>
      <c r="AH33" s="12" t="str">
        <f>IF(AB33=0,"...",IF(AA33=0,"...",AI33/(AE33/VLOOKUP(TODAY(),CCL!$A$12:$B35,2,FALSE)-AI33)))</f>
        <v>...</v>
      </c>
      <c r="AI33" s="46" t="str">
        <f t="shared" si="12"/>
        <v>...</v>
      </c>
      <c r="AJ33" s="2"/>
      <c r="AK33" s="23" t="s">
        <v>56</v>
      </c>
      <c r="AL33" s="24" t="s">
        <v>57</v>
      </c>
      <c r="AM33" s="25" t="s">
        <v>58</v>
      </c>
      <c r="AN33" s="2"/>
      <c r="AO33" s="2"/>
    </row>
    <row r="34" ht="24.0" customHeight="1">
      <c r="A34" s="4"/>
      <c r="B34" s="30"/>
      <c r="C34" s="5" t="str">
        <f>IFERROR(__xludf.DUMMYFUNCTION("if(B34=0,""..."", sparkline(query(GOOGLEFINANCE(""BCBA:""&amp;B34,""price"",today()-$AM$34,today()),""select Col2"",0),{""charttype"",$AM$33}))"),"...")</f>
        <v>...</v>
      </c>
      <c r="D34" s="17"/>
      <c r="E34" s="31"/>
      <c r="F34" s="7"/>
      <c r="G34" s="8" t="str">
        <f t="shared" si="1"/>
        <v>...</v>
      </c>
      <c r="H34" s="31"/>
      <c r="I34" s="52"/>
      <c r="J34" s="52"/>
      <c r="K34" s="45" t="str">
        <f t="shared" si="2"/>
        <v>...</v>
      </c>
      <c r="L34" s="45"/>
      <c r="M34" s="47" t="str">
        <f>IF(B34=0,"...",K34/VLOOKUP(D34,CCL!$A$12:$B35,2,FALSE))</f>
        <v>...</v>
      </c>
      <c r="N34" s="45" t="str">
        <f>IFERROR(__xludf.DUMMYFUNCTION("if(B34=0,""..."",if(E34=""CERRADA"",""Valor Venta"", GOOGLEFINANCE(""BCBA:""&amp;B34)))"),"...")</f>
        <v>...</v>
      </c>
      <c r="O34" s="45" t="str">
        <f>if(B34=0,"...",N34*(1-VLOOKUP(A34,Config!$B$3:$C$22,2,FALSE)))</f>
        <v>...</v>
      </c>
      <c r="P34" s="45" t="str">
        <f t="shared" si="3"/>
        <v>...</v>
      </c>
      <c r="Q34" s="45"/>
      <c r="R34" s="45"/>
      <c r="S34" s="45"/>
      <c r="T34" s="12" t="str">
        <f>IFERROR(__xludf.DUMMYFUNCTION("if(B34=0,""..."",GOOGLEFINANCE(B34,""changepct"")/100)"),"...")</f>
        <v>...</v>
      </c>
      <c r="U34" s="10" t="str">
        <f>IFERROR(__xludf.DUMMYFUNCTION("if(B34=0,""..."",GOOGLEFINANCE(B34,""change"")*H34)"),"...")</f>
        <v>...</v>
      </c>
      <c r="V34" s="12" t="str">
        <f t="shared" si="4"/>
        <v>...</v>
      </c>
      <c r="W34" s="47" t="str">
        <f t="shared" si="5"/>
        <v>...</v>
      </c>
      <c r="X34" s="12" t="str">
        <f>IF(B34=0,"...",(P34/VLOOKUP(IF(E34="ABIERTA",TODAY(),F34),CCL!$A$12:$B35,2,FALSE))/(K34/VLOOKUP(D34,CCL!$A$12:$B35,2,FALSE))-1)</f>
        <v>...</v>
      </c>
      <c r="Y34" s="47" t="str">
        <f>IF(B34=0,"...",P34/VLOOKUP(IF(E34="ABIERTA",TODAY(),F34),CCL!$A$12:$B$773,2,FALSE)-K34/VLOOKUP(D34,CCL!$A$12:$B35,2,FALSE))</f>
        <v>...</v>
      </c>
      <c r="Z34" s="2"/>
      <c r="AA34" s="10"/>
      <c r="AB34" s="59" t="str">
        <f t="shared" si="6"/>
        <v>...</v>
      </c>
      <c r="AC34" s="12" t="str">
        <f t="shared" si="7"/>
        <v/>
      </c>
      <c r="AD34" s="45" t="str">
        <f t="shared" si="8"/>
        <v>...</v>
      </c>
      <c r="AE34" s="45" t="str">
        <f t="shared" si="9"/>
        <v>...</v>
      </c>
      <c r="AF34" s="12" t="str">
        <f t="shared" si="10"/>
        <v>...</v>
      </c>
      <c r="AG34" s="45" t="str">
        <f t="shared" si="11"/>
        <v>...</v>
      </c>
      <c r="AH34" s="12" t="str">
        <f>IF(AB34=0,"...",IF(AA34=0,"...",AI34/(AE34/VLOOKUP(TODAY(),CCL!$A$12:$B35,2,FALSE)-AI34)))</f>
        <v>...</v>
      </c>
      <c r="AI34" s="46" t="str">
        <f t="shared" si="12"/>
        <v>...</v>
      </c>
      <c r="AJ34" s="2"/>
      <c r="AK34" s="26"/>
      <c r="AL34" s="24" t="s">
        <v>59</v>
      </c>
      <c r="AM34" s="25">
        <v>14.0</v>
      </c>
      <c r="AN34" s="2"/>
      <c r="AO34" s="2"/>
    </row>
    <row r="35" ht="24.0" customHeight="1">
      <c r="A35" s="2"/>
      <c r="B35" s="2"/>
      <c r="C35" s="2"/>
      <c r="D35" s="61"/>
      <c r="E35" s="2"/>
      <c r="F35" s="2"/>
      <c r="G35" s="2"/>
      <c r="H35" s="2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2"/>
      <c r="U35" s="2"/>
      <c r="V35" s="2"/>
      <c r="W35" s="53"/>
      <c r="X35" s="2"/>
      <c r="Y35" s="53"/>
      <c r="Z35" s="2"/>
      <c r="AA35" s="2"/>
      <c r="AB35" s="62"/>
      <c r="AC35" s="2"/>
      <c r="AD35" s="53"/>
      <c r="AE35" s="53"/>
      <c r="AF35" s="2"/>
      <c r="AG35" s="53"/>
      <c r="AH35" s="2"/>
      <c r="AI35" s="53"/>
      <c r="AJ35" s="2"/>
      <c r="AK35" s="2"/>
      <c r="AL35" s="2"/>
      <c r="AM35" s="2"/>
      <c r="AN35" s="2"/>
      <c r="AO35" s="2"/>
    </row>
  </sheetData>
  <mergeCells count="25">
    <mergeCell ref="AK18:AK19"/>
    <mergeCell ref="AL18:AL19"/>
    <mergeCell ref="AM18:AM19"/>
    <mergeCell ref="AN18:AN19"/>
    <mergeCell ref="AL20:AL21"/>
    <mergeCell ref="AM20:AM21"/>
    <mergeCell ref="AN20:AN21"/>
    <mergeCell ref="AM25:AM26"/>
    <mergeCell ref="AN25:AN26"/>
    <mergeCell ref="AK20:AK21"/>
    <mergeCell ref="AK22:AK23"/>
    <mergeCell ref="AL22:AL23"/>
    <mergeCell ref="AM22:AM23"/>
    <mergeCell ref="AN22:AN23"/>
    <mergeCell ref="AK25:AK26"/>
    <mergeCell ref="AL25:AL26"/>
    <mergeCell ref="AK29:AK30"/>
    <mergeCell ref="AK33:AK34"/>
    <mergeCell ref="AK27:AK28"/>
    <mergeCell ref="AL27:AL28"/>
    <mergeCell ref="AM27:AM28"/>
    <mergeCell ref="AN27:AN28"/>
    <mergeCell ref="AL29:AL30"/>
    <mergeCell ref="AM29:AM30"/>
    <mergeCell ref="AN29:AN30"/>
  </mergeCells>
  <conditionalFormatting sqref="AL20:AL23 AN20:AN23 AL27:AL30 AN27:AN30">
    <cfRule type="cellIs" dxfId="9" priority="1" operator="greaterThanOrEqual">
      <formula>0</formula>
    </cfRule>
  </conditionalFormatting>
  <conditionalFormatting sqref="AL20:AL23 AN20:AN23 AL27:AL30 AN27:AN30">
    <cfRule type="cellIs" dxfId="10" priority="2" operator="lessThan">
      <formula>0</formula>
    </cfRule>
  </conditionalFormatting>
  <conditionalFormatting sqref="T2:T34 V2:V34 X2:X34 AF2:AF34 AH2:AH34">
    <cfRule type="cellIs" dxfId="0" priority="3" operator="greaterThanOrEqual">
      <formula>"10%"</formula>
    </cfRule>
  </conditionalFormatting>
  <conditionalFormatting sqref="T2:T34 V2:V34 X2:X34 AF2:AF34 AH2:AH34">
    <cfRule type="cellIs" dxfId="1" priority="4" operator="between">
      <formula>"1%"</formula>
      <formula>"10%"</formula>
    </cfRule>
  </conditionalFormatting>
  <conditionalFormatting sqref="T2:T34 V2:V34 X2:X34 AF2:AF34 AH2:AH34">
    <cfRule type="cellIs" dxfId="2" priority="5" operator="lessThanOrEqual">
      <formula>"-10%"</formula>
    </cfRule>
  </conditionalFormatting>
  <conditionalFormatting sqref="T2:T34 V2:V34 X2:X34 AF2:AF34 AH2:AH34">
    <cfRule type="cellIs" dxfId="3" priority="6" operator="between">
      <formula>"-1%"</formula>
      <formula>"-10%"</formula>
    </cfRule>
  </conditionalFormatting>
  <conditionalFormatting sqref="T2:T34 V2:V34 X2:X34 AF2:AF34 AH2:AH34">
    <cfRule type="cellIs" dxfId="4" priority="7" operator="between">
      <formula>"-1%"</formula>
      <formula>"1%"</formula>
    </cfRule>
  </conditionalFormatting>
  <conditionalFormatting sqref="N2:N34">
    <cfRule type="expression" dxfId="5" priority="8">
      <formula>N2&gt;I2</formula>
    </cfRule>
  </conditionalFormatting>
  <conditionalFormatting sqref="N2:N34">
    <cfRule type="expression" dxfId="6" priority="9">
      <formula>N2&lt;I2</formula>
    </cfRule>
  </conditionalFormatting>
  <conditionalFormatting sqref="E2:E34">
    <cfRule type="containsText" dxfId="7" priority="10" operator="containsText" text="ABIERTA">
      <formula>NOT(ISERROR(SEARCH(("ABIERTA"),(E2))))</formula>
    </cfRule>
  </conditionalFormatting>
  <conditionalFormatting sqref="E2:E34">
    <cfRule type="containsText" dxfId="8" priority="11" operator="containsText" text="CERRADA">
      <formula>NOT(ISERROR(SEARCH(("CERRADA"),(E2))))</formula>
    </cfRule>
  </conditionalFormatting>
  <dataValidations>
    <dataValidation type="list" allowBlank="1" sqref="A2:A34">
      <formula1>Config!$B$3:$B$22</formula1>
    </dataValidation>
    <dataValidation type="list" allowBlank="1" sqref="E2:E34">
      <formula1>"ABIERTA,CERRADA"</formula1>
    </dataValidation>
    <dataValidation type="list" allowBlank="1" sqref="AM34">
      <formula1>"7,14,28,365"</formula1>
    </dataValidation>
    <dataValidation type="list" allowBlank="1" sqref="AM33">
      <formula1>"line,column"</formula1>
    </dataValidation>
    <dataValidation type="custom" allowBlank="1" showDropDown="1" sqref="D2:D34 F2:F34">
      <formula1>OR(NOT(ISERROR(DATEVALUE(D2))), AND(ISNUMBER(D2), LEFT(CELL("format", D2))="D"))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07D8B"/>
    <pageSetUpPr/>
  </sheetPr>
  <sheetViews>
    <sheetView showGridLines="0" workbookViewId="0"/>
  </sheetViews>
  <sheetFormatPr customHeight="1" defaultColWidth="12.63" defaultRowHeight="15.75"/>
  <cols>
    <col customWidth="1" min="1" max="1" width="1.75"/>
    <col customWidth="1" min="2" max="2" width="26.25"/>
    <col customWidth="1" min="3" max="3" width="52.5"/>
    <col customWidth="1" min="4" max="26" width="7.63"/>
  </cols>
  <sheetData>
    <row r="1" ht="31.5" customHeight="1">
      <c r="B1" s="163" t="s">
        <v>628</v>
      </c>
      <c r="C1" s="134"/>
    </row>
    <row r="3" ht="19.5" customHeight="1">
      <c r="B3" s="164" t="s">
        <v>629</v>
      </c>
      <c r="C3" s="165"/>
    </row>
    <row r="4" ht="19.5" customHeight="1">
      <c r="B4" s="166" t="s">
        <v>630</v>
      </c>
      <c r="C4" s="167" t="s">
        <v>631</v>
      </c>
    </row>
    <row r="5" ht="19.5" customHeight="1">
      <c r="B5" s="166" t="s">
        <v>632</v>
      </c>
      <c r="C5" s="167" t="s">
        <v>633</v>
      </c>
    </row>
    <row r="6" ht="19.5" customHeight="1">
      <c r="B6" s="166"/>
      <c r="C6" s="167"/>
    </row>
    <row r="7" ht="19.5" customHeight="1">
      <c r="B7" s="164" t="s">
        <v>634</v>
      </c>
      <c r="C7" s="165"/>
    </row>
    <row r="8" ht="19.5" customHeight="1">
      <c r="B8" s="166" t="s">
        <v>635</v>
      </c>
      <c r="C8" s="167" t="s">
        <v>636</v>
      </c>
    </row>
    <row r="9" ht="19.5" customHeight="1">
      <c r="B9" s="166" t="s">
        <v>637</v>
      </c>
      <c r="C9" s="167" t="s">
        <v>638</v>
      </c>
    </row>
    <row r="10" ht="19.5" customHeight="1">
      <c r="B10" s="166" t="s">
        <v>639</v>
      </c>
      <c r="C10" s="167" t="s">
        <v>640</v>
      </c>
    </row>
    <row r="11" ht="19.5" customHeight="1">
      <c r="B11" s="166"/>
      <c r="C11" s="167"/>
    </row>
    <row r="12" ht="19.5" customHeight="1">
      <c r="B12" s="164" t="s">
        <v>641</v>
      </c>
      <c r="C12" s="165"/>
    </row>
    <row r="13" ht="19.5" customHeight="1">
      <c r="B13" s="166" t="s">
        <v>642</v>
      </c>
      <c r="C13" s="167" t="s">
        <v>643</v>
      </c>
    </row>
    <row r="14" ht="19.5" customHeight="1">
      <c r="B14" s="166" t="s">
        <v>603</v>
      </c>
      <c r="C14" s="167" t="s">
        <v>644</v>
      </c>
    </row>
    <row r="15" ht="19.5" customHeight="1">
      <c r="B15" s="166" t="s">
        <v>3</v>
      </c>
      <c r="C15" s="167" t="s">
        <v>645</v>
      </c>
    </row>
    <row r="16" ht="19.5" customHeight="1">
      <c r="B16" s="166"/>
      <c r="C16" s="167"/>
    </row>
    <row r="17" ht="19.5" customHeight="1">
      <c r="B17" s="164" t="s">
        <v>646</v>
      </c>
      <c r="C17" s="165"/>
    </row>
    <row r="18" ht="19.5" customHeight="1">
      <c r="B18" s="166" t="s">
        <v>647</v>
      </c>
      <c r="C18" s="167" t="s">
        <v>648</v>
      </c>
    </row>
    <row r="19" ht="19.5" customHeight="1">
      <c r="B19" s="166" t="s">
        <v>649</v>
      </c>
      <c r="C19" s="167" t="s">
        <v>650</v>
      </c>
    </row>
    <row r="20" ht="19.5" customHeight="1">
      <c r="B20" s="166" t="s">
        <v>651</v>
      </c>
      <c r="C20" s="167" t="s">
        <v>652</v>
      </c>
    </row>
    <row r="21" ht="19.5" customHeight="1">
      <c r="B21" s="166" t="s">
        <v>653</v>
      </c>
      <c r="C21" s="167" t="s">
        <v>654</v>
      </c>
    </row>
    <row r="22" ht="19.5" customHeight="1">
      <c r="B22" s="166" t="s">
        <v>655</v>
      </c>
      <c r="C22" s="167" t="s">
        <v>656</v>
      </c>
    </row>
    <row r="23" ht="19.5" customHeight="1">
      <c r="B23" s="166" t="s">
        <v>657</v>
      </c>
      <c r="C23" s="167" t="s">
        <v>658</v>
      </c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5">
    <mergeCell ref="B1:C1"/>
    <mergeCell ref="B3:C3"/>
    <mergeCell ref="B7:C7"/>
    <mergeCell ref="B12:C12"/>
    <mergeCell ref="B17:C17"/>
  </mergeCells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500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4.38"/>
    <col customWidth="1" min="2" max="2" width="11.38"/>
    <col customWidth="1" min="3" max="3" width="12.25"/>
    <col customWidth="1" min="4" max="4" width="17.5"/>
    <col customWidth="1" min="5" max="5" width="19.25"/>
    <col customWidth="1" min="6" max="6" width="11.38"/>
    <col customWidth="1" min="7" max="7" width="12.25"/>
    <col customWidth="1" min="8" max="8" width="22.75"/>
    <col customWidth="1" min="9" max="9" width="26.25"/>
    <col customWidth="1" min="10" max="26" width="7.63"/>
  </cols>
  <sheetData>
    <row r="1" ht="31.5" customHeight="1">
      <c r="A1" s="163" t="s">
        <v>659</v>
      </c>
      <c r="B1" s="133"/>
      <c r="C1" s="133"/>
      <c r="D1" s="133"/>
      <c r="E1" s="133"/>
      <c r="F1" s="133"/>
      <c r="G1" s="133"/>
      <c r="H1" s="133"/>
      <c r="I1" s="134"/>
    </row>
    <row r="2" ht="21.75" customHeight="1">
      <c r="B2" s="168" t="s">
        <v>660</v>
      </c>
      <c r="C2" s="169" t="str">
        <f>IFERROR(IF(COUNTIF(C5:C54,"Apertura")&gt;0,IF(COUNTIF(C5:C54,"Cierre")&gt;=COUNTIF(C5:C54,"Apertura"),"Sin posición abierta","✅ Sí, posición activa"),"Sin datos"),"")</f>
        <v>Sin datos</v>
      </c>
      <c r="D2" s="168" t="s">
        <v>661</v>
      </c>
      <c r="E2" s="170">
        <f>IFERROR(IF(COUNTIF(C5:C54,"Apertura")&gt;COUNTIF(C5:C54,"Cierre"),LOOKUP(2,1/(E5:E54&lt;&gt;""),E5:E54),0),0)</f>
        <v>0</v>
      </c>
      <c r="F2" s="168" t="s">
        <v>662</v>
      </c>
      <c r="G2" s="171" t="str">
        <f>IFERROR(IF(COUNTIF(C5:C54,"Apertura")&gt;COUNTIF(C5:C54,"Cierre"),LOOKUP(2,1/(F5:F54&lt;&gt;""),F5:F54),"-"),"-")</f>
        <v>-</v>
      </c>
      <c r="H2" s="168" t="s">
        <v>663</v>
      </c>
      <c r="I2" s="170">
        <f>IFERROR(SUMIF(C5:C54,"Cierre",H5:H54),0)</f>
        <v>0</v>
      </c>
    </row>
    <row r="3" ht="7.5" customHeight="1"/>
    <row r="4" ht="27.75" customHeight="1">
      <c r="A4" s="137" t="s">
        <v>664</v>
      </c>
      <c r="B4" s="137" t="s">
        <v>67</v>
      </c>
      <c r="C4" s="137" t="s">
        <v>57</v>
      </c>
      <c r="D4" s="137" t="s">
        <v>665</v>
      </c>
      <c r="E4" s="137" t="s">
        <v>666</v>
      </c>
      <c r="F4" s="137" t="s">
        <v>603</v>
      </c>
      <c r="G4" s="137" t="s">
        <v>3</v>
      </c>
      <c r="H4" s="137" t="s">
        <v>667</v>
      </c>
      <c r="I4" s="137" t="s">
        <v>668</v>
      </c>
    </row>
    <row r="5">
      <c r="A5" s="172">
        <f t="shared" ref="A5:A54" si="1">IFERROR(ROW()-4,"")</f>
        <v>1</v>
      </c>
      <c r="B5" s="173"/>
      <c r="C5" s="174"/>
      <c r="D5" s="175"/>
      <c r="E5" s="176" t="str">
        <f>IFERROR(IF(D5&lt;&gt;"",D5,""),"")</f>
        <v/>
      </c>
      <c r="F5" s="177" t="str">
        <f t="shared" ref="F5:F54" si="2">IFERROR(IF(B5&lt;&gt;"", IF(C5="Cierre", B5-IFERROR(INDEX(B4:B$5,MATCH("Apertura",C4:C$5,0)),B5), TODAY()-IFERROR(INDEX(B$5:B5,MATCH("Apertura",C$5:C5,0)),B5)), ""), "")</f>
        <v/>
      </c>
      <c r="G5" s="178" t="str">
        <f t="shared" ref="G5:G54" si="3">IFERROR(IF(C5="Cierre","✅ CERRADO",IF(C5&lt;&gt;"","🔓 ABIERTO","")),"")</f>
        <v/>
      </c>
      <c r="H5" s="175" t="str">
        <f t="shared" ref="H5:H54" si="4">IFERROR(IF(C5="Cierre",D5,""),"")</f>
        <v/>
      </c>
      <c r="I5" s="179"/>
    </row>
    <row r="6">
      <c r="A6" s="180">
        <f t="shared" si="1"/>
        <v>2</v>
      </c>
      <c r="B6" s="181"/>
      <c r="C6" s="182"/>
      <c r="D6" s="183"/>
      <c r="E6" s="184" t="str">
        <f t="shared" ref="E6:E54" si="5">IFERROR(IF(D6&lt;&gt;"", IF(C6="Cierre", E5, E5+D6), ""), "")</f>
        <v/>
      </c>
      <c r="F6" s="185" t="str">
        <f t="shared" si="2"/>
        <v/>
      </c>
      <c r="G6" s="186" t="str">
        <f t="shared" si="3"/>
        <v/>
      </c>
      <c r="H6" s="183" t="str">
        <f t="shared" si="4"/>
        <v/>
      </c>
      <c r="I6" s="187"/>
    </row>
    <row r="7">
      <c r="A7" s="172">
        <f t="shared" si="1"/>
        <v>3</v>
      </c>
      <c r="B7" s="173"/>
      <c r="C7" s="174"/>
      <c r="D7" s="175"/>
      <c r="E7" s="176" t="str">
        <f t="shared" si="5"/>
        <v/>
      </c>
      <c r="F7" s="177" t="str">
        <f t="shared" si="2"/>
        <v/>
      </c>
      <c r="G7" s="178" t="str">
        <f t="shared" si="3"/>
        <v/>
      </c>
      <c r="H7" s="175" t="str">
        <f t="shared" si="4"/>
        <v/>
      </c>
      <c r="I7" s="179"/>
    </row>
    <row r="8">
      <c r="A8" s="180">
        <f t="shared" si="1"/>
        <v>4</v>
      </c>
      <c r="B8" s="181"/>
      <c r="C8" s="182"/>
      <c r="D8" s="183"/>
      <c r="E8" s="184" t="str">
        <f t="shared" si="5"/>
        <v/>
      </c>
      <c r="F8" s="185" t="str">
        <f t="shared" si="2"/>
        <v/>
      </c>
      <c r="G8" s="186" t="str">
        <f t="shared" si="3"/>
        <v/>
      </c>
      <c r="H8" s="183" t="str">
        <f t="shared" si="4"/>
        <v/>
      </c>
      <c r="I8" s="187"/>
    </row>
    <row r="9">
      <c r="A9" s="172">
        <f t="shared" si="1"/>
        <v>5</v>
      </c>
      <c r="B9" s="173"/>
      <c r="C9" s="174"/>
      <c r="D9" s="175"/>
      <c r="E9" s="176" t="str">
        <f t="shared" si="5"/>
        <v/>
      </c>
      <c r="F9" s="177" t="str">
        <f t="shared" si="2"/>
        <v/>
      </c>
      <c r="G9" s="178" t="str">
        <f t="shared" si="3"/>
        <v/>
      </c>
      <c r="H9" s="175" t="str">
        <f t="shared" si="4"/>
        <v/>
      </c>
      <c r="I9" s="179"/>
    </row>
    <row r="10">
      <c r="A10" s="180">
        <f t="shared" si="1"/>
        <v>6</v>
      </c>
      <c r="B10" s="181"/>
      <c r="C10" s="182"/>
      <c r="D10" s="183"/>
      <c r="E10" s="184" t="str">
        <f t="shared" si="5"/>
        <v/>
      </c>
      <c r="F10" s="185" t="str">
        <f t="shared" si="2"/>
        <v/>
      </c>
      <c r="G10" s="186" t="str">
        <f t="shared" si="3"/>
        <v/>
      </c>
      <c r="H10" s="183" t="str">
        <f t="shared" si="4"/>
        <v/>
      </c>
      <c r="I10" s="187"/>
    </row>
    <row r="11">
      <c r="A11" s="172">
        <f t="shared" si="1"/>
        <v>7</v>
      </c>
      <c r="B11" s="173"/>
      <c r="C11" s="174"/>
      <c r="D11" s="175"/>
      <c r="E11" s="176" t="str">
        <f t="shared" si="5"/>
        <v/>
      </c>
      <c r="F11" s="177" t="str">
        <f t="shared" si="2"/>
        <v/>
      </c>
      <c r="G11" s="178" t="str">
        <f t="shared" si="3"/>
        <v/>
      </c>
      <c r="H11" s="175" t="str">
        <f t="shared" si="4"/>
        <v/>
      </c>
      <c r="I11" s="179"/>
    </row>
    <row r="12">
      <c r="A12" s="180">
        <f t="shared" si="1"/>
        <v>8</v>
      </c>
      <c r="B12" s="181"/>
      <c r="C12" s="182"/>
      <c r="D12" s="183"/>
      <c r="E12" s="184" t="str">
        <f t="shared" si="5"/>
        <v/>
      </c>
      <c r="F12" s="185" t="str">
        <f t="shared" si="2"/>
        <v/>
      </c>
      <c r="G12" s="186" t="str">
        <f t="shared" si="3"/>
        <v/>
      </c>
      <c r="H12" s="183" t="str">
        <f t="shared" si="4"/>
        <v/>
      </c>
      <c r="I12" s="187"/>
    </row>
    <row r="13">
      <c r="A13" s="172">
        <f t="shared" si="1"/>
        <v>9</v>
      </c>
      <c r="B13" s="173"/>
      <c r="C13" s="174"/>
      <c r="D13" s="175"/>
      <c r="E13" s="176" t="str">
        <f t="shared" si="5"/>
        <v/>
      </c>
      <c r="F13" s="177" t="str">
        <f t="shared" si="2"/>
        <v/>
      </c>
      <c r="G13" s="178" t="str">
        <f t="shared" si="3"/>
        <v/>
      </c>
      <c r="H13" s="175" t="str">
        <f t="shared" si="4"/>
        <v/>
      </c>
      <c r="I13" s="179"/>
    </row>
    <row r="14">
      <c r="A14" s="180">
        <f t="shared" si="1"/>
        <v>10</v>
      </c>
      <c r="B14" s="181"/>
      <c r="C14" s="182"/>
      <c r="D14" s="183"/>
      <c r="E14" s="184" t="str">
        <f t="shared" si="5"/>
        <v/>
      </c>
      <c r="F14" s="185" t="str">
        <f t="shared" si="2"/>
        <v/>
      </c>
      <c r="G14" s="186" t="str">
        <f t="shared" si="3"/>
        <v/>
      </c>
      <c r="H14" s="183" t="str">
        <f t="shared" si="4"/>
        <v/>
      </c>
      <c r="I14" s="187"/>
    </row>
    <row r="15">
      <c r="A15" s="172">
        <f t="shared" si="1"/>
        <v>11</v>
      </c>
      <c r="B15" s="173"/>
      <c r="C15" s="174"/>
      <c r="D15" s="175"/>
      <c r="E15" s="176" t="str">
        <f t="shared" si="5"/>
        <v/>
      </c>
      <c r="F15" s="177" t="str">
        <f t="shared" si="2"/>
        <v/>
      </c>
      <c r="G15" s="178" t="str">
        <f t="shared" si="3"/>
        <v/>
      </c>
      <c r="H15" s="175" t="str">
        <f t="shared" si="4"/>
        <v/>
      </c>
      <c r="I15" s="179"/>
    </row>
    <row r="16">
      <c r="A16" s="180">
        <f t="shared" si="1"/>
        <v>12</v>
      </c>
      <c r="B16" s="181"/>
      <c r="C16" s="182"/>
      <c r="D16" s="183"/>
      <c r="E16" s="184" t="str">
        <f t="shared" si="5"/>
        <v/>
      </c>
      <c r="F16" s="185" t="str">
        <f t="shared" si="2"/>
        <v/>
      </c>
      <c r="G16" s="186" t="str">
        <f t="shared" si="3"/>
        <v/>
      </c>
      <c r="H16" s="183" t="str">
        <f t="shared" si="4"/>
        <v/>
      </c>
      <c r="I16" s="187"/>
    </row>
    <row r="17">
      <c r="A17" s="172">
        <f t="shared" si="1"/>
        <v>13</v>
      </c>
      <c r="B17" s="173"/>
      <c r="C17" s="174"/>
      <c r="D17" s="175"/>
      <c r="E17" s="176" t="str">
        <f t="shared" si="5"/>
        <v/>
      </c>
      <c r="F17" s="177" t="str">
        <f t="shared" si="2"/>
        <v/>
      </c>
      <c r="G17" s="178" t="str">
        <f t="shared" si="3"/>
        <v/>
      </c>
      <c r="H17" s="175" t="str">
        <f t="shared" si="4"/>
        <v/>
      </c>
      <c r="I17" s="179"/>
    </row>
    <row r="18">
      <c r="A18" s="180">
        <f t="shared" si="1"/>
        <v>14</v>
      </c>
      <c r="B18" s="181"/>
      <c r="C18" s="182"/>
      <c r="D18" s="183"/>
      <c r="E18" s="184" t="str">
        <f t="shared" si="5"/>
        <v/>
      </c>
      <c r="F18" s="185" t="str">
        <f t="shared" si="2"/>
        <v/>
      </c>
      <c r="G18" s="186" t="str">
        <f t="shared" si="3"/>
        <v/>
      </c>
      <c r="H18" s="183" t="str">
        <f t="shared" si="4"/>
        <v/>
      </c>
      <c r="I18" s="187"/>
    </row>
    <row r="19">
      <c r="A19" s="172">
        <f t="shared" si="1"/>
        <v>15</v>
      </c>
      <c r="B19" s="173"/>
      <c r="C19" s="174"/>
      <c r="D19" s="175"/>
      <c r="E19" s="176" t="str">
        <f t="shared" si="5"/>
        <v/>
      </c>
      <c r="F19" s="177" t="str">
        <f t="shared" si="2"/>
        <v/>
      </c>
      <c r="G19" s="178" t="str">
        <f t="shared" si="3"/>
        <v/>
      </c>
      <c r="H19" s="175" t="str">
        <f t="shared" si="4"/>
        <v/>
      </c>
      <c r="I19" s="179"/>
    </row>
    <row r="20">
      <c r="A20" s="180">
        <f t="shared" si="1"/>
        <v>16</v>
      </c>
      <c r="B20" s="181"/>
      <c r="C20" s="182"/>
      <c r="D20" s="183"/>
      <c r="E20" s="184" t="str">
        <f t="shared" si="5"/>
        <v/>
      </c>
      <c r="F20" s="185" t="str">
        <f t="shared" si="2"/>
        <v/>
      </c>
      <c r="G20" s="186" t="str">
        <f t="shared" si="3"/>
        <v/>
      </c>
      <c r="H20" s="183" t="str">
        <f t="shared" si="4"/>
        <v/>
      </c>
      <c r="I20" s="187"/>
    </row>
    <row r="21">
      <c r="A21" s="172">
        <f t="shared" si="1"/>
        <v>17</v>
      </c>
      <c r="B21" s="173"/>
      <c r="C21" s="174"/>
      <c r="D21" s="175"/>
      <c r="E21" s="176" t="str">
        <f t="shared" si="5"/>
        <v/>
      </c>
      <c r="F21" s="177" t="str">
        <f t="shared" si="2"/>
        <v/>
      </c>
      <c r="G21" s="178" t="str">
        <f t="shared" si="3"/>
        <v/>
      </c>
      <c r="H21" s="175" t="str">
        <f t="shared" si="4"/>
        <v/>
      </c>
      <c r="I21" s="179"/>
    </row>
    <row r="22">
      <c r="A22" s="180">
        <f t="shared" si="1"/>
        <v>18</v>
      </c>
      <c r="B22" s="181"/>
      <c r="C22" s="182"/>
      <c r="D22" s="183"/>
      <c r="E22" s="184" t="str">
        <f t="shared" si="5"/>
        <v/>
      </c>
      <c r="F22" s="185" t="str">
        <f t="shared" si="2"/>
        <v/>
      </c>
      <c r="G22" s="186" t="str">
        <f t="shared" si="3"/>
        <v/>
      </c>
      <c r="H22" s="183" t="str">
        <f t="shared" si="4"/>
        <v/>
      </c>
      <c r="I22" s="187"/>
    </row>
    <row r="23">
      <c r="A23" s="172">
        <f t="shared" si="1"/>
        <v>19</v>
      </c>
      <c r="B23" s="173"/>
      <c r="C23" s="174"/>
      <c r="D23" s="175"/>
      <c r="E23" s="176" t="str">
        <f t="shared" si="5"/>
        <v/>
      </c>
      <c r="F23" s="177" t="str">
        <f t="shared" si="2"/>
        <v/>
      </c>
      <c r="G23" s="178" t="str">
        <f t="shared" si="3"/>
        <v/>
      </c>
      <c r="H23" s="175" t="str">
        <f t="shared" si="4"/>
        <v/>
      </c>
      <c r="I23" s="179"/>
    </row>
    <row r="24">
      <c r="A24" s="180">
        <f t="shared" si="1"/>
        <v>20</v>
      </c>
      <c r="B24" s="181"/>
      <c r="C24" s="182"/>
      <c r="D24" s="183"/>
      <c r="E24" s="184" t="str">
        <f t="shared" si="5"/>
        <v/>
      </c>
      <c r="F24" s="185" t="str">
        <f t="shared" si="2"/>
        <v/>
      </c>
      <c r="G24" s="186" t="str">
        <f t="shared" si="3"/>
        <v/>
      </c>
      <c r="H24" s="183" t="str">
        <f t="shared" si="4"/>
        <v/>
      </c>
      <c r="I24" s="187"/>
    </row>
    <row r="25">
      <c r="A25" s="172">
        <f t="shared" si="1"/>
        <v>21</v>
      </c>
      <c r="B25" s="173"/>
      <c r="C25" s="174"/>
      <c r="D25" s="175"/>
      <c r="E25" s="176" t="str">
        <f t="shared" si="5"/>
        <v/>
      </c>
      <c r="F25" s="177" t="str">
        <f t="shared" si="2"/>
        <v/>
      </c>
      <c r="G25" s="178" t="str">
        <f t="shared" si="3"/>
        <v/>
      </c>
      <c r="H25" s="175" t="str">
        <f t="shared" si="4"/>
        <v/>
      </c>
      <c r="I25" s="179"/>
    </row>
    <row r="26">
      <c r="A26" s="180">
        <f t="shared" si="1"/>
        <v>22</v>
      </c>
      <c r="B26" s="181"/>
      <c r="C26" s="182"/>
      <c r="D26" s="183"/>
      <c r="E26" s="184" t="str">
        <f t="shared" si="5"/>
        <v/>
      </c>
      <c r="F26" s="185" t="str">
        <f t="shared" si="2"/>
        <v/>
      </c>
      <c r="G26" s="186" t="str">
        <f t="shared" si="3"/>
        <v/>
      </c>
      <c r="H26" s="183" t="str">
        <f t="shared" si="4"/>
        <v/>
      </c>
      <c r="I26" s="187"/>
    </row>
    <row r="27">
      <c r="A27" s="172">
        <f t="shared" si="1"/>
        <v>23</v>
      </c>
      <c r="B27" s="173"/>
      <c r="C27" s="174"/>
      <c r="D27" s="175"/>
      <c r="E27" s="176" t="str">
        <f t="shared" si="5"/>
        <v/>
      </c>
      <c r="F27" s="177" t="str">
        <f t="shared" si="2"/>
        <v/>
      </c>
      <c r="G27" s="178" t="str">
        <f t="shared" si="3"/>
        <v/>
      </c>
      <c r="H27" s="175" t="str">
        <f t="shared" si="4"/>
        <v/>
      </c>
      <c r="I27" s="179"/>
    </row>
    <row r="28">
      <c r="A28" s="180">
        <f t="shared" si="1"/>
        <v>24</v>
      </c>
      <c r="B28" s="181"/>
      <c r="C28" s="182"/>
      <c r="D28" s="183"/>
      <c r="E28" s="184" t="str">
        <f t="shared" si="5"/>
        <v/>
      </c>
      <c r="F28" s="185" t="str">
        <f t="shared" si="2"/>
        <v/>
      </c>
      <c r="G28" s="186" t="str">
        <f t="shared" si="3"/>
        <v/>
      </c>
      <c r="H28" s="183" t="str">
        <f t="shared" si="4"/>
        <v/>
      </c>
      <c r="I28" s="187"/>
    </row>
    <row r="29">
      <c r="A29" s="172">
        <f t="shared" si="1"/>
        <v>25</v>
      </c>
      <c r="B29" s="173"/>
      <c r="C29" s="174"/>
      <c r="D29" s="175"/>
      <c r="E29" s="176" t="str">
        <f t="shared" si="5"/>
        <v/>
      </c>
      <c r="F29" s="177" t="str">
        <f t="shared" si="2"/>
        <v/>
      </c>
      <c r="G29" s="178" t="str">
        <f t="shared" si="3"/>
        <v/>
      </c>
      <c r="H29" s="175" t="str">
        <f t="shared" si="4"/>
        <v/>
      </c>
      <c r="I29" s="179"/>
    </row>
    <row r="30">
      <c r="A30" s="180">
        <f t="shared" si="1"/>
        <v>26</v>
      </c>
      <c r="B30" s="181"/>
      <c r="C30" s="182"/>
      <c r="D30" s="183"/>
      <c r="E30" s="184" t="str">
        <f t="shared" si="5"/>
        <v/>
      </c>
      <c r="F30" s="185" t="str">
        <f t="shared" si="2"/>
        <v/>
      </c>
      <c r="G30" s="186" t="str">
        <f t="shared" si="3"/>
        <v/>
      </c>
      <c r="H30" s="183" t="str">
        <f t="shared" si="4"/>
        <v/>
      </c>
      <c r="I30" s="187"/>
    </row>
    <row r="31">
      <c r="A31" s="172">
        <f t="shared" si="1"/>
        <v>27</v>
      </c>
      <c r="B31" s="173"/>
      <c r="C31" s="174"/>
      <c r="D31" s="175"/>
      <c r="E31" s="176" t="str">
        <f t="shared" si="5"/>
        <v/>
      </c>
      <c r="F31" s="177" t="str">
        <f t="shared" si="2"/>
        <v/>
      </c>
      <c r="G31" s="178" t="str">
        <f t="shared" si="3"/>
        <v/>
      </c>
      <c r="H31" s="175" t="str">
        <f t="shared" si="4"/>
        <v/>
      </c>
      <c r="I31" s="179"/>
    </row>
    <row r="32">
      <c r="A32" s="180">
        <f t="shared" si="1"/>
        <v>28</v>
      </c>
      <c r="B32" s="181"/>
      <c r="C32" s="182"/>
      <c r="D32" s="183"/>
      <c r="E32" s="184" t="str">
        <f t="shared" si="5"/>
        <v/>
      </c>
      <c r="F32" s="185" t="str">
        <f t="shared" si="2"/>
        <v/>
      </c>
      <c r="G32" s="186" t="str">
        <f t="shared" si="3"/>
        <v/>
      </c>
      <c r="H32" s="183" t="str">
        <f t="shared" si="4"/>
        <v/>
      </c>
      <c r="I32" s="187"/>
    </row>
    <row r="33">
      <c r="A33" s="172">
        <f t="shared" si="1"/>
        <v>29</v>
      </c>
      <c r="B33" s="173"/>
      <c r="C33" s="174"/>
      <c r="D33" s="175"/>
      <c r="E33" s="176" t="str">
        <f t="shared" si="5"/>
        <v/>
      </c>
      <c r="F33" s="177" t="str">
        <f t="shared" si="2"/>
        <v/>
      </c>
      <c r="G33" s="178" t="str">
        <f t="shared" si="3"/>
        <v/>
      </c>
      <c r="H33" s="175" t="str">
        <f t="shared" si="4"/>
        <v/>
      </c>
      <c r="I33" s="179"/>
    </row>
    <row r="34">
      <c r="A34" s="180">
        <f t="shared" si="1"/>
        <v>30</v>
      </c>
      <c r="B34" s="181"/>
      <c r="C34" s="182"/>
      <c r="D34" s="183"/>
      <c r="E34" s="184" t="str">
        <f t="shared" si="5"/>
        <v/>
      </c>
      <c r="F34" s="185" t="str">
        <f t="shared" si="2"/>
        <v/>
      </c>
      <c r="G34" s="186" t="str">
        <f t="shared" si="3"/>
        <v/>
      </c>
      <c r="H34" s="183" t="str">
        <f t="shared" si="4"/>
        <v/>
      </c>
      <c r="I34" s="187"/>
    </row>
    <row r="35">
      <c r="A35" s="172">
        <f t="shared" si="1"/>
        <v>31</v>
      </c>
      <c r="B35" s="173"/>
      <c r="C35" s="174"/>
      <c r="D35" s="175"/>
      <c r="E35" s="176" t="str">
        <f t="shared" si="5"/>
        <v/>
      </c>
      <c r="F35" s="177" t="str">
        <f t="shared" si="2"/>
        <v/>
      </c>
      <c r="G35" s="178" t="str">
        <f t="shared" si="3"/>
        <v/>
      </c>
      <c r="H35" s="175" t="str">
        <f t="shared" si="4"/>
        <v/>
      </c>
      <c r="I35" s="179"/>
    </row>
    <row r="36">
      <c r="A36" s="180">
        <f t="shared" si="1"/>
        <v>32</v>
      </c>
      <c r="B36" s="181"/>
      <c r="C36" s="182"/>
      <c r="D36" s="183"/>
      <c r="E36" s="184" t="str">
        <f t="shared" si="5"/>
        <v/>
      </c>
      <c r="F36" s="185" t="str">
        <f t="shared" si="2"/>
        <v/>
      </c>
      <c r="G36" s="186" t="str">
        <f t="shared" si="3"/>
        <v/>
      </c>
      <c r="H36" s="183" t="str">
        <f t="shared" si="4"/>
        <v/>
      </c>
      <c r="I36" s="187"/>
    </row>
    <row r="37">
      <c r="A37" s="172">
        <f t="shared" si="1"/>
        <v>33</v>
      </c>
      <c r="B37" s="173"/>
      <c r="C37" s="174"/>
      <c r="D37" s="175"/>
      <c r="E37" s="176" t="str">
        <f t="shared" si="5"/>
        <v/>
      </c>
      <c r="F37" s="177" t="str">
        <f t="shared" si="2"/>
        <v/>
      </c>
      <c r="G37" s="178" t="str">
        <f t="shared" si="3"/>
        <v/>
      </c>
      <c r="H37" s="175" t="str">
        <f t="shared" si="4"/>
        <v/>
      </c>
      <c r="I37" s="179"/>
    </row>
    <row r="38">
      <c r="A38" s="180">
        <f t="shared" si="1"/>
        <v>34</v>
      </c>
      <c r="B38" s="181"/>
      <c r="C38" s="182"/>
      <c r="D38" s="183"/>
      <c r="E38" s="184" t="str">
        <f t="shared" si="5"/>
        <v/>
      </c>
      <c r="F38" s="185" t="str">
        <f t="shared" si="2"/>
        <v/>
      </c>
      <c r="G38" s="186" t="str">
        <f t="shared" si="3"/>
        <v/>
      </c>
      <c r="H38" s="183" t="str">
        <f t="shared" si="4"/>
        <v/>
      </c>
      <c r="I38" s="187"/>
    </row>
    <row r="39">
      <c r="A39" s="172">
        <f t="shared" si="1"/>
        <v>35</v>
      </c>
      <c r="B39" s="173"/>
      <c r="C39" s="174"/>
      <c r="D39" s="175"/>
      <c r="E39" s="176" t="str">
        <f t="shared" si="5"/>
        <v/>
      </c>
      <c r="F39" s="177" t="str">
        <f t="shared" si="2"/>
        <v/>
      </c>
      <c r="G39" s="178" t="str">
        <f t="shared" si="3"/>
        <v/>
      </c>
      <c r="H39" s="175" t="str">
        <f t="shared" si="4"/>
        <v/>
      </c>
      <c r="I39" s="179"/>
    </row>
    <row r="40">
      <c r="A40" s="180">
        <f t="shared" si="1"/>
        <v>36</v>
      </c>
      <c r="B40" s="181"/>
      <c r="C40" s="182"/>
      <c r="D40" s="183"/>
      <c r="E40" s="184" t="str">
        <f t="shared" si="5"/>
        <v/>
      </c>
      <c r="F40" s="185" t="str">
        <f t="shared" si="2"/>
        <v/>
      </c>
      <c r="G40" s="186" t="str">
        <f t="shared" si="3"/>
        <v/>
      </c>
      <c r="H40" s="183" t="str">
        <f t="shared" si="4"/>
        <v/>
      </c>
      <c r="I40" s="187"/>
    </row>
    <row r="41">
      <c r="A41" s="172">
        <f t="shared" si="1"/>
        <v>37</v>
      </c>
      <c r="B41" s="173"/>
      <c r="C41" s="174"/>
      <c r="D41" s="175"/>
      <c r="E41" s="176" t="str">
        <f t="shared" si="5"/>
        <v/>
      </c>
      <c r="F41" s="177" t="str">
        <f t="shared" si="2"/>
        <v/>
      </c>
      <c r="G41" s="178" t="str">
        <f t="shared" si="3"/>
        <v/>
      </c>
      <c r="H41" s="175" t="str">
        <f t="shared" si="4"/>
        <v/>
      </c>
      <c r="I41" s="179"/>
    </row>
    <row r="42">
      <c r="A42" s="180">
        <f t="shared" si="1"/>
        <v>38</v>
      </c>
      <c r="B42" s="181"/>
      <c r="C42" s="182"/>
      <c r="D42" s="183"/>
      <c r="E42" s="184" t="str">
        <f t="shared" si="5"/>
        <v/>
      </c>
      <c r="F42" s="185" t="str">
        <f t="shared" si="2"/>
        <v/>
      </c>
      <c r="G42" s="186" t="str">
        <f t="shared" si="3"/>
        <v/>
      </c>
      <c r="H42" s="183" t="str">
        <f t="shared" si="4"/>
        <v/>
      </c>
      <c r="I42" s="187"/>
    </row>
    <row r="43">
      <c r="A43" s="172">
        <f t="shared" si="1"/>
        <v>39</v>
      </c>
      <c r="B43" s="173"/>
      <c r="C43" s="174"/>
      <c r="D43" s="175"/>
      <c r="E43" s="176" t="str">
        <f t="shared" si="5"/>
        <v/>
      </c>
      <c r="F43" s="177" t="str">
        <f t="shared" si="2"/>
        <v/>
      </c>
      <c r="G43" s="178" t="str">
        <f t="shared" si="3"/>
        <v/>
      </c>
      <c r="H43" s="175" t="str">
        <f t="shared" si="4"/>
        <v/>
      </c>
      <c r="I43" s="179"/>
    </row>
    <row r="44">
      <c r="A44" s="180">
        <f t="shared" si="1"/>
        <v>40</v>
      </c>
      <c r="B44" s="181"/>
      <c r="C44" s="182"/>
      <c r="D44" s="183"/>
      <c r="E44" s="184" t="str">
        <f t="shared" si="5"/>
        <v/>
      </c>
      <c r="F44" s="185" t="str">
        <f t="shared" si="2"/>
        <v/>
      </c>
      <c r="G44" s="186" t="str">
        <f t="shared" si="3"/>
        <v/>
      </c>
      <c r="H44" s="183" t="str">
        <f t="shared" si="4"/>
        <v/>
      </c>
      <c r="I44" s="187"/>
    </row>
    <row r="45">
      <c r="A45" s="172">
        <f t="shared" si="1"/>
        <v>41</v>
      </c>
      <c r="B45" s="173"/>
      <c r="C45" s="174"/>
      <c r="D45" s="175"/>
      <c r="E45" s="176" t="str">
        <f t="shared" si="5"/>
        <v/>
      </c>
      <c r="F45" s="177" t="str">
        <f t="shared" si="2"/>
        <v/>
      </c>
      <c r="G45" s="178" t="str">
        <f t="shared" si="3"/>
        <v/>
      </c>
      <c r="H45" s="175" t="str">
        <f t="shared" si="4"/>
        <v/>
      </c>
      <c r="I45" s="179"/>
    </row>
    <row r="46">
      <c r="A46" s="180">
        <f t="shared" si="1"/>
        <v>42</v>
      </c>
      <c r="B46" s="181"/>
      <c r="C46" s="182"/>
      <c r="D46" s="183"/>
      <c r="E46" s="184" t="str">
        <f t="shared" si="5"/>
        <v/>
      </c>
      <c r="F46" s="185" t="str">
        <f t="shared" si="2"/>
        <v/>
      </c>
      <c r="G46" s="186" t="str">
        <f t="shared" si="3"/>
        <v/>
      </c>
      <c r="H46" s="183" t="str">
        <f t="shared" si="4"/>
        <v/>
      </c>
      <c r="I46" s="187"/>
    </row>
    <row r="47">
      <c r="A47" s="172">
        <f t="shared" si="1"/>
        <v>43</v>
      </c>
      <c r="B47" s="173"/>
      <c r="C47" s="174"/>
      <c r="D47" s="175"/>
      <c r="E47" s="176" t="str">
        <f t="shared" si="5"/>
        <v/>
      </c>
      <c r="F47" s="177" t="str">
        <f t="shared" si="2"/>
        <v/>
      </c>
      <c r="G47" s="178" t="str">
        <f t="shared" si="3"/>
        <v/>
      </c>
      <c r="H47" s="175" t="str">
        <f t="shared" si="4"/>
        <v/>
      </c>
      <c r="I47" s="179"/>
    </row>
    <row r="48">
      <c r="A48" s="180">
        <f t="shared" si="1"/>
        <v>44</v>
      </c>
      <c r="B48" s="181"/>
      <c r="C48" s="182"/>
      <c r="D48" s="183"/>
      <c r="E48" s="184" t="str">
        <f t="shared" si="5"/>
        <v/>
      </c>
      <c r="F48" s="185" t="str">
        <f t="shared" si="2"/>
        <v/>
      </c>
      <c r="G48" s="186" t="str">
        <f t="shared" si="3"/>
        <v/>
      </c>
      <c r="H48" s="183" t="str">
        <f t="shared" si="4"/>
        <v/>
      </c>
      <c r="I48" s="187"/>
    </row>
    <row r="49">
      <c r="A49" s="172">
        <f t="shared" si="1"/>
        <v>45</v>
      </c>
      <c r="B49" s="173"/>
      <c r="C49" s="174"/>
      <c r="D49" s="175"/>
      <c r="E49" s="176" t="str">
        <f t="shared" si="5"/>
        <v/>
      </c>
      <c r="F49" s="177" t="str">
        <f t="shared" si="2"/>
        <v/>
      </c>
      <c r="G49" s="178" t="str">
        <f t="shared" si="3"/>
        <v/>
      </c>
      <c r="H49" s="175" t="str">
        <f t="shared" si="4"/>
        <v/>
      </c>
      <c r="I49" s="179"/>
    </row>
    <row r="50">
      <c r="A50" s="180">
        <f t="shared" si="1"/>
        <v>46</v>
      </c>
      <c r="B50" s="181"/>
      <c r="C50" s="182"/>
      <c r="D50" s="183"/>
      <c r="E50" s="184" t="str">
        <f t="shared" si="5"/>
        <v/>
      </c>
      <c r="F50" s="185" t="str">
        <f t="shared" si="2"/>
        <v/>
      </c>
      <c r="G50" s="186" t="str">
        <f t="shared" si="3"/>
        <v/>
      </c>
      <c r="H50" s="183" t="str">
        <f t="shared" si="4"/>
        <v/>
      </c>
      <c r="I50" s="187"/>
    </row>
    <row r="51">
      <c r="A51" s="172">
        <f t="shared" si="1"/>
        <v>47</v>
      </c>
      <c r="B51" s="173"/>
      <c r="C51" s="174"/>
      <c r="D51" s="175"/>
      <c r="E51" s="176" t="str">
        <f t="shared" si="5"/>
        <v/>
      </c>
      <c r="F51" s="177" t="str">
        <f t="shared" si="2"/>
        <v/>
      </c>
      <c r="G51" s="178" t="str">
        <f t="shared" si="3"/>
        <v/>
      </c>
      <c r="H51" s="175" t="str">
        <f t="shared" si="4"/>
        <v/>
      </c>
      <c r="I51" s="179"/>
    </row>
    <row r="52">
      <c r="A52" s="180">
        <f t="shared" si="1"/>
        <v>48</v>
      </c>
      <c r="B52" s="181"/>
      <c r="C52" s="182"/>
      <c r="D52" s="183"/>
      <c r="E52" s="184" t="str">
        <f t="shared" si="5"/>
        <v/>
      </c>
      <c r="F52" s="185" t="str">
        <f t="shared" si="2"/>
        <v/>
      </c>
      <c r="G52" s="186" t="str">
        <f t="shared" si="3"/>
        <v/>
      </c>
      <c r="H52" s="183" t="str">
        <f t="shared" si="4"/>
        <v/>
      </c>
      <c r="I52" s="187"/>
    </row>
    <row r="53">
      <c r="A53" s="172">
        <f t="shared" si="1"/>
        <v>49</v>
      </c>
      <c r="B53" s="173"/>
      <c r="C53" s="174"/>
      <c r="D53" s="175"/>
      <c r="E53" s="176" t="str">
        <f t="shared" si="5"/>
        <v/>
      </c>
      <c r="F53" s="177" t="str">
        <f t="shared" si="2"/>
        <v/>
      </c>
      <c r="G53" s="178" t="str">
        <f t="shared" si="3"/>
        <v/>
      </c>
      <c r="H53" s="175" t="str">
        <f t="shared" si="4"/>
        <v/>
      </c>
      <c r="I53" s="179"/>
    </row>
    <row r="54">
      <c r="A54" s="180">
        <f t="shared" si="1"/>
        <v>50</v>
      </c>
      <c r="B54" s="181"/>
      <c r="C54" s="182"/>
      <c r="D54" s="183"/>
      <c r="E54" s="184" t="str">
        <f t="shared" si="5"/>
        <v/>
      </c>
      <c r="F54" s="185" t="str">
        <f t="shared" si="2"/>
        <v/>
      </c>
      <c r="G54" s="186" t="str">
        <f t="shared" si="3"/>
        <v/>
      </c>
      <c r="H54" s="183" t="str">
        <f t="shared" si="4"/>
        <v/>
      </c>
      <c r="I54" s="187"/>
    </row>
    <row r="55"/>
    <row r="56">
      <c r="A56" s="162" t="s">
        <v>669</v>
      </c>
    </row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2">
    <mergeCell ref="A1:I1"/>
    <mergeCell ref="A56:I56"/>
  </mergeCells>
  <conditionalFormatting sqref="A5:I54">
    <cfRule type="expression" dxfId="16" priority="1">
      <formula>$C5="Cierre"</formula>
    </cfRule>
  </conditionalFormatting>
  <conditionalFormatting sqref="A5:I54">
    <cfRule type="expression" dxfId="17" priority="2">
      <formula>AND($H5&lt;"",$H5&lt;0)</formula>
    </cfRule>
  </conditionalFormatting>
  <dataValidations>
    <dataValidation type="list" allowBlank="1" sqref="C5:C54">
      <formula1>"Apertura,Incremento,Cierre"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7EEA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4.38"/>
    <col customWidth="1" min="2" max="2" width="15.5"/>
    <col customWidth="1" min="3" max="3" width="19.75"/>
    <col customWidth="1" min="4" max="4" width="17.5"/>
    <col customWidth="1" min="5" max="5" width="19.88"/>
    <col customWidth="1" min="6" max="6" width="14.63"/>
    <col customWidth="1" min="7" max="7" width="14.38"/>
    <col customWidth="1" min="8" max="8" width="23.75"/>
    <col customWidth="1" min="9" max="9" width="26.25"/>
    <col customWidth="1" min="10" max="26" width="7.63"/>
  </cols>
  <sheetData>
    <row r="1" ht="31.5" customHeight="1">
      <c r="A1" s="163" t="s">
        <v>670</v>
      </c>
      <c r="B1" s="133"/>
      <c r="C1" s="133"/>
      <c r="D1" s="133"/>
      <c r="E1" s="133"/>
      <c r="F1" s="133"/>
      <c r="G1" s="133"/>
      <c r="H1" s="133"/>
      <c r="I1" s="134"/>
    </row>
    <row r="2" ht="21.75" customHeight="1">
      <c r="A2" s="188" t="s">
        <v>660</v>
      </c>
      <c r="B2" s="134"/>
      <c r="C2" s="169" t="str">
        <f>IFERROR(IF(COUNTIF(C5:C536,"Apertura")&gt;0,IF(COUNTIF(C5:C536,"Cierre")&gt;=COUNTIF(C5:C536,"Apertura"),"Sin posición abierta","✅ Sí, posición activa"),"Sin datos"),"")</f>
        <v>✅ Sí, posición activa</v>
      </c>
      <c r="D2" s="168" t="s">
        <v>661</v>
      </c>
      <c r="E2" s="170">
        <f>IFERROR(IF(COUNTIF(C5:C536,"Apertura")&gt;COUNTIF(C5:C536,"Cierre"),LOOKUP(2,1/(E5:E536&lt;&gt;""),E5:E536),0),0)</f>
        <v>0</v>
      </c>
      <c r="F2" s="168" t="s">
        <v>662</v>
      </c>
      <c r="G2" s="171" t="str">
        <f>IFERROR(IF(COUNTIF(C5:C101,"Apertura")&gt;COUNTIF(C5:C101,"Cierre"),LOOKUP(2,1/(F5:F101&lt;&gt;""),F5:F101),"-"),"-")</f>
        <v>-</v>
      </c>
      <c r="H2" s="168" t="s">
        <v>663</v>
      </c>
      <c r="I2" s="170">
        <f>IFERROR(SUMIF(C5:C317,"Cierre",H5:H101),0)</f>
        <v>2056.43</v>
      </c>
    </row>
    <row r="3" ht="41.25" customHeight="1">
      <c r="C3" s="189"/>
    </row>
    <row r="4" ht="41.25" customHeight="1">
      <c r="A4" s="190" t="s">
        <v>664</v>
      </c>
      <c r="B4" s="190" t="s">
        <v>67</v>
      </c>
      <c r="C4" s="191" t="s">
        <v>57</v>
      </c>
      <c r="D4" s="190" t="s">
        <v>665</v>
      </c>
      <c r="E4" s="190" t="s">
        <v>666</v>
      </c>
      <c r="F4" s="190" t="s">
        <v>603</v>
      </c>
      <c r="G4" s="190" t="s">
        <v>3</v>
      </c>
      <c r="H4" s="190" t="s">
        <v>667</v>
      </c>
      <c r="I4" s="190" t="s">
        <v>668</v>
      </c>
    </row>
    <row r="5" ht="22.5" customHeight="1">
      <c r="A5" s="192">
        <f>IFERROR(IF(C5="Apertura",1,A4),"")</f>
        <v>1</v>
      </c>
      <c r="B5" s="193">
        <v>45975.0</v>
      </c>
      <c r="C5" s="194" t="s">
        <v>2</v>
      </c>
      <c r="D5" s="195">
        <v>150.0</v>
      </c>
      <c r="E5" s="196">
        <f t="shared" ref="E5:E151" si="1">IFERROR(IF(D5&lt;&gt;"", IF(C5="Apertura", D5,E4+D5), ""), "")</f>
        <v>150</v>
      </c>
      <c r="F5" s="197">
        <f t="shared" ref="F5:F134" si="2">IFERROR(IF(B5&lt;&gt;"", IF(C5="Cierre", B5-IFERROR(INDEX(B4:B$5,MATCH("Apertura",C4:C$5,0)),B5), TODAY()-IFERROR(INDEX(B$5:B5,MATCH("Apertura",C$5:C5,0)),B5)), ""), "")</f>
        <v>142</v>
      </c>
      <c r="G5" s="198" t="str">
        <f t="shared" ref="G5:G151" si="3">IFERROR(IF(C5="Cierre","✅ CERRADO",IF(C5&lt;&gt;"","🔓 ABIERTO","")),"")</f>
        <v>🔓 ABIERTO</v>
      </c>
      <c r="H5" s="199" t="str">
        <f t="shared" ref="H5:H151" si="4">IFERROR(IF(C5="Cierre",D5,""),"")</f>
        <v/>
      </c>
      <c r="I5" s="200"/>
    </row>
    <row r="6" ht="22.5" customHeight="1">
      <c r="A6" s="192">
        <f t="shared" ref="A6:A151" si="5">IFERROR(IF(C6="Apertura",A5+1,A5),"")</f>
        <v>1</v>
      </c>
      <c r="B6" s="201">
        <v>45976.0</v>
      </c>
      <c r="C6" s="202" t="s">
        <v>671</v>
      </c>
      <c r="D6" s="203">
        <v>50.0</v>
      </c>
      <c r="E6" s="196">
        <f t="shared" si="1"/>
        <v>200</v>
      </c>
      <c r="F6" s="204">
        <f t="shared" si="2"/>
        <v>142</v>
      </c>
      <c r="G6" s="205" t="str">
        <f t="shared" si="3"/>
        <v>🔓 ABIERTO</v>
      </c>
      <c r="H6" s="206" t="str">
        <f t="shared" si="4"/>
        <v/>
      </c>
      <c r="I6" s="207"/>
    </row>
    <row r="7" ht="22.5" customHeight="1">
      <c r="A7" s="192">
        <f t="shared" si="5"/>
        <v>1</v>
      </c>
      <c r="B7" s="193">
        <v>45977.0</v>
      </c>
      <c r="C7" s="202" t="s">
        <v>671</v>
      </c>
      <c r="D7" s="195">
        <v>56.0</v>
      </c>
      <c r="E7" s="196">
        <f t="shared" si="1"/>
        <v>256</v>
      </c>
      <c r="F7" s="197">
        <f t="shared" si="2"/>
        <v>142</v>
      </c>
      <c r="G7" s="198" t="str">
        <f t="shared" si="3"/>
        <v>🔓 ABIERTO</v>
      </c>
      <c r="H7" s="199" t="str">
        <f t="shared" si="4"/>
        <v/>
      </c>
      <c r="I7" s="200"/>
    </row>
    <row r="8" ht="22.5" customHeight="1">
      <c r="A8" s="192">
        <f t="shared" si="5"/>
        <v>1</v>
      </c>
      <c r="B8" s="201">
        <v>45977.0</v>
      </c>
      <c r="C8" s="202" t="s">
        <v>671</v>
      </c>
      <c r="D8" s="203">
        <v>50.0</v>
      </c>
      <c r="E8" s="196">
        <f t="shared" si="1"/>
        <v>306</v>
      </c>
      <c r="F8" s="204">
        <f t="shared" si="2"/>
        <v>142</v>
      </c>
      <c r="G8" s="205" t="str">
        <f t="shared" si="3"/>
        <v>🔓 ABIERTO</v>
      </c>
      <c r="H8" s="206" t="str">
        <f t="shared" si="4"/>
        <v/>
      </c>
      <c r="I8" s="207"/>
    </row>
    <row r="9" ht="22.5" customHeight="1">
      <c r="A9" s="192">
        <f t="shared" si="5"/>
        <v>1</v>
      </c>
      <c r="B9" s="193">
        <v>45978.0</v>
      </c>
      <c r="C9" s="202" t="s">
        <v>671</v>
      </c>
      <c r="D9" s="195">
        <v>50.0</v>
      </c>
      <c r="E9" s="196">
        <f t="shared" si="1"/>
        <v>356</v>
      </c>
      <c r="F9" s="197">
        <f t="shared" si="2"/>
        <v>142</v>
      </c>
      <c r="G9" s="198" t="str">
        <f t="shared" si="3"/>
        <v>🔓 ABIERTO</v>
      </c>
      <c r="H9" s="199" t="str">
        <f t="shared" si="4"/>
        <v/>
      </c>
      <c r="I9" s="200"/>
    </row>
    <row r="10" ht="22.5" customHeight="1">
      <c r="A10" s="192">
        <f t="shared" si="5"/>
        <v>1</v>
      </c>
      <c r="B10" s="201">
        <v>45978.0</v>
      </c>
      <c r="C10" s="202" t="s">
        <v>671</v>
      </c>
      <c r="D10" s="203">
        <v>51.0</v>
      </c>
      <c r="E10" s="196">
        <f t="shared" si="1"/>
        <v>407</v>
      </c>
      <c r="F10" s="204">
        <f t="shared" si="2"/>
        <v>142</v>
      </c>
      <c r="G10" s="205" t="str">
        <f t="shared" si="3"/>
        <v>🔓 ABIERTO</v>
      </c>
      <c r="H10" s="206" t="str">
        <f t="shared" si="4"/>
        <v/>
      </c>
      <c r="I10" s="207"/>
    </row>
    <row r="11" ht="22.5" customHeight="1">
      <c r="A11" s="192">
        <f t="shared" si="5"/>
        <v>1</v>
      </c>
      <c r="B11" s="208">
        <v>45979.0</v>
      </c>
      <c r="C11" s="194" t="s">
        <v>4</v>
      </c>
      <c r="D11" s="195">
        <v>107.0</v>
      </c>
      <c r="E11" s="196">
        <f t="shared" si="1"/>
        <v>514</v>
      </c>
      <c r="F11" s="197">
        <f t="shared" si="2"/>
        <v>4</v>
      </c>
      <c r="G11" s="198" t="str">
        <f t="shared" si="3"/>
        <v>✅ CERRADO</v>
      </c>
      <c r="H11" s="199">
        <f t="shared" si="4"/>
        <v>107</v>
      </c>
      <c r="I11" s="200"/>
    </row>
    <row r="12" ht="22.5" customHeight="1">
      <c r="A12" s="192">
        <f t="shared" si="5"/>
        <v>2</v>
      </c>
      <c r="B12" s="201">
        <v>45979.0</v>
      </c>
      <c r="C12" s="194" t="s">
        <v>2</v>
      </c>
      <c r="D12" s="203">
        <v>57.0</v>
      </c>
      <c r="E12" s="196">
        <f t="shared" si="1"/>
        <v>57</v>
      </c>
      <c r="F12" s="204">
        <f t="shared" si="2"/>
        <v>142</v>
      </c>
      <c r="G12" s="205" t="str">
        <f t="shared" si="3"/>
        <v>🔓 ABIERTO</v>
      </c>
      <c r="H12" s="206" t="str">
        <f t="shared" si="4"/>
        <v/>
      </c>
      <c r="I12" s="207"/>
    </row>
    <row r="13" ht="22.5" customHeight="1">
      <c r="A13" s="192">
        <f t="shared" si="5"/>
        <v>2</v>
      </c>
      <c r="B13" s="193">
        <v>45979.0</v>
      </c>
      <c r="C13" s="202" t="s">
        <v>671</v>
      </c>
      <c r="D13" s="195">
        <v>50.0</v>
      </c>
      <c r="E13" s="196">
        <f t="shared" si="1"/>
        <v>107</v>
      </c>
      <c r="F13" s="197">
        <f t="shared" si="2"/>
        <v>142</v>
      </c>
      <c r="G13" s="198" t="str">
        <f t="shared" si="3"/>
        <v>🔓 ABIERTO</v>
      </c>
      <c r="H13" s="199" t="str">
        <f t="shared" si="4"/>
        <v/>
      </c>
      <c r="I13" s="200"/>
    </row>
    <row r="14" ht="22.5" customHeight="1">
      <c r="A14" s="192">
        <f t="shared" si="5"/>
        <v>2</v>
      </c>
      <c r="B14" s="201">
        <v>45980.0</v>
      </c>
      <c r="C14" s="202" t="s">
        <v>671</v>
      </c>
      <c r="D14" s="203">
        <v>50.0</v>
      </c>
      <c r="E14" s="196">
        <f t="shared" si="1"/>
        <v>157</v>
      </c>
      <c r="F14" s="204">
        <f t="shared" si="2"/>
        <v>142</v>
      </c>
      <c r="G14" s="205" t="str">
        <f t="shared" si="3"/>
        <v>🔓 ABIERTO</v>
      </c>
      <c r="H14" s="206" t="str">
        <f t="shared" si="4"/>
        <v/>
      </c>
      <c r="I14" s="207"/>
    </row>
    <row r="15" ht="22.5" customHeight="1">
      <c r="A15" s="192">
        <f t="shared" si="5"/>
        <v>2</v>
      </c>
      <c r="B15" s="201">
        <v>45980.0</v>
      </c>
      <c r="C15" s="194" t="s">
        <v>4</v>
      </c>
      <c r="D15" s="195">
        <v>56.0</v>
      </c>
      <c r="E15" s="196">
        <f t="shared" si="1"/>
        <v>213</v>
      </c>
      <c r="F15" s="197">
        <f t="shared" si="2"/>
        <v>5</v>
      </c>
      <c r="G15" s="198" t="str">
        <f t="shared" si="3"/>
        <v>✅ CERRADO</v>
      </c>
      <c r="H15" s="199">
        <f t="shared" si="4"/>
        <v>56</v>
      </c>
      <c r="I15" s="200"/>
    </row>
    <row r="16" ht="22.5" customHeight="1">
      <c r="A16" s="192">
        <f t="shared" si="5"/>
        <v>3</v>
      </c>
      <c r="B16" s="201">
        <v>45980.0</v>
      </c>
      <c r="C16" s="194" t="s">
        <v>2</v>
      </c>
      <c r="D16" s="203">
        <v>60.0</v>
      </c>
      <c r="E16" s="196">
        <f t="shared" si="1"/>
        <v>60</v>
      </c>
      <c r="F16" s="204">
        <f t="shared" si="2"/>
        <v>142</v>
      </c>
      <c r="G16" s="205" t="str">
        <f t="shared" si="3"/>
        <v>🔓 ABIERTO</v>
      </c>
      <c r="H16" s="206" t="str">
        <f t="shared" si="4"/>
        <v/>
      </c>
      <c r="I16" s="207"/>
    </row>
    <row r="17" ht="22.5" customHeight="1">
      <c r="A17" s="192">
        <f t="shared" si="5"/>
        <v>3</v>
      </c>
      <c r="B17" s="193">
        <v>45981.0</v>
      </c>
      <c r="C17" s="202" t="s">
        <v>671</v>
      </c>
      <c r="D17" s="195">
        <v>57.0</v>
      </c>
      <c r="E17" s="196">
        <f t="shared" si="1"/>
        <v>117</v>
      </c>
      <c r="F17" s="197">
        <f t="shared" si="2"/>
        <v>142</v>
      </c>
      <c r="G17" s="198" t="str">
        <f t="shared" si="3"/>
        <v>🔓 ABIERTO</v>
      </c>
      <c r="H17" s="199" t="str">
        <f t="shared" si="4"/>
        <v/>
      </c>
      <c r="I17" s="200"/>
    </row>
    <row r="18" ht="22.5" customHeight="1">
      <c r="A18" s="192">
        <f t="shared" si="5"/>
        <v>3</v>
      </c>
      <c r="B18" s="201">
        <v>45981.0</v>
      </c>
      <c r="C18" s="202" t="s">
        <v>4</v>
      </c>
      <c r="D18" s="203">
        <v>35.0</v>
      </c>
      <c r="E18" s="196">
        <f t="shared" si="1"/>
        <v>152</v>
      </c>
      <c r="F18" s="204">
        <f t="shared" si="2"/>
        <v>6</v>
      </c>
      <c r="G18" s="205" t="str">
        <f t="shared" si="3"/>
        <v>✅ CERRADO</v>
      </c>
      <c r="H18" s="206">
        <f t="shared" si="4"/>
        <v>35</v>
      </c>
      <c r="I18" s="207"/>
    </row>
    <row r="19" ht="22.5" customHeight="1">
      <c r="A19" s="192">
        <f t="shared" si="5"/>
        <v>4</v>
      </c>
      <c r="B19" s="193">
        <v>45981.0</v>
      </c>
      <c r="C19" s="194" t="s">
        <v>2</v>
      </c>
      <c r="D19" s="195">
        <v>103.0</v>
      </c>
      <c r="E19" s="196">
        <f t="shared" si="1"/>
        <v>103</v>
      </c>
      <c r="F19" s="197">
        <f t="shared" si="2"/>
        <v>142</v>
      </c>
      <c r="G19" s="198" t="str">
        <f t="shared" si="3"/>
        <v>🔓 ABIERTO</v>
      </c>
      <c r="H19" s="199" t="str">
        <f t="shared" si="4"/>
        <v/>
      </c>
      <c r="I19" s="200"/>
    </row>
    <row r="20" ht="22.5" customHeight="1">
      <c r="A20" s="192">
        <f t="shared" si="5"/>
        <v>4</v>
      </c>
      <c r="B20" s="201">
        <v>45981.0</v>
      </c>
      <c r="C20" s="202" t="s">
        <v>4</v>
      </c>
      <c r="D20" s="203">
        <v>29.0</v>
      </c>
      <c r="E20" s="196">
        <f t="shared" si="1"/>
        <v>132</v>
      </c>
      <c r="F20" s="204">
        <f t="shared" si="2"/>
        <v>6</v>
      </c>
      <c r="G20" s="205" t="str">
        <f t="shared" si="3"/>
        <v>✅ CERRADO</v>
      </c>
      <c r="H20" s="206">
        <f t="shared" si="4"/>
        <v>29</v>
      </c>
      <c r="I20" s="207"/>
    </row>
    <row r="21" ht="22.5" customHeight="1">
      <c r="A21" s="192">
        <f t="shared" si="5"/>
        <v>5</v>
      </c>
      <c r="B21" s="193">
        <v>45982.0</v>
      </c>
      <c r="C21" s="194" t="s">
        <v>2</v>
      </c>
      <c r="D21" s="195">
        <v>100.0</v>
      </c>
      <c r="E21" s="196">
        <f t="shared" si="1"/>
        <v>100</v>
      </c>
      <c r="F21" s="197">
        <f t="shared" si="2"/>
        <v>142</v>
      </c>
      <c r="G21" s="198" t="str">
        <f t="shared" si="3"/>
        <v>🔓 ABIERTO</v>
      </c>
      <c r="H21" s="199" t="str">
        <f t="shared" si="4"/>
        <v/>
      </c>
      <c r="I21" s="200"/>
    </row>
    <row r="22" ht="22.5" customHeight="1">
      <c r="A22" s="192">
        <f t="shared" si="5"/>
        <v>5</v>
      </c>
      <c r="B22" s="201">
        <v>45982.0</v>
      </c>
      <c r="C22" s="202" t="s">
        <v>671</v>
      </c>
      <c r="D22" s="203">
        <v>100.0</v>
      </c>
      <c r="E22" s="196">
        <f t="shared" si="1"/>
        <v>200</v>
      </c>
      <c r="F22" s="204">
        <f t="shared" si="2"/>
        <v>142</v>
      </c>
      <c r="G22" s="205" t="str">
        <f t="shared" si="3"/>
        <v>🔓 ABIERTO</v>
      </c>
      <c r="H22" s="206" t="str">
        <f t="shared" si="4"/>
        <v/>
      </c>
      <c r="I22" s="207"/>
    </row>
    <row r="23" ht="22.5" customHeight="1">
      <c r="A23" s="192">
        <f t="shared" si="5"/>
        <v>5</v>
      </c>
      <c r="B23" s="193">
        <v>45983.0</v>
      </c>
      <c r="C23" s="202" t="s">
        <v>671</v>
      </c>
      <c r="D23" s="195">
        <v>100.0</v>
      </c>
      <c r="E23" s="196">
        <f t="shared" si="1"/>
        <v>300</v>
      </c>
      <c r="F23" s="197">
        <f t="shared" si="2"/>
        <v>142</v>
      </c>
      <c r="G23" s="198" t="str">
        <f t="shared" si="3"/>
        <v>🔓 ABIERTO</v>
      </c>
      <c r="H23" s="199" t="str">
        <f t="shared" si="4"/>
        <v/>
      </c>
      <c r="I23" s="200"/>
    </row>
    <row r="24" ht="22.5" customHeight="1">
      <c r="A24" s="192">
        <f t="shared" si="5"/>
        <v>5</v>
      </c>
      <c r="B24" s="201">
        <v>45983.0</v>
      </c>
      <c r="C24" s="202" t="s">
        <v>671</v>
      </c>
      <c r="D24" s="203">
        <v>95.0</v>
      </c>
      <c r="E24" s="196">
        <f t="shared" si="1"/>
        <v>395</v>
      </c>
      <c r="F24" s="204">
        <f t="shared" si="2"/>
        <v>142</v>
      </c>
      <c r="G24" s="205" t="str">
        <f t="shared" si="3"/>
        <v>🔓 ABIERTO</v>
      </c>
      <c r="H24" s="206" t="str">
        <f t="shared" si="4"/>
        <v/>
      </c>
      <c r="I24" s="207"/>
    </row>
    <row r="25" ht="22.5" customHeight="1">
      <c r="A25" s="192">
        <f t="shared" si="5"/>
        <v>5</v>
      </c>
      <c r="B25" s="193">
        <v>45985.0</v>
      </c>
      <c r="C25" s="202" t="s">
        <v>671</v>
      </c>
      <c r="D25" s="195">
        <v>50.0</v>
      </c>
      <c r="E25" s="196">
        <f t="shared" si="1"/>
        <v>445</v>
      </c>
      <c r="F25" s="197">
        <f t="shared" si="2"/>
        <v>142</v>
      </c>
      <c r="G25" s="198" t="str">
        <f t="shared" si="3"/>
        <v>🔓 ABIERTO</v>
      </c>
      <c r="H25" s="199" t="str">
        <f t="shared" si="4"/>
        <v/>
      </c>
      <c r="I25" s="200"/>
    </row>
    <row r="26" ht="22.5" customHeight="1">
      <c r="A26" s="192">
        <f t="shared" si="5"/>
        <v>5</v>
      </c>
      <c r="B26" s="201">
        <v>45985.0</v>
      </c>
      <c r="C26" s="202" t="s">
        <v>671</v>
      </c>
      <c r="D26" s="203">
        <v>117.0</v>
      </c>
      <c r="E26" s="196">
        <f t="shared" si="1"/>
        <v>562</v>
      </c>
      <c r="F26" s="204">
        <f t="shared" si="2"/>
        <v>142</v>
      </c>
      <c r="G26" s="205" t="str">
        <f t="shared" si="3"/>
        <v>🔓 ABIERTO</v>
      </c>
      <c r="H26" s="206" t="str">
        <f t="shared" si="4"/>
        <v/>
      </c>
      <c r="I26" s="207"/>
    </row>
    <row r="27" ht="22.5" customHeight="1">
      <c r="A27" s="192">
        <f t="shared" si="5"/>
        <v>5</v>
      </c>
      <c r="B27" s="201">
        <v>45992.0</v>
      </c>
      <c r="C27" s="202" t="s">
        <v>4</v>
      </c>
      <c r="D27" s="195">
        <v>98.0</v>
      </c>
      <c r="E27" s="196">
        <f t="shared" si="1"/>
        <v>660</v>
      </c>
      <c r="F27" s="197">
        <f t="shared" si="2"/>
        <v>17</v>
      </c>
      <c r="G27" s="198" t="str">
        <f t="shared" si="3"/>
        <v>✅ CERRADO</v>
      </c>
      <c r="H27" s="199">
        <f t="shared" si="4"/>
        <v>98</v>
      </c>
      <c r="I27" s="200"/>
    </row>
    <row r="28" ht="22.5" customHeight="1">
      <c r="A28" s="192">
        <f t="shared" si="5"/>
        <v>6</v>
      </c>
      <c r="B28" s="209">
        <v>45992.0</v>
      </c>
      <c r="C28" s="194" t="s">
        <v>2</v>
      </c>
      <c r="D28" s="203">
        <v>50.0</v>
      </c>
      <c r="E28" s="196">
        <f t="shared" si="1"/>
        <v>50</v>
      </c>
      <c r="F28" s="204">
        <f t="shared" si="2"/>
        <v>142</v>
      </c>
      <c r="G28" s="205" t="str">
        <f t="shared" si="3"/>
        <v>🔓 ABIERTO</v>
      </c>
      <c r="H28" s="206" t="str">
        <f t="shared" si="4"/>
        <v/>
      </c>
      <c r="I28" s="207"/>
    </row>
    <row r="29" ht="22.5" customHeight="1">
      <c r="A29" s="192">
        <f t="shared" si="5"/>
        <v>6</v>
      </c>
      <c r="B29" s="208">
        <v>45963.0</v>
      </c>
      <c r="C29" s="202" t="s">
        <v>671</v>
      </c>
      <c r="D29" s="195">
        <v>50.0</v>
      </c>
      <c r="E29" s="196">
        <f t="shared" si="1"/>
        <v>100</v>
      </c>
      <c r="F29" s="197">
        <f t="shared" si="2"/>
        <v>142</v>
      </c>
      <c r="G29" s="198" t="str">
        <f t="shared" si="3"/>
        <v>🔓 ABIERTO</v>
      </c>
      <c r="H29" s="199" t="str">
        <f t="shared" si="4"/>
        <v/>
      </c>
      <c r="I29" s="200"/>
    </row>
    <row r="30" ht="22.5" customHeight="1">
      <c r="A30" s="192">
        <f t="shared" si="5"/>
        <v>6</v>
      </c>
      <c r="B30" s="209">
        <v>45963.0</v>
      </c>
      <c r="C30" s="202" t="s">
        <v>671</v>
      </c>
      <c r="D30" s="203">
        <v>200.0</v>
      </c>
      <c r="E30" s="196">
        <f t="shared" si="1"/>
        <v>300</v>
      </c>
      <c r="F30" s="204">
        <f t="shared" si="2"/>
        <v>142</v>
      </c>
      <c r="G30" s="205" t="str">
        <f t="shared" si="3"/>
        <v>🔓 ABIERTO</v>
      </c>
      <c r="H30" s="206" t="str">
        <f t="shared" si="4"/>
        <v/>
      </c>
      <c r="I30" s="207"/>
    </row>
    <row r="31" ht="22.5" customHeight="1">
      <c r="A31" s="192">
        <f t="shared" si="5"/>
        <v>6</v>
      </c>
      <c r="B31" s="193">
        <v>45964.0</v>
      </c>
      <c r="C31" s="202" t="s">
        <v>671</v>
      </c>
      <c r="D31" s="195">
        <v>50.0</v>
      </c>
      <c r="E31" s="196">
        <f t="shared" si="1"/>
        <v>350</v>
      </c>
      <c r="F31" s="197">
        <f t="shared" si="2"/>
        <v>142</v>
      </c>
      <c r="G31" s="198" t="str">
        <f t="shared" si="3"/>
        <v>🔓 ABIERTO</v>
      </c>
      <c r="H31" s="199" t="str">
        <f t="shared" si="4"/>
        <v/>
      </c>
      <c r="I31" s="200"/>
    </row>
    <row r="32" ht="22.5" customHeight="1">
      <c r="A32" s="192">
        <f t="shared" si="5"/>
        <v>6</v>
      </c>
      <c r="B32" s="201">
        <v>45964.0</v>
      </c>
      <c r="C32" s="202" t="s">
        <v>671</v>
      </c>
      <c r="D32" s="203">
        <v>200.0</v>
      </c>
      <c r="E32" s="196">
        <f t="shared" si="1"/>
        <v>550</v>
      </c>
      <c r="F32" s="204">
        <f t="shared" si="2"/>
        <v>142</v>
      </c>
      <c r="G32" s="205" t="str">
        <f t="shared" si="3"/>
        <v>🔓 ABIERTO</v>
      </c>
      <c r="H32" s="206" t="str">
        <f t="shared" si="4"/>
        <v/>
      </c>
      <c r="I32" s="207"/>
    </row>
    <row r="33" ht="22.5" customHeight="1">
      <c r="A33" s="192">
        <f t="shared" si="5"/>
        <v>6</v>
      </c>
      <c r="B33" s="208">
        <v>45965.0</v>
      </c>
      <c r="C33" s="202" t="s">
        <v>671</v>
      </c>
      <c r="D33" s="195">
        <v>100.0</v>
      </c>
      <c r="E33" s="196">
        <f t="shared" si="1"/>
        <v>650</v>
      </c>
      <c r="F33" s="197">
        <f t="shared" si="2"/>
        <v>142</v>
      </c>
      <c r="G33" s="198" t="str">
        <f t="shared" si="3"/>
        <v>🔓 ABIERTO</v>
      </c>
      <c r="H33" s="199" t="str">
        <f t="shared" si="4"/>
        <v/>
      </c>
      <c r="I33" s="200"/>
    </row>
    <row r="34" ht="22.5" customHeight="1">
      <c r="A34" s="192">
        <f t="shared" si="5"/>
        <v>6</v>
      </c>
      <c r="B34" s="201">
        <v>45966.0</v>
      </c>
      <c r="C34" s="202" t="s">
        <v>671</v>
      </c>
      <c r="D34" s="203">
        <v>50.0</v>
      </c>
      <c r="E34" s="196">
        <f t="shared" si="1"/>
        <v>700</v>
      </c>
      <c r="F34" s="204">
        <f t="shared" si="2"/>
        <v>142</v>
      </c>
      <c r="G34" s="205" t="str">
        <f t="shared" si="3"/>
        <v>🔓 ABIERTO</v>
      </c>
      <c r="H34" s="206" t="str">
        <f t="shared" si="4"/>
        <v/>
      </c>
      <c r="I34" s="207"/>
    </row>
    <row r="35" ht="22.5" customHeight="1">
      <c r="A35" s="192">
        <f t="shared" si="5"/>
        <v>6</v>
      </c>
      <c r="B35" s="209">
        <v>45992.0</v>
      </c>
      <c r="C35" s="202" t="s">
        <v>4</v>
      </c>
      <c r="D35" s="195"/>
      <c r="E35" s="196" t="str">
        <f t="shared" si="1"/>
        <v/>
      </c>
      <c r="F35" s="197">
        <f t="shared" si="2"/>
        <v>17</v>
      </c>
      <c r="G35" s="198" t="str">
        <f t="shared" si="3"/>
        <v>✅ CERRADO</v>
      </c>
      <c r="H35" s="199" t="str">
        <f t="shared" si="4"/>
        <v/>
      </c>
      <c r="I35" s="200"/>
    </row>
    <row r="36" ht="22.5" customHeight="1">
      <c r="A36" s="192">
        <f t="shared" si="5"/>
        <v>7</v>
      </c>
      <c r="B36" s="209">
        <v>45992.0</v>
      </c>
      <c r="C36" s="194" t="s">
        <v>2</v>
      </c>
      <c r="D36" s="203">
        <v>50.0</v>
      </c>
      <c r="E36" s="196">
        <f t="shared" si="1"/>
        <v>50</v>
      </c>
      <c r="F36" s="204">
        <f t="shared" si="2"/>
        <v>142</v>
      </c>
      <c r="G36" s="205" t="str">
        <f t="shared" si="3"/>
        <v>🔓 ABIERTO</v>
      </c>
      <c r="H36" s="206" t="str">
        <f t="shared" si="4"/>
        <v/>
      </c>
      <c r="I36" s="207"/>
    </row>
    <row r="37" ht="22.5" customHeight="1">
      <c r="A37" s="192">
        <f t="shared" si="5"/>
        <v>7</v>
      </c>
      <c r="B37" s="208">
        <v>45963.0</v>
      </c>
      <c r="C37" s="202" t="s">
        <v>671</v>
      </c>
      <c r="D37" s="195">
        <v>50.0</v>
      </c>
      <c r="E37" s="196">
        <f t="shared" si="1"/>
        <v>100</v>
      </c>
      <c r="F37" s="197">
        <f t="shared" si="2"/>
        <v>142</v>
      </c>
      <c r="G37" s="198" t="str">
        <f t="shared" si="3"/>
        <v>🔓 ABIERTO</v>
      </c>
      <c r="H37" s="199" t="str">
        <f t="shared" si="4"/>
        <v/>
      </c>
      <c r="I37" s="200"/>
    </row>
    <row r="38" ht="22.5" customHeight="1">
      <c r="A38" s="192">
        <f t="shared" si="5"/>
        <v>7</v>
      </c>
      <c r="B38" s="209">
        <v>45963.0</v>
      </c>
      <c r="C38" s="202" t="s">
        <v>671</v>
      </c>
      <c r="D38" s="203">
        <v>200.0</v>
      </c>
      <c r="E38" s="196">
        <f t="shared" si="1"/>
        <v>300</v>
      </c>
      <c r="F38" s="204">
        <f t="shared" si="2"/>
        <v>142</v>
      </c>
      <c r="G38" s="205" t="str">
        <f t="shared" si="3"/>
        <v>🔓 ABIERTO</v>
      </c>
      <c r="H38" s="206" t="str">
        <f t="shared" si="4"/>
        <v/>
      </c>
      <c r="I38" s="207"/>
    </row>
    <row r="39" ht="22.5" customHeight="1">
      <c r="A39" s="192">
        <f t="shared" si="5"/>
        <v>7</v>
      </c>
      <c r="B39" s="193">
        <v>45964.0</v>
      </c>
      <c r="C39" s="202" t="s">
        <v>671</v>
      </c>
      <c r="D39" s="195">
        <v>50.0</v>
      </c>
      <c r="E39" s="196">
        <f t="shared" si="1"/>
        <v>350</v>
      </c>
      <c r="F39" s="197">
        <f t="shared" si="2"/>
        <v>142</v>
      </c>
      <c r="G39" s="198" t="str">
        <f t="shared" si="3"/>
        <v>🔓 ABIERTO</v>
      </c>
      <c r="H39" s="199" t="str">
        <f t="shared" si="4"/>
        <v/>
      </c>
      <c r="I39" s="200"/>
    </row>
    <row r="40" ht="22.5" customHeight="1">
      <c r="A40" s="192">
        <f t="shared" si="5"/>
        <v>7</v>
      </c>
      <c r="B40" s="201">
        <v>45964.0</v>
      </c>
      <c r="C40" s="202" t="s">
        <v>671</v>
      </c>
      <c r="D40" s="203">
        <v>200.0</v>
      </c>
      <c r="E40" s="196">
        <f t="shared" si="1"/>
        <v>550</v>
      </c>
      <c r="F40" s="204">
        <f t="shared" si="2"/>
        <v>142</v>
      </c>
      <c r="G40" s="205" t="str">
        <f t="shared" si="3"/>
        <v>🔓 ABIERTO</v>
      </c>
      <c r="H40" s="206" t="str">
        <f t="shared" si="4"/>
        <v/>
      </c>
      <c r="I40" s="207"/>
    </row>
    <row r="41" ht="22.5" customHeight="1">
      <c r="A41" s="192">
        <f t="shared" si="5"/>
        <v>7</v>
      </c>
      <c r="B41" s="208">
        <v>45965.0</v>
      </c>
      <c r="C41" s="202" t="s">
        <v>671</v>
      </c>
      <c r="D41" s="195">
        <v>100.0</v>
      </c>
      <c r="E41" s="196">
        <f t="shared" si="1"/>
        <v>650</v>
      </c>
      <c r="F41" s="197">
        <f t="shared" si="2"/>
        <v>142</v>
      </c>
      <c r="G41" s="198" t="str">
        <f t="shared" si="3"/>
        <v>🔓 ABIERTO</v>
      </c>
      <c r="H41" s="199" t="str">
        <f t="shared" si="4"/>
        <v/>
      </c>
      <c r="I41" s="200"/>
    </row>
    <row r="42" ht="22.5" customHeight="1">
      <c r="A42" s="192">
        <f t="shared" si="5"/>
        <v>7</v>
      </c>
      <c r="B42" s="201">
        <v>45966.0</v>
      </c>
      <c r="C42" s="202" t="s">
        <v>671</v>
      </c>
      <c r="D42" s="203">
        <v>50.0</v>
      </c>
      <c r="E42" s="196">
        <f t="shared" si="1"/>
        <v>700</v>
      </c>
      <c r="F42" s="204">
        <f t="shared" si="2"/>
        <v>142</v>
      </c>
      <c r="G42" s="205" t="str">
        <f t="shared" si="3"/>
        <v>🔓 ABIERTO</v>
      </c>
      <c r="H42" s="206" t="str">
        <f t="shared" si="4"/>
        <v/>
      </c>
      <c r="I42" s="207"/>
    </row>
    <row r="43" ht="22.5" customHeight="1">
      <c r="A43" s="192">
        <f t="shared" si="5"/>
        <v>7</v>
      </c>
      <c r="B43" s="193">
        <v>45968.0</v>
      </c>
      <c r="C43" s="202" t="s">
        <v>671</v>
      </c>
      <c r="D43" s="195">
        <v>49.0</v>
      </c>
      <c r="E43" s="196">
        <f t="shared" si="1"/>
        <v>749</v>
      </c>
      <c r="F43" s="197">
        <f t="shared" si="2"/>
        <v>142</v>
      </c>
      <c r="G43" s="198" t="str">
        <f t="shared" si="3"/>
        <v>🔓 ABIERTO</v>
      </c>
      <c r="H43" s="199" t="str">
        <f t="shared" si="4"/>
        <v/>
      </c>
      <c r="I43" s="200"/>
    </row>
    <row r="44" ht="22.5" customHeight="1">
      <c r="A44" s="192">
        <f t="shared" si="5"/>
        <v>7</v>
      </c>
      <c r="B44" s="209">
        <v>45999.0</v>
      </c>
      <c r="C44" s="202" t="s">
        <v>671</v>
      </c>
      <c r="D44" s="203">
        <v>50.0</v>
      </c>
      <c r="E44" s="196">
        <f t="shared" si="1"/>
        <v>799</v>
      </c>
      <c r="F44" s="204">
        <f t="shared" si="2"/>
        <v>142</v>
      </c>
      <c r="G44" s="205" t="str">
        <f t="shared" si="3"/>
        <v>🔓 ABIERTO</v>
      </c>
      <c r="H44" s="206" t="str">
        <f t="shared" si="4"/>
        <v/>
      </c>
      <c r="I44" s="207"/>
    </row>
    <row r="45" ht="22.5" customHeight="1">
      <c r="A45" s="192">
        <f t="shared" si="5"/>
        <v>7</v>
      </c>
      <c r="B45" s="208">
        <v>45999.0</v>
      </c>
      <c r="C45" s="202" t="s">
        <v>671</v>
      </c>
      <c r="D45" s="195">
        <v>49.0</v>
      </c>
      <c r="E45" s="196">
        <f t="shared" si="1"/>
        <v>848</v>
      </c>
      <c r="F45" s="197">
        <f t="shared" si="2"/>
        <v>142</v>
      </c>
      <c r="G45" s="198" t="str">
        <f t="shared" si="3"/>
        <v>🔓 ABIERTO</v>
      </c>
      <c r="H45" s="199" t="str">
        <f t="shared" si="4"/>
        <v/>
      </c>
      <c r="I45" s="200"/>
    </row>
    <row r="46" ht="22.5" customHeight="1">
      <c r="A46" s="192">
        <f t="shared" si="5"/>
        <v>7</v>
      </c>
      <c r="B46" s="201">
        <v>46000.0</v>
      </c>
      <c r="C46" s="202" t="s">
        <v>671</v>
      </c>
      <c r="D46" s="203">
        <v>50.0</v>
      </c>
      <c r="E46" s="196">
        <f t="shared" si="1"/>
        <v>898</v>
      </c>
      <c r="F46" s="204">
        <f t="shared" si="2"/>
        <v>142</v>
      </c>
      <c r="G46" s="205" t="str">
        <f t="shared" si="3"/>
        <v>🔓 ABIERTO</v>
      </c>
      <c r="H46" s="206" t="str">
        <f t="shared" si="4"/>
        <v/>
      </c>
      <c r="I46" s="207"/>
    </row>
    <row r="47" ht="22.5" customHeight="1">
      <c r="A47" s="192">
        <f t="shared" si="5"/>
        <v>7</v>
      </c>
      <c r="B47" s="193">
        <v>46000.0</v>
      </c>
      <c r="C47" s="202" t="s">
        <v>671</v>
      </c>
      <c r="D47" s="195">
        <v>150.0</v>
      </c>
      <c r="E47" s="196">
        <f t="shared" si="1"/>
        <v>1048</v>
      </c>
      <c r="F47" s="197">
        <f t="shared" si="2"/>
        <v>142</v>
      </c>
      <c r="G47" s="198" t="str">
        <f t="shared" si="3"/>
        <v>🔓 ABIERTO</v>
      </c>
      <c r="H47" s="199" t="str">
        <f t="shared" si="4"/>
        <v/>
      </c>
      <c r="I47" s="200"/>
    </row>
    <row r="48" ht="22.5" customHeight="1">
      <c r="A48" s="192">
        <f t="shared" si="5"/>
        <v>7</v>
      </c>
      <c r="B48" s="201">
        <v>46001.0</v>
      </c>
      <c r="C48" s="202" t="s">
        <v>671</v>
      </c>
      <c r="D48" s="203">
        <v>50.0</v>
      </c>
      <c r="E48" s="196">
        <f t="shared" si="1"/>
        <v>1098</v>
      </c>
      <c r="F48" s="204">
        <f t="shared" si="2"/>
        <v>142</v>
      </c>
      <c r="G48" s="205" t="str">
        <f t="shared" si="3"/>
        <v>🔓 ABIERTO</v>
      </c>
      <c r="H48" s="206" t="str">
        <f t="shared" si="4"/>
        <v/>
      </c>
      <c r="I48" s="207"/>
    </row>
    <row r="49" ht="22.5" customHeight="1">
      <c r="A49" s="192">
        <f t="shared" si="5"/>
        <v>7</v>
      </c>
      <c r="B49" s="193">
        <v>46001.0</v>
      </c>
      <c r="C49" s="202" t="s">
        <v>671</v>
      </c>
      <c r="D49" s="195">
        <v>54.0</v>
      </c>
      <c r="E49" s="196">
        <f t="shared" si="1"/>
        <v>1152</v>
      </c>
      <c r="F49" s="197">
        <f t="shared" si="2"/>
        <v>142</v>
      </c>
      <c r="G49" s="198" t="str">
        <f t="shared" si="3"/>
        <v>🔓 ABIERTO</v>
      </c>
      <c r="H49" s="199" t="str">
        <f t="shared" si="4"/>
        <v/>
      </c>
      <c r="I49" s="200"/>
    </row>
    <row r="50" ht="22.5" customHeight="1">
      <c r="A50" s="192">
        <f t="shared" si="5"/>
        <v>7</v>
      </c>
      <c r="B50" s="201">
        <v>46002.0</v>
      </c>
      <c r="C50" s="202" t="s">
        <v>671</v>
      </c>
      <c r="D50" s="203">
        <v>50.0</v>
      </c>
      <c r="E50" s="196">
        <f t="shared" si="1"/>
        <v>1202</v>
      </c>
      <c r="F50" s="204">
        <f t="shared" si="2"/>
        <v>142</v>
      </c>
      <c r="G50" s="205" t="str">
        <f t="shared" si="3"/>
        <v>🔓 ABIERTO</v>
      </c>
      <c r="H50" s="206" t="str">
        <f t="shared" si="4"/>
        <v/>
      </c>
      <c r="I50" s="207"/>
    </row>
    <row r="51" ht="22.5" customHeight="1">
      <c r="A51" s="192">
        <f t="shared" si="5"/>
        <v>7</v>
      </c>
      <c r="B51" s="193">
        <v>46368.0</v>
      </c>
      <c r="C51" s="202" t="s">
        <v>4</v>
      </c>
      <c r="D51" s="195">
        <v>236.0</v>
      </c>
      <c r="E51" s="196">
        <f t="shared" si="1"/>
        <v>1438</v>
      </c>
      <c r="F51" s="197">
        <f t="shared" si="2"/>
        <v>393</v>
      </c>
      <c r="G51" s="198" t="str">
        <f t="shared" si="3"/>
        <v>✅ CERRADO</v>
      </c>
      <c r="H51" s="199">
        <f t="shared" si="4"/>
        <v>236</v>
      </c>
      <c r="I51" s="200"/>
    </row>
    <row r="52" ht="22.5" customHeight="1">
      <c r="A52" s="192">
        <f t="shared" si="5"/>
        <v>8</v>
      </c>
      <c r="B52" s="201">
        <v>46005.0</v>
      </c>
      <c r="C52" s="194" t="s">
        <v>2</v>
      </c>
      <c r="D52" s="203">
        <v>56.0</v>
      </c>
      <c r="E52" s="196">
        <f t="shared" si="1"/>
        <v>56</v>
      </c>
      <c r="F52" s="204">
        <f t="shared" si="2"/>
        <v>142</v>
      </c>
      <c r="G52" s="205" t="str">
        <f t="shared" si="3"/>
        <v>🔓 ABIERTO</v>
      </c>
      <c r="H52" s="206" t="str">
        <f t="shared" si="4"/>
        <v/>
      </c>
      <c r="I52" s="207"/>
    </row>
    <row r="53" ht="22.5" customHeight="1">
      <c r="A53" s="192">
        <f t="shared" si="5"/>
        <v>8</v>
      </c>
      <c r="B53" s="193">
        <v>45976.0</v>
      </c>
      <c r="C53" s="202" t="s">
        <v>671</v>
      </c>
      <c r="D53" s="195">
        <v>50.0</v>
      </c>
      <c r="E53" s="196">
        <f t="shared" si="1"/>
        <v>106</v>
      </c>
      <c r="F53" s="197">
        <f t="shared" si="2"/>
        <v>142</v>
      </c>
      <c r="G53" s="198" t="str">
        <f t="shared" si="3"/>
        <v>🔓 ABIERTO</v>
      </c>
      <c r="H53" s="199" t="str">
        <f t="shared" si="4"/>
        <v/>
      </c>
      <c r="I53" s="200"/>
    </row>
    <row r="54" ht="22.5" customHeight="1">
      <c r="A54" s="192">
        <f t="shared" si="5"/>
        <v>8</v>
      </c>
      <c r="B54" s="201">
        <v>45977.0</v>
      </c>
      <c r="C54" s="202" t="s">
        <v>671</v>
      </c>
      <c r="D54" s="203">
        <v>46.0</v>
      </c>
      <c r="E54" s="196">
        <f t="shared" si="1"/>
        <v>152</v>
      </c>
      <c r="F54" s="204">
        <f t="shared" si="2"/>
        <v>142</v>
      </c>
      <c r="G54" s="205" t="str">
        <f t="shared" si="3"/>
        <v>🔓 ABIERTO</v>
      </c>
      <c r="H54" s="206" t="str">
        <f t="shared" si="4"/>
        <v/>
      </c>
      <c r="I54" s="207"/>
    </row>
    <row r="55" ht="22.5" customHeight="1">
      <c r="A55" s="192">
        <f t="shared" si="5"/>
        <v>8</v>
      </c>
      <c r="B55" s="193">
        <v>46008.0</v>
      </c>
      <c r="C55" s="202" t="s">
        <v>671</v>
      </c>
      <c r="D55" s="195">
        <v>50.0</v>
      </c>
      <c r="E55" s="196">
        <f t="shared" si="1"/>
        <v>202</v>
      </c>
      <c r="F55" s="197">
        <f t="shared" si="2"/>
        <v>142</v>
      </c>
      <c r="G55" s="198" t="str">
        <f t="shared" si="3"/>
        <v>🔓 ABIERTO</v>
      </c>
      <c r="H55" s="199" t="str">
        <f t="shared" si="4"/>
        <v/>
      </c>
      <c r="I55" s="200"/>
    </row>
    <row r="56" ht="22.5" customHeight="1">
      <c r="A56" s="192">
        <f t="shared" si="5"/>
        <v>8</v>
      </c>
      <c r="B56" s="201">
        <v>46009.0</v>
      </c>
      <c r="C56" s="202" t="s">
        <v>4</v>
      </c>
      <c r="D56" s="203">
        <v>45.0</v>
      </c>
      <c r="E56" s="196">
        <f t="shared" si="1"/>
        <v>247</v>
      </c>
      <c r="F56" s="204">
        <f t="shared" si="2"/>
        <v>34</v>
      </c>
      <c r="G56" s="205" t="str">
        <f t="shared" si="3"/>
        <v>✅ CERRADO</v>
      </c>
      <c r="H56" s="206">
        <f t="shared" si="4"/>
        <v>45</v>
      </c>
      <c r="I56" s="207"/>
    </row>
    <row r="57" ht="22.5" customHeight="1">
      <c r="A57" s="192">
        <f t="shared" si="5"/>
        <v>9</v>
      </c>
      <c r="B57" s="193">
        <v>46009.0</v>
      </c>
      <c r="C57" s="194" t="s">
        <v>2</v>
      </c>
      <c r="D57" s="195">
        <v>100.0</v>
      </c>
      <c r="E57" s="196">
        <f t="shared" si="1"/>
        <v>100</v>
      </c>
      <c r="F57" s="197">
        <f t="shared" si="2"/>
        <v>142</v>
      </c>
      <c r="G57" s="198" t="str">
        <f t="shared" si="3"/>
        <v>🔓 ABIERTO</v>
      </c>
      <c r="H57" s="199" t="str">
        <f t="shared" si="4"/>
        <v/>
      </c>
      <c r="I57" s="200"/>
    </row>
    <row r="58" ht="22.5" customHeight="1">
      <c r="A58" s="192">
        <f t="shared" si="5"/>
        <v>9</v>
      </c>
      <c r="B58" s="201">
        <v>46009.0</v>
      </c>
      <c r="C58" s="202" t="s">
        <v>671</v>
      </c>
      <c r="D58" s="203">
        <v>100.0</v>
      </c>
      <c r="E58" s="196">
        <f t="shared" si="1"/>
        <v>200</v>
      </c>
      <c r="F58" s="204">
        <f t="shared" si="2"/>
        <v>142</v>
      </c>
      <c r="G58" s="205" t="str">
        <f t="shared" si="3"/>
        <v>🔓 ABIERTO</v>
      </c>
      <c r="H58" s="206" t="str">
        <f t="shared" si="4"/>
        <v/>
      </c>
      <c r="I58" s="207"/>
    </row>
    <row r="59" ht="22.5" customHeight="1">
      <c r="A59" s="192">
        <f t="shared" si="5"/>
        <v>9</v>
      </c>
      <c r="B59" s="201">
        <v>46009.0</v>
      </c>
      <c r="C59" s="202" t="s">
        <v>4</v>
      </c>
      <c r="D59" s="195">
        <v>45.0</v>
      </c>
      <c r="E59" s="196">
        <f t="shared" si="1"/>
        <v>245</v>
      </c>
      <c r="F59" s="197">
        <f t="shared" si="2"/>
        <v>34</v>
      </c>
      <c r="G59" s="198" t="str">
        <f t="shared" si="3"/>
        <v>✅ CERRADO</v>
      </c>
      <c r="H59" s="199">
        <f t="shared" si="4"/>
        <v>45</v>
      </c>
      <c r="I59" s="200"/>
    </row>
    <row r="60" ht="22.5" customHeight="1">
      <c r="A60" s="192">
        <f t="shared" si="5"/>
        <v>10</v>
      </c>
      <c r="B60" s="201">
        <v>46010.0</v>
      </c>
      <c r="C60" s="194" t="s">
        <v>2</v>
      </c>
      <c r="D60" s="203">
        <v>100.0</v>
      </c>
      <c r="E60" s="196">
        <f t="shared" si="1"/>
        <v>100</v>
      </c>
      <c r="F60" s="204">
        <f t="shared" si="2"/>
        <v>142</v>
      </c>
      <c r="G60" s="205" t="str">
        <f t="shared" si="3"/>
        <v>🔓 ABIERTO</v>
      </c>
      <c r="H60" s="206" t="str">
        <f t="shared" si="4"/>
        <v/>
      </c>
      <c r="I60" s="207"/>
    </row>
    <row r="61" ht="22.5" customHeight="1">
      <c r="A61" s="192">
        <f t="shared" si="5"/>
        <v>10</v>
      </c>
      <c r="B61" s="193">
        <v>46011.0</v>
      </c>
      <c r="C61" s="202" t="s">
        <v>671</v>
      </c>
      <c r="D61" s="195">
        <v>107.0</v>
      </c>
      <c r="E61" s="196">
        <f t="shared" si="1"/>
        <v>207</v>
      </c>
      <c r="F61" s="197">
        <f t="shared" si="2"/>
        <v>142</v>
      </c>
      <c r="G61" s="198" t="str">
        <f t="shared" si="3"/>
        <v>🔓 ABIERTO</v>
      </c>
      <c r="H61" s="199" t="str">
        <f t="shared" si="4"/>
        <v/>
      </c>
      <c r="I61" s="200"/>
    </row>
    <row r="62" ht="22.5" customHeight="1">
      <c r="A62" s="192">
        <f t="shared" si="5"/>
        <v>10</v>
      </c>
      <c r="B62" s="201">
        <v>46012.0</v>
      </c>
      <c r="C62" s="202" t="s">
        <v>671</v>
      </c>
      <c r="D62" s="203">
        <v>100.0</v>
      </c>
      <c r="E62" s="196">
        <f t="shared" si="1"/>
        <v>307</v>
      </c>
      <c r="F62" s="204">
        <f t="shared" si="2"/>
        <v>142</v>
      </c>
      <c r="G62" s="205" t="str">
        <f t="shared" si="3"/>
        <v>🔓 ABIERTO</v>
      </c>
      <c r="H62" s="206" t="str">
        <f t="shared" si="4"/>
        <v/>
      </c>
      <c r="I62" s="207"/>
    </row>
    <row r="63" ht="22.5" customHeight="1">
      <c r="A63" s="192">
        <f t="shared" si="5"/>
        <v>10</v>
      </c>
      <c r="B63" s="193">
        <v>46012.0</v>
      </c>
      <c r="C63" s="202" t="s">
        <v>671</v>
      </c>
      <c r="D63" s="195">
        <v>102.0</v>
      </c>
      <c r="E63" s="196">
        <f t="shared" si="1"/>
        <v>409</v>
      </c>
      <c r="F63" s="197">
        <f t="shared" si="2"/>
        <v>142</v>
      </c>
      <c r="G63" s="198" t="str">
        <f t="shared" si="3"/>
        <v>🔓 ABIERTO</v>
      </c>
      <c r="H63" s="199" t="str">
        <f t="shared" si="4"/>
        <v/>
      </c>
      <c r="I63" s="200"/>
    </row>
    <row r="64" ht="22.5" customHeight="1">
      <c r="A64" s="192">
        <f t="shared" si="5"/>
        <v>10</v>
      </c>
      <c r="B64" s="201">
        <v>46013.0</v>
      </c>
      <c r="C64" s="202" t="s">
        <v>671</v>
      </c>
      <c r="D64" s="203">
        <v>100.0</v>
      </c>
      <c r="E64" s="196">
        <f t="shared" si="1"/>
        <v>509</v>
      </c>
      <c r="F64" s="204">
        <f t="shared" si="2"/>
        <v>142</v>
      </c>
      <c r="G64" s="205" t="str">
        <f t="shared" si="3"/>
        <v>🔓 ABIERTO</v>
      </c>
      <c r="H64" s="206" t="str">
        <f t="shared" si="4"/>
        <v/>
      </c>
      <c r="I64" s="207"/>
    </row>
    <row r="65" ht="22.5" customHeight="1">
      <c r="A65" s="192">
        <f t="shared" si="5"/>
        <v>10</v>
      </c>
      <c r="B65" s="193">
        <v>46014.0</v>
      </c>
      <c r="C65" s="202" t="s">
        <v>671</v>
      </c>
      <c r="D65" s="195">
        <v>100.0</v>
      </c>
      <c r="E65" s="196">
        <f t="shared" si="1"/>
        <v>609</v>
      </c>
      <c r="F65" s="197">
        <f t="shared" si="2"/>
        <v>142</v>
      </c>
      <c r="G65" s="198" t="str">
        <f t="shared" si="3"/>
        <v>🔓 ABIERTO</v>
      </c>
      <c r="H65" s="199" t="str">
        <f t="shared" si="4"/>
        <v/>
      </c>
      <c r="I65" s="200"/>
    </row>
    <row r="66" ht="22.5" customHeight="1">
      <c r="A66" s="192">
        <f t="shared" si="5"/>
        <v>10</v>
      </c>
      <c r="B66" s="201">
        <v>46015.0</v>
      </c>
      <c r="C66" s="202" t="s">
        <v>4</v>
      </c>
      <c r="D66" s="203">
        <v>77.0</v>
      </c>
      <c r="E66" s="196">
        <f t="shared" si="1"/>
        <v>686</v>
      </c>
      <c r="F66" s="204">
        <f t="shared" si="2"/>
        <v>40</v>
      </c>
      <c r="G66" s="205" t="str">
        <f t="shared" si="3"/>
        <v>✅ CERRADO</v>
      </c>
      <c r="H66" s="206">
        <f t="shared" si="4"/>
        <v>77</v>
      </c>
      <c r="I66" s="207"/>
    </row>
    <row r="67" ht="22.5" customHeight="1">
      <c r="A67" s="192">
        <f t="shared" si="5"/>
        <v>11</v>
      </c>
      <c r="B67" s="193">
        <v>46014.0</v>
      </c>
      <c r="C67" s="194" t="s">
        <v>2</v>
      </c>
      <c r="D67" s="195">
        <v>100.0</v>
      </c>
      <c r="E67" s="196">
        <f t="shared" si="1"/>
        <v>100</v>
      </c>
      <c r="F67" s="197">
        <f t="shared" si="2"/>
        <v>142</v>
      </c>
      <c r="G67" s="198" t="str">
        <f t="shared" si="3"/>
        <v>🔓 ABIERTO</v>
      </c>
      <c r="H67" s="199" t="str">
        <f t="shared" si="4"/>
        <v/>
      </c>
      <c r="I67" s="200"/>
    </row>
    <row r="68" ht="22.5" customHeight="1">
      <c r="A68" s="192">
        <f t="shared" si="5"/>
        <v>11</v>
      </c>
      <c r="B68" s="201">
        <v>46015.0</v>
      </c>
      <c r="C68" s="202" t="s">
        <v>671</v>
      </c>
      <c r="D68" s="203">
        <v>100.0</v>
      </c>
      <c r="E68" s="196">
        <f t="shared" si="1"/>
        <v>200</v>
      </c>
      <c r="F68" s="204">
        <f t="shared" si="2"/>
        <v>142</v>
      </c>
      <c r="G68" s="205" t="str">
        <f t="shared" si="3"/>
        <v>🔓 ABIERTO</v>
      </c>
      <c r="H68" s="206" t="str">
        <f t="shared" si="4"/>
        <v/>
      </c>
      <c r="I68" s="207"/>
    </row>
    <row r="69" ht="22.5" customHeight="1">
      <c r="A69" s="192">
        <f t="shared" si="5"/>
        <v>11</v>
      </c>
      <c r="B69" s="193">
        <v>46016.0</v>
      </c>
      <c r="C69" s="202" t="s">
        <v>671</v>
      </c>
      <c r="D69" s="195">
        <v>100.0</v>
      </c>
      <c r="E69" s="196">
        <f t="shared" si="1"/>
        <v>300</v>
      </c>
      <c r="F69" s="197">
        <f t="shared" si="2"/>
        <v>142</v>
      </c>
      <c r="G69" s="198" t="str">
        <f t="shared" si="3"/>
        <v>🔓 ABIERTO</v>
      </c>
      <c r="H69" s="199" t="str">
        <f t="shared" si="4"/>
        <v/>
      </c>
      <c r="I69" s="200"/>
    </row>
    <row r="70" ht="22.5" customHeight="1">
      <c r="A70" s="192">
        <f t="shared" si="5"/>
        <v>11</v>
      </c>
      <c r="B70" s="201">
        <v>46017.0</v>
      </c>
      <c r="C70" s="202" t="s">
        <v>671</v>
      </c>
      <c r="D70" s="203">
        <v>100.0</v>
      </c>
      <c r="E70" s="196">
        <f t="shared" si="1"/>
        <v>400</v>
      </c>
      <c r="F70" s="204">
        <f t="shared" si="2"/>
        <v>142</v>
      </c>
      <c r="G70" s="205" t="str">
        <f t="shared" si="3"/>
        <v>🔓 ABIERTO</v>
      </c>
      <c r="H70" s="206" t="str">
        <f t="shared" si="4"/>
        <v/>
      </c>
      <c r="I70" s="207"/>
    </row>
    <row r="71" ht="22.5" customHeight="1">
      <c r="A71" s="192">
        <f t="shared" si="5"/>
        <v>11</v>
      </c>
      <c r="B71" s="193">
        <v>46018.0</v>
      </c>
      <c r="C71" s="202" t="s">
        <v>671</v>
      </c>
      <c r="D71" s="195">
        <v>100.0</v>
      </c>
      <c r="E71" s="196">
        <f t="shared" si="1"/>
        <v>500</v>
      </c>
      <c r="F71" s="197">
        <f t="shared" si="2"/>
        <v>142</v>
      </c>
      <c r="G71" s="198" t="str">
        <f t="shared" si="3"/>
        <v>🔓 ABIERTO</v>
      </c>
      <c r="H71" s="199" t="str">
        <f t="shared" si="4"/>
        <v/>
      </c>
      <c r="I71" s="200"/>
    </row>
    <row r="72" ht="22.5" customHeight="1">
      <c r="A72" s="192">
        <f t="shared" si="5"/>
        <v>11</v>
      </c>
      <c r="B72" s="201">
        <v>46019.0</v>
      </c>
      <c r="C72" s="202" t="s">
        <v>671</v>
      </c>
      <c r="D72" s="203">
        <v>50.0</v>
      </c>
      <c r="E72" s="196">
        <f t="shared" si="1"/>
        <v>550</v>
      </c>
      <c r="F72" s="204">
        <f t="shared" si="2"/>
        <v>142</v>
      </c>
      <c r="G72" s="205" t="str">
        <f t="shared" si="3"/>
        <v>🔓 ABIERTO</v>
      </c>
      <c r="H72" s="206" t="str">
        <f t="shared" si="4"/>
        <v/>
      </c>
      <c r="I72" s="207"/>
    </row>
    <row r="73" ht="22.5" customHeight="1">
      <c r="A73" s="192">
        <f t="shared" si="5"/>
        <v>11</v>
      </c>
      <c r="B73" s="208">
        <v>46035.0</v>
      </c>
      <c r="C73" s="202" t="s">
        <v>671</v>
      </c>
      <c r="D73" s="195">
        <v>366.0</v>
      </c>
      <c r="E73" s="196">
        <f t="shared" si="1"/>
        <v>916</v>
      </c>
      <c r="F73" s="197">
        <f t="shared" si="2"/>
        <v>142</v>
      </c>
      <c r="G73" s="198" t="str">
        <f t="shared" si="3"/>
        <v>🔓 ABIERTO</v>
      </c>
      <c r="H73" s="199" t="str">
        <f t="shared" si="4"/>
        <v/>
      </c>
      <c r="I73" s="200"/>
    </row>
    <row r="74" ht="22.5" customHeight="1">
      <c r="A74" s="192">
        <f t="shared" si="5"/>
        <v>11</v>
      </c>
      <c r="B74" s="201">
        <v>46043.0</v>
      </c>
      <c r="C74" s="202" t="s">
        <v>4</v>
      </c>
      <c r="D74" s="203">
        <v>220.0</v>
      </c>
      <c r="E74" s="196">
        <f t="shared" si="1"/>
        <v>1136</v>
      </c>
      <c r="F74" s="204">
        <f t="shared" si="2"/>
        <v>68</v>
      </c>
      <c r="G74" s="205" t="str">
        <f t="shared" si="3"/>
        <v>✅ CERRADO</v>
      </c>
      <c r="H74" s="206">
        <f t="shared" si="4"/>
        <v>220</v>
      </c>
      <c r="I74" s="207"/>
    </row>
    <row r="75" ht="22.5" customHeight="1">
      <c r="A75" s="192">
        <f t="shared" si="5"/>
        <v>12</v>
      </c>
      <c r="B75" s="208">
        <v>46043.0</v>
      </c>
      <c r="C75" s="194" t="s">
        <v>2</v>
      </c>
      <c r="D75" s="195">
        <v>60.0</v>
      </c>
      <c r="E75" s="196">
        <f t="shared" si="1"/>
        <v>60</v>
      </c>
      <c r="F75" s="197">
        <f t="shared" si="2"/>
        <v>142</v>
      </c>
      <c r="G75" s="198" t="str">
        <f t="shared" si="3"/>
        <v>🔓 ABIERTO</v>
      </c>
      <c r="H75" s="199" t="str">
        <f t="shared" si="4"/>
        <v/>
      </c>
      <c r="I75" s="200"/>
    </row>
    <row r="76" ht="22.5" customHeight="1">
      <c r="A76" s="192">
        <f t="shared" si="5"/>
        <v>12</v>
      </c>
      <c r="B76" s="209">
        <v>46044.0</v>
      </c>
      <c r="C76" s="202" t="s">
        <v>671</v>
      </c>
      <c r="D76" s="203">
        <v>60.0</v>
      </c>
      <c r="E76" s="196">
        <f t="shared" si="1"/>
        <v>120</v>
      </c>
      <c r="F76" s="204">
        <f t="shared" si="2"/>
        <v>142</v>
      </c>
      <c r="G76" s="205" t="str">
        <f t="shared" si="3"/>
        <v>🔓 ABIERTO</v>
      </c>
      <c r="H76" s="206" t="str">
        <f t="shared" si="4"/>
        <v/>
      </c>
      <c r="I76" s="207"/>
    </row>
    <row r="77" ht="22.5" customHeight="1">
      <c r="A77" s="192">
        <f t="shared" si="5"/>
        <v>12</v>
      </c>
      <c r="B77" s="208">
        <v>46045.0</v>
      </c>
      <c r="C77" s="202" t="s">
        <v>671</v>
      </c>
      <c r="D77" s="195">
        <v>60.0</v>
      </c>
      <c r="E77" s="196">
        <f t="shared" si="1"/>
        <v>180</v>
      </c>
      <c r="F77" s="197">
        <f t="shared" si="2"/>
        <v>142</v>
      </c>
      <c r="G77" s="198" t="str">
        <f t="shared" si="3"/>
        <v>🔓 ABIERTO</v>
      </c>
      <c r="H77" s="199" t="str">
        <f t="shared" si="4"/>
        <v/>
      </c>
      <c r="I77" s="200"/>
    </row>
    <row r="78" ht="22.5" customHeight="1">
      <c r="A78" s="192">
        <f t="shared" si="5"/>
        <v>12</v>
      </c>
      <c r="B78" s="209">
        <v>46047.0</v>
      </c>
      <c r="C78" s="202" t="s">
        <v>671</v>
      </c>
      <c r="D78" s="203">
        <v>52.0</v>
      </c>
      <c r="E78" s="196">
        <f t="shared" si="1"/>
        <v>232</v>
      </c>
      <c r="F78" s="204">
        <f t="shared" si="2"/>
        <v>142</v>
      </c>
      <c r="G78" s="205" t="str">
        <f t="shared" si="3"/>
        <v>🔓 ABIERTO</v>
      </c>
      <c r="H78" s="206" t="str">
        <f t="shared" si="4"/>
        <v/>
      </c>
      <c r="I78" s="207"/>
    </row>
    <row r="79" ht="22.5" customHeight="1">
      <c r="A79" s="192">
        <f t="shared" si="5"/>
        <v>12</v>
      </c>
      <c r="B79" s="208">
        <v>46047.0</v>
      </c>
      <c r="C79" s="202" t="s">
        <v>4</v>
      </c>
      <c r="D79" s="195">
        <v>50.0</v>
      </c>
      <c r="E79" s="196">
        <f t="shared" si="1"/>
        <v>282</v>
      </c>
      <c r="F79" s="197">
        <f t="shared" si="2"/>
        <v>72</v>
      </c>
      <c r="G79" s="198" t="str">
        <f t="shared" si="3"/>
        <v>✅ CERRADO</v>
      </c>
      <c r="H79" s="199">
        <f t="shared" si="4"/>
        <v>50</v>
      </c>
      <c r="I79" s="200"/>
    </row>
    <row r="80" ht="22.5" customHeight="1">
      <c r="A80" s="192">
        <f t="shared" si="5"/>
        <v>13</v>
      </c>
      <c r="B80" s="209">
        <v>46055.0</v>
      </c>
      <c r="C80" s="194" t="s">
        <v>2</v>
      </c>
      <c r="D80" s="203">
        <v>100.0</v>
      </c>
      <c r="E80" s="196">
        <f t="shared" si="1"/>
        <v>100</v>
      </c>
      <c r="F80" s="204">
        <f t="shared" si="2"/>
        <v>142</v>
      </c>
      <c r="G80" s="205" t="str">
        <f t="shared" si="3"/>
        <v>🔓 ABIERTO</v>
      </c>
      <c r="H80" s="206" t="str">
        <f t="shared" si="4"/>
        <v/>
      </c>
      <c r="I80" s="207"/>
    </row>
    <row r="81" ht="22.5" customHeight="1">
      <c r="A81" s="192">
        <f t="shared" si="5"/>
        <v>13</v>
      </c>
      <c r="B81" s="208">
        <v>46056.0</v>
      </c>
      <c r="C81" s="202" t="s">
        <v>671</v>
      </c>
      <c r="D81" s="195">
        <v>100.0</v>
      </c>
      <c r="E81" s="196">
        <f t="shared" si="1"/>
        <v>200</v>
      </c>
      <c r="F81" s="197">
        <f t="shared" si="2"/>
        <v>142</v>
      </c>
      <c r="G81" s="198" t="str">
        <f t="shared" si="3"/>
        <v>🔓 ABIERTO</v>
      </c>
      <c r="H81" s="199" t="str">
        <f t="shared" si="4"/>
        <v/>
      </c>
      <c r="I81" s="200"/>
    </row>
    <row r="82" ht="22.5" customHeight="1">
      <c r="A82" s="192">
        <f t="shared" si="5"/>
        <v>13</v>
      </c>
      <c r="B82" s="208">
        <v>46056.0</v>
      </c>
      <c r="C82" s="202" t="s">
        <v>4</v>
      </c>
      <c r="D82" s="203">
        <v>78.6</v>
      </c>
      <c r="E82" s="196">
        <f t="shared" si="1"/>
        <v>278.6</v>
      </c>
      <c r="F82" s="204">
        <f t="shared" si="2"/>
        <v>81</v>
      </c>
      <c r="G82" s="205" t="str">
        <f t="shared" si="3"/>
        <v>✅ CERRADO</v>
      </c>
      <c r="H82" s="206">
        <f t="shared" si="4"/>
        <v>78.6</v>
      </c>
      <c r="I82" s="207"/>
    </row>
    <row r="83" ht="22.5" customHeight="1">
      <c r="A83" s="192">
        <f t="shared" si="5"/>
        <v>14</v>
      </c>
      <c r="B83" s="208">
        <v>46056.0</v>
      </c>
      <c r="C83" s="194" t="s">
        <v>2</v>
      </c>
      <c r="D83" s="195">
        <v>100.0</v>
      </c>
      <c r="E83" s="196">
        <f t="shared" si="1"/>
        <v>100</v>
      </c>
      <c r="F83" s="197">
        <f t="shared" si="2"/>
        <v>142</v>
      </c>
      <c r="G83" s="198" t="str">
        <f t="shared" si="3"/>
        <v>🔓 ABIERTO</v>
      </c>
      <c r="H83" s="199" t="str">
        <f t="shared" si="4"/>
        <v/>
      </c>
      <c r="I83" s="200"/>
    </row>
    <row r="84" ht="22.5" customHeight="1">
      <c r="A84" s="192">
        <f t="shared" si="5"/>
        <v>14</v>
      </c>
      <c r="B84" s="209">
        <v>46057.0</v>
      </c>
      <c r="C84" s="202" t="s">
        <v>4</v>
      </c>
      <c r="D84" s="203">
        <v>43.0</v>
      </c>
      <c r="E84" s="196">
        <f t="shared" si="1"/>
        <v>143</v>
      </c>
      <c r="F84" s="204">
        <f t="shared" si="2"/>
        <v>82</v>
      </c>
      <c r="G84" s="205" t="str">
        <f t="shared" si="3"/>
        <v>✅ CERRADO</v>
      </c>
      <c r="H84" s="206">
        <f t="shared" si="4"/>
        <v>43</v>
      </c>
      <c r="I84" s="207"/>
    </row>
    <row r="85" ht="22.5" customHeight="1">
      <c r="A85" s="192">
        <f t="shared" si="5"/>
        <v>15</v>
      </c>
      <c r="B85" s="208">
        <v>46058.0</v>
      </c>
      <c r="C85" s="194" t="s">
        <v>2</v>
      </c>
      <c r="D85" s="195">
        <v>150.0</v>
      </c>
      <c r="E85" s="196">
        <f t="shared" si="1"/>
        <v>150</v>
      </c>
      <c r="F85" s="197">
        <f t="shared" si="2"/>
        <v>142</v>
      </c>
      <c r="G85" s="198" t="str">
        <f t="shared" si="3"/>
        <v>🔓 ABIERTO</v>
      </c>
      <c r="H85" s="199" t="str">
        <f t="shared" si="4"/>
        <v/>
      </c>
      <c r="I85" s="200"/>
    </row>
    <row r="86" ht="22.5" customHeight="1">
      <c r="A86" s="192">
        <f t="shared" si="5"/>
        <v>15</v>
      </c>
      <c r="B86" s="208">
        <v>46058.0</v>
      </c>
      <c r="C86" s="202" t="s">
        <v>4</v>
      </c>
      <c r="D86" s="203">
        <v>50.0</v>
      </c>
      <c r="E86" s="196">
        <f t="shared" si="1"/>
        <v>200</v>
      </c>
      <c r="F86" s="204">
        <f t="shared" si="2"/>
        <v>83</v>
      </c>
      <c r="G86" s="205" t="str">
        <f t="shared" si="3"/>
        <v>✅ CERRADO</v>
      </c>
      <c r="H86" s="206">
        <f t="shared" si="4"/>
        <v>50</v>
      </c>
      <c r="I86" s="207"/>
    </row>
    <row r="87" ht="22.5" customHeight="1">
      <c r="A87" s="192">
        <f t="shared" si="5"/>
        <v>16</v>
      </c>
      <c r="B87" s="208">
        <v>46058.0</v>
      </c>
      <c r="C87" s="194" t="s">
        <v>2</v>
      </c>
      <c r="D87" s="195">
        <v>150.0</v>
      </c>
      <c r="E87" s="196">
        <f t="shared" si="1"/>
        <v>150</v>
      </c>
      <c r="F87" s="197">
        <f t="shared" si="2"/>
        <v>142</v>
      </c>
      <c r="G87" s="198" t="str">
        <f t="shared" si="3"/>
        <v>🔓 ABIERTO</v>
      </c>
      <c r="H87" s="199" t="str">
        <f t="shared" si="4"/>
        <v/>
      </c>
      <c r="I87" s="200"/>
    </row>
    <row r="88" ht="22.5" customHeight="1">
      <c r="A88" s="192">
        <f t="shared" si="5"/>
        <v>16</v>
      </c>
      <c r="B88" s="208">
        <v>46059.0</v>
      </c>
      <c r="C88" s="202" t="s">
        <v>671</v>
      </c>
      <c r="D88" s="203">
        <v>150.0</v>
      </c>
      <c r="E88" s="196">
        <f t="shared" si="1"/>
        <v>300</v>
      </c>
      <c r="F88" s="204">
        <f t="shared" si="2"/>
        <v>142</v>
      </c>
      <c r="G88" s="205" t="str">
        <f t="shared" si="3"/>
        <v>🔓 ABIERTO</v>
      </c>
      <c r="H88" s="206" t="str">
        <f t="shared" si="4"/>
        <v/>
      </c>
      <c r="I88" s="207"/>
    </row>
    <row r="89" ht="22.5" customHeight="1">
      <c r="A89" s="192">
        <f t="shared" si="5"/>
        <v>16</v>
      </c>
      <c r="B89" s="208">
        <v>46059.0</v>
      </c>
      <c r="C89" s="202" t="s">
        <v>671</v>
      </c>
      <c r="D89" s="195">
        <v>150.0</v>
      </c>
      <c r="E89" s="196">
        <f t="shared" si="1"/>
        <v>450</v>
      </c>
      <c r="F89" s="197">
        <f t="shared" si="2"/>
        <v>142</v>
      </c>
      <c r="G89" s="198" t="str">
        <f t="shared" si="3"/>
        <v>🔓 ABIERTO</v>
      </c>
      <c r="H89" s="199" t="str">
        <f t="shared" si="4"/>
        <v/>
      </c>
      <c r="I89" s="200"/>
    </row>
    <row r="90" ht="22.5" customHeight="1">
      <c r="A90" s="192">
        <f t="shared" si="5"/>
        <v>16</v>
      </c>
      <c r="B90" s="208">
        <v>46060.0</v>
      </c>
      <c r="C90" s="202" t="s">
        <v>671</v>
      </c>
      <c r="D90" s="203">
        <v>50.0</v>
      </c>
      <c r="E90" s="196">
        <f t="shared" si="1"/>
        <v>500</v>
      </c>
      <c r="F90" s="204">
        <f t="shared" si="2"/>
        <v>142</v>
      </c>
      <c r="G90" s="205" t="str">
        <f t="shared" si="3"/>
        <v>🔓 ABIERTO</v>
      </c>
      <c r="H90" s="206" t="str">
        <f t="shared" si="4"/>
        <v/>
      </c>
      <c r="I90" s="207"/>
    </row>
    <row r="91" ht="22.5" customHeight="1">
      <c r="A91" s="192">
        <f t="shared" si="5"/>
        <v>16</v>
      </c>
      <c r="B91" s="208">
        <v>46061.0</v>
      </c>
      <c r="C91" s="202" t="s">
        <v>671</v>
      </c>
      <c r="D91" s="195">
        <v>100.0</v>
      </c>
      <c r="E91" s="196">
        <f t="shared" si="1"/>
        <v>600</v>
      </c>
      <c r="F91" s="197">
        <f t="shared" si="2"/>
        <v>142</v>
      </c>
      <c r="G91" s="198" t="str">
        <f t="shared" si="3"/>
        <v>🔓 ABIERTO</v>
      </c>
      <c r="H91" s="199" t="str">
        <f t="shared" si="4"/>
        <v/>
      </c>
      <c r="I91" s="200"/>
    </row>
    <row r="92" ht="22.5" customHeight="1">
      <c r="A92" s="192">
        <f t="shared" si="5"/>
        <v>16</v>
      </c>
      <c r="B92" s="208">
        <v>46062.0</v>
      </c>
      <c r="C92" s="202" t="s">
        <v>671</v>
      </c>
      <c r="D92" s="203">
        <v>150.0</v>
      </c>
      <c r="E92" s="196">
        <f t="shared" si="1"/>
        <v>750</v>
      </c>
      <c r="F92" s="204">
        <f t="shared" si="2"/>
        <v>142</v>
      </c>
      <c r="G92" s="205" t="str">
        <f t="shared" si="3"/>
        <v>🔓 ABIERTO</v>
      </c>
      <c r="H92" s="206" t="str">
        <f t="shared" si="4"/>
        <v/>
      </c>
      <c r="I92" s="207"/>
    </row>
    <row r="93" ht="22.5" customHeight="1">
      <c r="A93" s="192">
        <f t="shared" si="5"/>
        <v>16</v>
      </c>
      <c r="B93" s="208">
        <v>46063.0</v>
      </c>
      <c r="C93" s="202" t="s">
        <v>671</v>
      </c>
      <c r="D93" s="195">
        <v>50.0</v>
      </c>
      <c r="E93" s="196">
        <f t="shared" si="1"/>
        <v>800</v>
      </c>
      <c r="F93" s="197">
        <f t="shared" si="2"/>
        <v>142</v>
      </c>
      <c r="G93" s="198" t="str">
        <f t="shared" si="3"/>
        <v>🔓 ABIERTO</v>
      </c>
      <c r="H93" s="199" t="str">
        <f t="shared" si="4"/>
        <v/>
      </c>
      <c r="I93" s="200"/>
    </row>
    <row r="94" ht="22.5" customHeight="1">
      <c r="A94" s="192">
        <f t="shared" si="5"/>
        <v>16</v>
      </c>
      <c r="B94" s="208">
        <v>46064.0</v>
      </c>
      <c r="C94" s="194" t="s">
        <v>4</v>
      </c>
      <c r="D94" s="203">
        <v>170.0</v>
      </c>
      <c r="E94" s="196">
        <f t="shared" si="1"/>
        <v>970</v>
      </c>
      <c r="F94" s="204">
        <f t="shared" si="2"/>
        <v>89</v>
      </c>
      <c r="G94" s="205" t="str">
        <f t="shared" si="3"/>
        <v>✅ CERRADO</v>
      </c>
      <c r="H94" s="206">
        <f t="shared" si="4"/>
        <v>170</v>
      </c>
      <c r="I94" s="207"/>
    </row>
    <row r="95" ht="22.5" customHeight="1">
      <c r="A95" s="192">
        <f t="shared" si="5"/>
        <v>17</v>
      </c>
      <c r="B95" s="208">
        <v>46065.0</v>
      </c>
      <c r="C95" s="194" t="s">
        <v>2</v>
      </c>
      <c r="D95" s="195">
        <v>100.0</v>
      </c>
      <c r="E95" s="196">
        <f t="shared" si="1"/>
        <v>100</v>
      </c>
      <c r="F95" s="197">
        <f t="shared" si="2"/>
        <v>142</v>
      </c>
      <c r="G95" s="198" t="str">
        <f t="shared" si="3"/>
        <v>🔓 ABIERTO</v>
      </c>
      <c r="H95" s="199" t="str">
        <f t="shared" si="4"/>
        <v/>
      </c>
      <c r="I95" s="200"/>
    </row>
    <row r="96" ht="22.5" customHeight="1">
      <c r="A96" s="192">
        <f t="shared" si="5"/>
        <v>17</v>
      </c>
      <c r="B96" s="208">
        <v>46066.0</v>
      </c>
      <c r="C96" s="202" t="s">
        <v>671</v>
      </c>
      <c r="D96" s="203">
        <v>50.0</v>
      </c>
      <c r="E96" s="196">
        <f t="shared" si="1"/>
        <v>150</v>
      </c>
      <c r="F96" s="204">
        <f t="shared" si="2"/>
        <v>142</v>
      </c>
      <c r="G96" s="205" t="str">
        <f t="shared" si="3"/>
        <v>🔓 ABIERTO</v>
      </c>
      <c r="H96" s="206" t="str">
        <f t="shared" si="4"/>
        <v/>
      </c>
      <c r="I96" s="207"/>
    </row>
    <row r="97" ht="22.5" customHeight="1">
      <c r="A97" s="192">
        <f t="shared" si="5"/>
        <v>17</v>
      </c>
      <c r="B97" s="208">
        <v>46066.0</v>
      </c>
      <c r="C97" s="202" t="s">
        <v>671</v>
      </c>
      <c r="D97" s="195">
        <v>100.0</v>
      </c>
      <c r="E97" s="196">
        <f t="shared" si="1"/>
        <v>250</v>
      </c>
      <c r="F97" s="197">
        <f t="shared" si="2"/>
        <v>142</v>
      </c>
      <c r="G97" s="198" t="str">
        <f t="shared" si="3"/>
        <v>🔓 ABIERTO</v>
      </c>
      <c r="H97" s="199" t="str">
        <f t="shared" si="4"/>
        <v/>
      </c>
      <c r="I97" s="200"/>
    </row>
    <row r="98" ht="22.5" customHeight="1">
      <c r="A98" s="192">
        <f t="shared" si="5"/>
        <v>17</v>
      </c>
      <c r="B98" s="208">
        <v>46067.0</v>
      </c>
      <c r="C98" s="202" t="s">
        <v>671</v>
      </c>
      <c r="D98" s="203">
        <v>200.0</v>
      </c>
      <c r="E98" s="196">
        <f t="shared" si="1"/>
        <v>450</v>
      </c>
      <c r="F98" s="204">
        <f t="shared" si="2"/>
        <v>142</v>
      </c>
      <c r="G98" s="205" t="str">
        <f t="shared" si="3"/>
        <v>🔓 ABIERTO</v>
      </c>
      <c r="H98" s="206" t="str">
        <f t="shared" si="4"/>
        <v/>
      </c>
      <c r="I98" s="207"/>
    </row>
    <row r="99" ht="22.5" customHeight="1">
      <c r="A99" s="192">
        <f t="shared" si="5"/>
        <v>17</v>
      </c>
      <c r="B99" s="208">
        <v>46068.0</v>
      </c>
      <c r="C99" s="202" t="s">
        <v>671</v>
      </c>
      <c r="D99" s="195">
        <v>50.0</v>
      </c>
      <c r="E99" s="196">
        <f t="shared" si="1"/>
        <v>500</v>
      </c>
      <c r="F99" s="197">
        <f t="shared" si="2"/>
        <v>142</v>
      </c>
      <c r="G99" s="198" t="str">
        <f t="shared" si="3"/>
        <v>🔓 ABIERTO</v>
      </c>
      <c r="H99" s="199" t="str">
        <f t="shared" si="4"/>
        <v/>
      </c>
      <c r="I99" s="200"/>
    </row>
    <row r="100" ht="22.5" customHeight="1">
      <c r="A100" s="192">
        <f t="shared" si="5"/>
        <v>17</v>
      </c>
      <c r="B100" s="208">
        <v>46070.0</v>
      </c>
      <c r="C100" s="194" t="s">
        <v>4</v>
      </c>
      <c r="D100" s="203">
        <v>106.0</v>
      </c>
      <c r="E100" s="196">
        <f t="shared" si="1"/>
        <v>606</v>
      </c>
      <c r="F100" s="204">
        <f t="shared" si="2"/>
        <v>95</v>
      </c>
      <c r="G100" s="205" t="str">
        <f t="shared" si="3"/>
        <v>✅ CERRADO</v>
      </c>
      <c r="H100" s="206">
        <f t="shared" si="4"/>
        <v>106</v>
      </c>
      <c r="I100" s="207"/>
    </row>
    <row r="101" ht="22.5" customHeight="1">
      <c r="A101" s="192">
        <f t="shared" si="5"/>
        <v>18</v>
      </c>
      <c r="B101" s="208">
        <v>46069.0</v>
      </c>
      <c r="C101" s="194" t="s">
        <v>2</v>
      </c>
      <c r="D101" s="195">
        <v>100.0</v>
      </c>
      <c r="E101" s="196">
        <f t="shared" si="1"/>
        <v>100</v>
      </c>
      <c r="F101" s="197">
        <f t="shared" si="2"/>
        <v>142</v>
      </c>
      <c r="G101" s="198" t="str">
        <f t="shared" si="3"/>
        <v>🔓 ABIERTO</v>
      </c>
      <c r="H101" s="199" t="str">
        <f t="shared" si="4"/>
        <v/>
      </c>
      <c r="I101" s="200"/>
    </row>
    <row r="102" ht="22.5" customHeight="1">
      <c r="A102" s="192">
        <f t="shared" si="5"/>
        <v>18</v>
      </c>
      <c r="B102" s="208">
        <v>46070.0</v>
      </c>
      <c r="C102" s="202" t="s">
        <v>671</v>
      </c>
      <c r="D102" s="203">
        <v>50.0</v>
      </c>
      <c r="E102" s="196">
        <f t="shared" si="1"/>
        <v>150</v>
      </c>
      <c r="F102" s="204">
        <f t="shared" si="2"/>
        <v>142</v>
      </c>
      <c r="G102" s="205" t="str">
        <f t="shared" si="3"/>
        <v>🔓 ABIERTO</v>
      </c>
      <c r="H102" s="206" t="str">
        <f t="shared" si="4"/>
        <v/>
      </c>
      <c r="I102" s="207"/>
    </row>
    <row r="103" ht="22.5" customHeight="1">
      <c r="A103" s="192">
        <f t="shared" si="5"/>
        <v>18</v>
      </c>
      <c r="B103" s="208">
        <v>46071.0</v>
      </c>
      <c r="C103" s="202" t="s">
        <v>671</v>
      </c>
      <c r="D103" s="195">
        <v>50.0</v>
      </c>
      <c r="E103" s="196">
        <f t="shared" si="1"/>
        <v>200</v>
      </c>
      <c r="F103" s="197">
        <f t="shared" si="2"/>
        <v>142</v>
      </c>
      <c r="G103" s="198" t="str">
        <f t="shared" si="3"/>
        <v>🔓 ABIERTO</v>
      </c>
      <c r="H103" s="199" t="str">
        <f t="shared" si="4"/>
        <v/>
      </c>
      <c r="I103" s="200"/>
    </row>
    <row r="104" ht="22.5" customHeight="1">
      <c r="A104" s="192">
        <f t="shared" si="5"/>
        <v>18</v>
      </c>
      <c r="B104" s="208">
        <v>46072.0</v>
      </c>
      <c r="C104" s="202" t="s">
        <v>671</v>
      </c>
      <c r="D104" s="203">
        <v>50.0</v>
      </c>
      <c r="E104" s="196">
        <f t="shared" si="1"/>
        <v>250</v>
      </c>
      <c r="F104" s="204">
        <f t="shared" si="2"/>
        <v>142</v>
      </c>
      <c r="G104" s="205" t="str">
        <f t="shared" si="3"/>
        <v>🔓 ABIERTO</v>
      </c>
      <c r="H104" s="206" t="str">
        <f t="shared" si="4"/>
        <v/>
      </c>
      <c r="I104" s="207"/>
    </row>
    <row r="105" ht="22.5" customHeight="1">
      <c r="A105" s="192">
        <f t="shared" si="5"/>
        <v>18</v>
      </c>
      <c r="B105" s="208">
        <v>46073.0</v>
      </c>
      <c r="C105" s="202" t="s">
        <v>671</v>
      </c>
      <c r="D105" s="195">
        <v>50.0</v>
      </c>
      <c r="E105" s="196">
        <f t="shared" si="1"/>
        <v>300</v>
      </c>
      <c r="F105" s="197">
        <f t="shared" si="2"/>
        <v>142</v>
      </c>
      <c r="G105" s="198" t="str">
        <f t="shared" si="3"/>
        <v>🔓 ABIERTO</v>
      </c>
      <c r="H105" s="199" t="str">
        <f t="shared" si="4"/>
        <v/>
      </c>
      <c r="I105" s="200"/>
    </row>
    <row r="106" ht="22.5" customHeight="1">
      <c r="A106" s="192">
        <f t="shared" si="5"/>
        <v>18</v>
      </c>
      <c r="B106" s="208">
        <v>46074.0</v>
      </c>
      <c r="C106" s="202" t="s">
        <v>671</v>
      </c>
      <c r="D106" s="203">
        <v>100.0</v>
      </c>
      <c r="E106" s="196">
        <f t="shared" si="1"/>
        <v>400</v>
      </c>
      <c r="F106" s="204">
        <f t="shared" si="2"/>
        <v>142</v>
      </c>
      <c r="G106" s="205" t="str">
        <f t="shared" si="3"/>
        <v>🔓 ABIERTO</v>
      </c>
      <c r="H106" s="206" t="str">
        <f t="shared" si="4"/>
        <v/>
      </c>
      <c r="I106" s="207"/>
    </row>
    <row r="107" ht="22.5" customHeight="1">
      <c r="A107" s="192">
        <f t="shared" si="5"/>
        <v>18</v>
      </c>
      <c r="B107" s="208">
        <v>46075.0</v>
      </c>
      <c r="C107" s="194" t="s">
        <v>4</v>
      </c>
      <c r="D107" s="195">
        <v>90.0</v>
      </c>
      <c r="E107" s="196">
        <f t="shared" si="1"/>
        <v>490</v>
      </c>
      <c r="F107" s="197">
        <f t="shared" si="2"/>
        <v>100</v>
      </c>
      <c r="G107" s="198" t="str">
        <f t="shared" si="3"/>
        <v>✅ CERRADO</v>
      </c>
      <c r="H107" s="199">
        <f t="shared" si="4"/>
        <v>90</v>
      </c>
      <c r="I107" s="200"/>
    </row>
    <row r="108" ht="22.5" customHeight="1">
      <c r="A108" s="192">
        <f t="shared" si="5"/>
        <v>19</v>
      </c>
      <c r="B108" s="208">
        <v>46077.0</v>
      </c>
      <c r="C108" s="194" t="s">
        <v>2</v>
      </c>
      <c r="D108" s="203">
        <v>200.0</v>
      </c>
      <c r="E108" s="210">
        <f t="shared" si="1"/>
        <v>200</v>
      </c>
      <c r="F108" s="204">
        <f t="shared" si="2"/>
        <v>142</v>
      </c>
      <c r="G108" s="205" t="str">
        <f t="shared" si="3"/>
        <v>🔓 ABIERTO</v>
      </c>
      <c r="H108" s="206" t="str">
        <f t="shared" si="4"/>
        <v/>
      </c>
      <c r="I108" s="207"/>
    </row>
    <row r="109" ht="22.5" customHeight="1">
      <c r="A109" s="192">
        <f t="shared" si="5"/>
        <v>19</v>
      </c>
      <c r="B109" s="208">
        <v>46077.0</v>
      </c>
      <c r="C109" s="194" t="s">
        <v>671</v>
      </c>
      <c r="D109" s="195">
        <v>400.0</v>
      </c>
      <c r="E109" s="196">
        <f t="shared" si="1"/>
        <v>600</v>
      </c>
      <c r="F109" s="197">
        <f t="shared" si="2"/>
        <v>142</v>
      </c>
      <c r="G109" s="198" t="str">
        <f t="shared" si="3"/>
        <v>🔓 ABIERTO</v>
      </c>
      <c r="H109" s="199" t="str">
        <f t="shared" si="4"/>
        <v/>
      </c>
      <c r="I109" s="200"/>
    </row>
    <row r="110" ht="22.5" customHeight="1">
      <c r="A110" s="192">
        <f t="shared" si="5"/>
        <v>19</v>
      </c>
      <c r="B110" s="208">
        <v>46080.0</v>
      </c>
      <c r="C110" s="194" t="s">
        <v>4</v>
      </c>
      <c r="D110" s="203">
        <v>87.0</v>
      </c>
      <c r="E110" s="210">
        <f t="shared" si="1"/>
        <v>687</v>
      </c>
      <c r="F110" s="204">
        <f t="shared" si="2"/>
        <v>105</v>
      </c>
      <c r="G110" s="205" t="str">
        <f t="shared" si="3"/>
        <v>✅ CERRADO</v>
      </c>
      <c r="H110" s="206">
        <f t="shared" si="4"/>
        <v>87</v>
      </c>
      <c r="I110" s="207"/>
    </row>
    <row r="111" ht="22.5" customHeight="1">
      <c r="A111" s="192">
        <f t="shared" si="5"/>
        <v>20</v>
      </c>
      <c r="B111" s="208">
        <v>46081.0</v>
      </c>
      <c r="C111" s="194" t="s">
        <v>2</v>
      </c>
      <c r="D111" s="203">
        <v>200.0</v>
      </c>
      <c r="E111" s="210">
        <f t="shared" si="1"/>
        <v>200</v>
      </c>
      <c r="F111" s="204">
        <f t="shared" si="2"/>
        <v>142</v>
      </c>
      <c r="G111" s="205" t="str">
        <f t="shared" si="3"/>
        <v>🔓 ABIERTO</v>
      </c>
      <c r="H111" s="199" t="str">
        <f t="shared" si="4"/>
        <v/>
      </c>
      <c r="I111" s="200"/>
    </row>
    <row r="112" ht="22.5" customHeight="1">
      <c r="A112" s="192">
        <f t="shared" si="5"/>
        <v>20</v>
      </c>
      <c r="B112" s="208">
        <v>46082.0</v>
      </c>
      <c r="C112" s="194" t="s">
        <v>671</v>
      </c>
      <c r="D112" s="195">
        <v>100.0</v>
      </c>
      <c r="E112" s="196">
        <f t="shared" si="1"/>
        <v>300</v>
      </c>
      <c r="F112" s="197">
        <f t="shared" si="2"/>
        <v>142</v>
      </c>
      <c r="G112" s="198" t="str">
        <f t="shared" si="3"/>
        <v>🔓 ABIERTO</v>
      </c>
      <c r="H112" s="206" t="str">
        <f t="shared" si="4"/>
        <v/>
      </c>
      <c r="I112" s="207"/>
    </row>
    <row r="113" ht="22.5" customHeight="1">
      <c r="A113" s="192">
        <f t="shared" si="5"/>
        <v>20</v>
      </c>
      <c r="B113" s="208">
        <v>46083.0</v>
      </c>
      <c r="C113" s="194" t="s">
        <v>671</v>
      </c>
      <c r="D113" s="203">
        <v>300.0</v>
      </c>
      <c r="E113" s="210">
        <f t="shared" si="1"/>
        <v>600</v>
      </c>
      <c r="F113" s="204">
        <f t="shared" si="2"/>
        <v>142</v>
      </c>
      <c r="G113" s="205" t="str">
        <f t="shared" si="3"/>
        <v>🔓 ABIERTO</v>
      </c>
      <c r="H113" s="199" t="str">
        <f t="shared" si="4"/>
        <v/>
      </c>
      <c r="I113" s="200"/>
    </row>
    <row r="114" ht="22.5" customHeight="1">
      <c r="A114" s="192">
        <f t="shared" si="5"/>
        <v>20</v>
      </c>
      <c r="B114" s="208">
        <v>46085.0</v>
      </c>
      <c r="C114" s="194" t="s">
        <v>671</v>
      </c>
      <c r="D114" s="195">
        <v>150.0</v>
      </c>
      <c r="E114" s="196">
        <f t="shared" si="1"/>
        <v>750</v>
      </c>
      <c r="F114" s="197">
        <f t="shared" si="2"/>
        <v>142</v>
      </c>
      <c r="G114" s="198" t="str">
        <f t="shared" si="3"/>
        <v>🔓 ABIERTO</v>
      </c>
      <c r="H114" s="206" t="str">
        <f t="shared" si="4"/>
        <v/>
      </c>
      <c r="I114" s="207"/>
    </row>
    <row r="115" ht="22.5" customHeight="1">
      <c r="A115" s="192">
        <f t="shared" si="5"/>
        <v>20</v>
      </c>
      <c r="B115" s="208">
        <v>46085.0</v>
      </c>
      <c r="C115" s="194" t="s">
        <v>671</v>
      </c>
      <c r="D115" s="203">
        <v>200.0</v>
      </c>
      <c r="E115" s="210">
        <f t="shared" si="1"/>
        <v>950</v>
      </c>
      <c r="F115" s="204">
        <f t="shared" si="2"/>
        <v>142</v>
      </c>
      <c r="G115" s="205" t="str">
        <f t="shared" si="3"/>
        <v>🔓 ABIERTO</v>
      </c>
      <c r="H115" s="199" t="str">
        <f t="shared" si="4"/>
        <v/>
      </c>
      <c r="I115" s="200"/>
    </row>
    <row r="116" ht="22.5" customHeight="1">
      <c r="A116" s="192">
        <f t="shared" si="5"/>
        <v>20</v>
      </c>
      <c r="B116" s="208">
        <v>46087.0</v>
      </c>
      <c r="C116" s="194" t="s">
        <v>4</v>
      </c>
      <c r="D116" s="203">
        <v>181.83</v>
      </c>
      <c r="E116" s="210">
        <f t="shared" si="1"/>
        <v>1131.83</v>
      </c>
      <c r="F116" s="204">
        <f t="shared" si="2"/>
        <v>112</v>
      </c>
      <c r="G116" s="205" t="str">
        <f t="shared" si="3"/>
        <v>✅ CERRADO</v>
      </c>
      <c r="H116" s="206">
        <f t="shared" si="4"/>
        <v>181.83</v>
      </c>
      <c r="I116" s="207"/>
    </row>
    <row r="117" ht="22.5" customHeight="1">
      <c r="A117" s="192">
        <f t="shared" si="5"/>
        <v>21</v>
      </c>
      <c r="B117" s="208">
        <v>46090.0</v>
      </c>
      <c r="C117" s="194" t="s">
        <v>2</v>
      </c>
      <c r="D117" s="195">
        <v>160.0</v>
      </c>
      <c r="E117" s="196">
        <f t="shared" si="1"/>
        <v>160</v>
      </c>
      <c r="F117" s="197">
        <f t="shared" si="2"/>
        <v>142</v>
      </c>
      <c r="G117" s="198" t="str">
        <f t="shared" si="3"/>
        <v>🔓 ABIERTO</v>
      </c>
      <c r="H117" s="199" t="str">
        <f t="shared" si="4"/>
        <v/>
      </c>
      <c r="I117" s="200"/>
    </row>
    <row r="118" ht="22.5" customHeight="1">
      <c r="A118" s="192">
        <f t="shared" si="5"/>
        <v>21</v>
      </c>
      <c r="B118" s="208">
        <v>46091.0</v>
      </c>
      <c r="C118" s="194" t="s">
        <v>671</v>
      </c>
      <c r="D118" s="195">
        <v>80.0</v>
      </c>
      <c r="E118" s="196">
        <f t="shared" si="1"/>
        <v>240</v>
      </c>
      <c r="F118" s="197">
        <f t="shared" si="2"/>
        <v>142</v>
      </c>
      <c r="G118" s="198" t="str">
        <f t="shared" si="3"/>
        <v>🔓 ABIERTO</v>
      </c>
      <c r="H118" s="199" t="str">
        <f t="shared" si="4"/>
        <v/>
      </c>
      <c r="I118" s="200"/>
    </row>
    <row r="119" ht="22.5" customHeight="1">
      <c r="A119" s="192">
        <f t="shared" si="5"/>
        <v>21</v>
      </c>
      <c r="B119" s="208">
        <v>46092.0</v>
      </c>
      <c r="C119" s="194" t="s">
        <v>671</v>
      </c>
      <c r="D119" s="195">
        <v>80.0</v>
      </c>
      <c r="E119" s="196">
        <f t="shared" si="1"/>
        <v>320</v>
      </c>
      <c r="F119" s="197">
        <f t="shared" si="2"/>
        <v>142</v>
      </c>
      <c r="G119" s="198" t="str">
        <f t="shared" si="3"/>
        <v>🔓 ABIERTO</v>
      </c>
      <c r="H119" s="199" t="str">
        <f t="shared" si="4"/>
        <v/>
      </c>
      <c r="I119" s="200"/>
    </row>
    <row r="120" ht="22.5" customHeight="1">
      <c r="A120" s="192">
        <f t="shared" si="5"/>
        <v>21</v>
      </c>
      <c r="B120" s="208">
        <v>46092.0</v>
      </c>
      <c r="C120" s="194" t="s">
        <v>671</v>
      </c>
      <c r="D120" s="195">
        <v>160.0</v>
      </c>
      <c r="E120" s="196">
        <f t="shared" si="1"/>
        <v>480</v>
      </c>
      <c r="F120" s="197">
        <f t="shared" si="2"/>
        <v>142</v>
      </c>
      <c r="G120" s="198" t="str">
        <f t="shared" si="3"/>
        <v>🔓 ABIERTO</v>
      </c>
      <c r="H120" s="199" t="str">
        <f t="shared" si="4"/>
        <v/>
      </c>
      <c r="I120" s="200"/>
    </row>
    <row r="121" ht="22.5" customHeight="1">
      <c r="A121" s="192">
        <f t="shared" si="5"/>
        <v>21</v>
      </c>
      <c r="B121" s="208">
        <v>46093.0</v>
      </c>
      <c r="C121" s="194" t="s">
        <v>671</v>
      </c>
      <c r="D121" s="195">
        <v>354.0</v>
      </c>
      <c r="E121" s="196">
        <f t="shared" si="1"/>
        <v>834</v>
      </c>
      <c r="F121" s="197">
        <f t="shared" si="2"/>
        <v>142</v>
      </c>
      <c r="G121" s="198" t="str">
        <f t="shared" si="3"/>
        <v>🔓 ABIERTO</v>
      </c>
      <c r="H121" s="199" t="str">
        <f t="shared" si="4"/>
        <v/>
      </c>
      <c r="I121" s="200"/>
    </row>
    <row r="122" ht="22.5" customHeight="1">
      <c r="A122" s="192">
        <f t="shared" si="5"/>
        <v>21</v>
      </c>
      <c r="B122" s="208">
        <v>46099.0</v>
      </c>
      <c r="C122" s="194" t="s">
        <v>671</v>
      </c>
      <c r="D122" s="195">
        <v>240.0</v>
      </c>
      <c r="E122" s="196">
        <f t="shared" si="1"/>
        <v>1074</v>
      </c>
      <c r="F122" s="197">
        <f t="shared" si="2"/>
        <v>142</v>
      </c>
      <c r="G122" s="198" t="str">
        <f t="shared" si="3"/>
        <v>🔓 ABIERTO</v>
      </c>
      <c r="H122" s="199" t="str">
        <f t="shared" si="4"/>
        <v/>
      </c>
      <c r="I122" s="200"/>
    </row>
    <row r="123" ht="22.5" customHeight="1">
      <c r="A123" s="192">
        <f t="shared" si="5"/>
        <v>21</v>
      </c>
      <c r="B123" s="208">
        <v>46103.0</v>
      </c>
      <c r="C123" s="194" t="s">
        <v>4</v>
      </c>
      <c r="D123" s="195">
        <v>184.0</v>
      </c>
      <c r="E123" s="196">
        <f t="shared" si="1"/>
        <v>1258</v>
      </c>
      <c r="F123" s="197">
        <f t="shared" si="2"/>
        <v>128</v>
      </c>
      <c r="G123" s="198" t="str">
        <f t="shared" si="3"/>
        <v>✅ CERRADO</v>
      </c>
      <c r="H123" s="199">
        <f t="shared" si="4"/>
        <v>184</v>
      </c>
      <c r="I123" s="200"/>
    </row>
    <row r="124" ht="22.5" customHeight="1">
      <c r="A124" s="192">
        <f t="shared" si="5"/>
        <v>22</v>
      </c>
      <c r="B124" s="208">
        <v>46104.0</v>
      </c>
      <c r="C124" s="194" t="s">
        <v>2</v>
      </c>
      <c r="D124" s="195">
        <v>160.0</v>
      </c>
      <c r="E124" s="196">
        <f t="shared" si="1"/>
        <v>160</v>
      </c>
      <c r="F124" s="197">
        <f t="shared" si="2"/>
        <v>142</v>
      </c>
      <c r="G124" s="198" t="str">
        <f t="shared" si="3"/>
        <v>🔓 ABIERTO</v>
      </c>
      <c r="H124" s="199" t="str">
        <f t="shared" si="4"/>
        <v/>
      </c>
      <c r="I124" s="200"/>
    </row>
    <row r="125" ht="22.5" customHeight="1">
      <c r="A125" s="192">
        <f t="shared" si="5"/>
        <v>22</v>
      </c>
      <c r="B125" s="208">
        <v>46105.0</v>
      </c>
      <c r="C125" s="194" t="s">
        <v>671</v>
      </c>
      <c r="D125" s="195">
        <v>80.0</v>
      </c>
      <c r="E125" s="196">
        <f t="shared" si="1"/>
        <v>240</v>
      </c>
      <c r="F125" s="197">
        <f t="shared" si="2"/>
        <v>142</v>
      </c>
      <c r="G125" s="198" t="str">
        <f t="shared" si="3"/>
        <v>🔓 ABIERTO</v>
      </c>
      <c r="H125" s="199" t="str">
        <f t="shared" si="4"/>
        <v/>
      </c>
      <c r="I125" s="200"/>
    </row>
    <row r="126" ht="22.5" customHeight="1">
      <c r="A126" s="192">
        <f t="shared" si="5"/>
        <v>22</v>
      </c>
      <c r="B126" s="208">
        <v>46106.0</v>
      </c>
      <c r="C126" s="194" t="s">
        <v>671</v>
      </c>
      <c r="D126" s="195">
        <v>80.0</v>
      </c>
      <c r="E126" s="196">
        <f t="shared" si="1"/>
        <v>320</v>
      </c>
      <c r="F126" s="197">
        <f t="shared" si="2"/>
        <v>142</v>
      </c>
      <c r="G126" s="198" t="str">
        <f t="shared" si="3"/>
        <v>🔓 ABIERTO</v>
      </c>
      <c r="H126" s="199" t="str">
        <f t="shared" si="4"/>
        <v/>
      </c>
      <c r="I126" s="200"/>
    </row>
    <row r="127" ht="21.75" customHeight="1">
      <c r="A127" s="211">
        <f t="shared" si="5"/>
        <v>22</v>
      </c>
      <c r="B127" s="212">
        <v>46107.0</v>
      </c>
      <c r="C127" s="194" t="s">
        <v>4</v>
      </c>
      <c r="D127" s="213">
        <v>68.0</v>
      </c>
      <c r="E127" s="214">
        <f t="shared" si="1"/>
        <v>388</v>
      </c>
      <c r="F127" s="215">
        <f t="shared" si="2"/>
        <v>132</v>
      </c>
      <c r="G127" s="178" t="str">
        <f t="shared" si="3"/>
        <v>✅ CERRADO</v>
      </c>
      <c r="H127" s="216">
        <f t="shared" si="4"/>
        <v>68</v>
      </c>
      <c r="I127" s="179"/>
    </row>
    <row r="128" ht="21.75" customHeight="1">
      <c r="A128" s="211">
        <f t="shared" si="5"/>
        <v>23</v>
      </c>
      <c r="B128" s="212">
        <v>46109.0</v>
      </c>
      <c r="C128" s="194" t="s">
        <v>2</v>
      </c>
      <c r="D128" s="213">
        <v>160.0</v>
      </c>
      <c r="E128" s="214">
        <f t="shared" si="1"/>
        <v>160</v>
      </c>
      <c r="F128" s="215">
        <f t="shared" si="2"/>
        <v>142</v>
      </c>
      <c r="G128" s="178" t="str">
        <f t="shared" si="3"/>
        <v>🔓 ABIERTO</v>
      </c>
      <c r="H128" s="216" t="str">
        <f t="shared" si="4"/>
        <v/>
      </c>
      <c r="I128" s="179"/>
    </row>
    <row r="129" ht="21.75" customHeight="1">
      <c r="A129" s="211">
        <f t="shared" si="5"/>
        <v>23</v>
      </c>
      <c r="B129" s="212">
        <v>46110.0</v>
      </c>
      <c r="C129" s="194" t="s">
        <v>671</v>
      </c>
      <c r="D129" s="213">
        <v>160.0</v>
      </c>
      <c r="E129" s="214">
        <f t="shared" si="1"/>
        <v>320</v>
      </c>
      <c r="F129" s="215">
        <f t="shared" si="2"/>
        <v>142</v>
      </c>
      <c r="G129" s="178" t="str">
        <f t="shared" si="3"/>
        <v>🔓 ABIERTO</v>
      </c>
      <c r="H129" s="216" t="str">
        <f t="shared" si="4"/>
        <v/>
      </c>
      <c r="I129" s="179"/>
    </row>
    <row r="130" ht="21.75" customHeight="1">
      <c r="A130" s="211">
        <f t="shared" si="5"/>
        <v>23</v>
      </c>
      <c r="B130" s="212">
        <v>46111.0</v>
      </c>
      <c r="C130" s="194" t="s">
        <v>671</v>
      </c>
      <c r="D130" s="213">
        <v>240.0</v>
      </c>
      <c r="E130" s="214">
        <f t="shared" si="1"/>
        <v>560</v>
      </c>
      <c r="F130" s="215">
        <f t="shared" si="2"/>
        <v>142</v>
      </c>
      <c r="G130" s="178" t="str">
        <f t="shared" si="3"/>
        <v>🔓 ABIERTO</v>
      </c>
      <c r="H130" s="216" t="str">
        <f t="shared" si="4"/>
        <v/>
      </c>
      <c r="I130" s="179"/>
    </row>
    <row r="131" ht="21.75" customHeight="1">
      <c r="A131" s="211">
        <f t="shared" si="5"/>
        <v>23</v>
      </c>
      <c r="B131" s="212">
        <v>46112.0</v>
      </c>
      <c r="C131" s="194" t="s">
        <v>671</v>
      </c>
      <c r="D131" s="213">
        <v>80.0</v>
      </c>
      <c r="E131" s="214">
        <f t="shared" si="1"/>
        <v>640</v>
      </c>
      <c r="F131" s="215">
        <f t="shared" si="2"/>
        <v>142</v>
      </c>
      <c r="G131" s="178" t="str">
        <f t="shared" si="3"/>
        <v>🔓 ABIERTO</v>
      </c>
      <c r="H131" s="216" t="str">
        <f t="shared" si="4"/>
        <v/>
      </c>
      <c r="I131" s="179"/>
    </row>
    <row r="132" ht="21.75" customHeight="1">
      <c r="A132" s="211">
        <f t="shared" si="5"/>
        <v>23</v>
      </c>
      <c r="B132" s="212">
        <v>46112.0</v>
      </c>
      <c r="C132" s="194" t="s">
        <v>671</v>
      </c>
      <c r="D132" s="213">
        <v>160.0</v>
      </c>
      <c r="E132" s="214">
        <f t="shared" si="1"/>
        <v>800</v>
      </c>
      <c r="F132" s="215">
        <f t="shared" si="2"/>
        <v>142</v>
      </c>
      <c r="G132" s="178" t="str">
        <f t="shared" si="3"/>
        <v>🔓 ABIERTO</v>
      </c>
      <c r="H132" s="216" t="str">
        <f t="shared" si="4"/>
        <v/>
      </c>
      <c r="I132" s="179"/>
    </row>
    <row r="133" ht="21.75" customHeight="1">
      <c r="A133" s="211">
        <f t="shared" si="5"/>
        <v>23</v>
      </c>
      <c r="B133" s="212">
        <v>46113.0</v>
      </c>
      <c r="C133" s="194" t="s">
        <v>671</v>
      </c>
      <c r="D133" s="213">
        <v>240.0</v>
      </c>
      <c r="E133" s="214">
        <f t="shared" si="1"/>
        <v>1040</v>
      </c>
      <c r="F133" s="215">
        <f t="shared" si="2"/>
        <v>142</v>
      </c>
      <c r="G133" s="178" t="str">
        <f t="shared" si="3"/>
        <v>🔓 ABIERTO</v>
      </c>
      <c r="H133" s="216" t="str">
        <f t="shared" si="4"/>
        <v/>
      </c>
      <c r="I133" s="179"/>
    </row>
    <row r="134" ht="21.75" customHeight="1">
      <c r="A134" s="211">
        <f t="shared" si="5"/>
        <v>23</v>
      </c>
      <c r="B134" s="212">
        <v>46115.0</v>
      </c>
      <c r="C134" s="194" t="s">
        <v>671</v>
      </c>
      <c r="D134" s="213">
        <v>80.0</v>
      </c>
      <c r="E134" s="214">
        <f t="shared" si="1"/>
        <v>1120</v>
      </c>
      <c r="F134" s="215">
        <f t="shared" si="2"/>
        <v>142</v>
      </c>
      <c r="G134" s="178" t="str">
        <f t="shared" si="3"/>
        <v>🔓 ABIERTO</v>
      </c>
      <c r="H134" s="216" t="str">
        <f t="shared" si="4"/>
        <v/>
      </c>
      <c r="I134" s="179"/>
    </row>
    <row r="135" ht="21.75" customHeight="1">
      <c r="A135" s="211">
        <f t="shared" si="5"/>
        <v>23</v>
      </c>
      <c r="B135" s="212">
        <v>46116.0</v>
      </c>
      <c r="C135" s="194" t="s">
        <v>671</v>
      </c>
      <c r="D135" s="213">
        <v>80.0</v>
      </c>
      <c r="E135" s="214">
        <f t="shared" si="1"/>
        <v>1200</v>
      </c>
      <c r="F135" s="215">
        <f t="shared" ref="F135:F151" si="6">IFERROR(IF(B135&lt;&gt;"", IF(C135="Cierre", B135-IFERROR(INDEX(B5:B$134,MATCH("Apertura",C5:C$134,0)),B135), TODAY()-IFERROR(INDEX(B$5:B135,MATCH("Apertura",C$5:C135,0)),B135)), ""), "")</f>
        <v>142</v>
      </c>
      <c r="G135" s="178" t="str">
        <f t="shared" si="3"/>
        <v>🔓 ABIERTO</v>
      </c>
      <c r="H135" s="216" t="str">
        <f t="shared" si="4"/>
        <v/>
      </c>
      <c r="I135" s="179"/>
    </row>
    <row r="136" ht="21.75" customHeight="1">
      <c r="A136" s="211">
        <f t="shared" si="5"/>
        <v>23</v>
      </c>
      <c r="B136" s="212">
        <v>46117.0</v>
      </c>
      <c r="C136" s="194" t="s">
        <v>671</v>
      </c>
      <c r="D136" s="213">
        <v>80.0</v>
      </c>
      <c r="E136" s="214">
        <f t="shared" si="1"/>
        <v>1280</v>
      </c>
      <c r="F136" s="215">
        <f t="shared" si="6"/>
        <v>142</v>
      </c>
      <c r="G136" s="178" t="str">
        <f t="shared" si="3"/>
        <v>🔓 ABIERTO</v>
      </c>
      <c r="H136" s="216" t="str">
        <f t="shared" si="4"/>
        <v/>
      </c>
      <c r="I136" s="179"/>
    </row>
    <row r="137" ht="21.75" customHeight="1">
      <c r="A137" s="211">
        <f t="shared" si="5"/>
        <v>23</v>
      </c>
      <c r="B137" s="212"/>
      <c r="C137" s="194"/>
      <c r="D137" s="213"/>
      <c r="E137" s="214" t="str">
        <f t="shared" si="1"/>
        <v/>
      </c>
      <c r="F137" s="215" t="str">
        <f t="shared" si="6"/>
        <v/>
      </c>
      <c r="G137" s="178" t="str">
        <f t="shared" si="3"/>
        <v/>
      </c>
      <c r="H137" s="216" t="str">
        <f t="shared" si="4"/>
        <v/>
      </c>
      <c r="I137" s="179"/>
    </row>
    <row r="138" ht="21.75" customHeight="1">
      <c r="A138" s="211">
        <f t="shared" si="5"/>
        <v>23</v>
      </c>
      <c r="B138" s="212"/>
      <c r="C138" s="194"/>
      <c r="D138" s="213"/>
      <c r="E138" s="214" t="str">
        <f t="shared" si="1"/>
        <v/>
      </c>
      <c r="F138" s="215" t="str">
        <f t="shared" si="6"/>
        <v/>
      </c>
      <c r="G138" s="178" t="str">
        <f t="shared" si="3"/>
        <v/>
      </c>
      <c r="H138" s="216" t="str">
        <f t="shared" si="4"/>
        <v/>
      </c>
      <c r="I138" s="179"/>
    </row>
    <row r="139" ht="21.75" customHeight="1">
      <c r="A139" s="211">
        <f t="shared" si="5"/>
        <v>23</v>
      </c>
      <c r="B139" s="212"/>
      <c r="C139" s="194"/>
      <c r="D139" s="213"/>
      <c r="E139" s="214" t="str">
        <f t="shared" si="1"/>
        <v/>
      </c>
      <c r="F139" s="215" t="str">
        <f t="shared" si="6"/>
        <v/>
      </c>
      <c r="G139" s="178" t="str">
        <f t="shared" si="3"/>
        <v/>
      </c>
      <c r="H139" s="216" t="str">
        <f t="shared" si="4"/>
        <v/>
      </c>
      <c r="I139" s="179"/>
    </row>
    <row r="140" ht="21.75" customHeight="1">
      <c r="A140" s="211">
        <f t="shared" si="5"/>
        <v>23</v>
      </c>
      <c r="B140" s="212"/>
      <c r="C140" s="194"/>
      <c r="D140" s="213"/>
      <c r="E140" s="214" t="str">
        <f t="shared" si="1"/>
        <v/>
      </c>
      <c r="F140" s="215" t="str">
        <f t="shared" si="6"/>
        <v/>
      </c>
      <c r="G140" s="178" t="str">
        <f t="shared" si="3"/>
        <v/>
      </c>
      <c r="H140" s="216" t="str">
        <f t="shared" si="4"/>
        <v/>
      </c>
      <c r="I140" s="179"/>
    </row>
    <row r="141" ht="21.75" customHeight="1">
      <c r="A141" s="211">
        <f t="shared" si="5"/>
        <v>23</v>
      </c>
      <c r="B141" s="212"/>
      <c r="C141" s="194"/>
      <c r="D141" s="213"/>
      <c r="E141" s="214" t="str">
        <f t="shared" si="1"/>
        <v/>
      </c>
      <c r="F141" s="215" t="str">
        <f t="shared" si="6"/>
        <v/>
      </c>
      <c r="G141" s="178" t="str">
        <f t="shared" si="3"/>
        <v/>
      </c>
      <c r="H141" s="216" t="str">
        <f t="shared" si="4"/>
        <v/>
      </c>
      <c r="I141" s="179"/>
    </row>
    <row r="142" ht="21.75" customHeight="1">
      <c r="A142" s="211">
        <f t="shared" si="5"/>
        <v>23</v>
      </c>
      <c r="B142" s="212"/>
      <c r="C142" s="194"/>
      <c r="D142" s="213"/>
      <c r="E142" s="214" t="str">
        <f t="shared" si="1"/>
        <v/>
      </c>
      <c r="F142" s="215" t="str">
        <f t="shared" si="6"/>
        <v/>
      </c>
      <c r="G142" s="178" t="str">
        <f t="shared" si="3"/>
        <v/>
      </c>
      <c r="H142" s="216" t="str">
        <f t="shared" si="4"/>
        <v/>
      </c>
      <c r="I142" s="179"/>
    </row>
    <row r="143" ht="21.75" customHeight="1">
      <c r="A143" s="211">
        <f t="shared" si="5"/>
        <v>23</v>
      </c>
      <c r="B143" s="212"/>
      <c r="C143" s="194"/>
      <c r="D143" s="213"/>
      <c r="E143" s="214" t="str">
        <f t="shared" si="1"/>
        <v/>
      </c>
      <c r="F143" s="215" t="str">
        <f t="shared" si="6"/>
        <v/>
      </c>
      <c r="G143" s="178" t="str">
        <f t="shared" si="3"/>
        <v/>
      </c>
      <c r="H143" s="216" t="str">
        <f t="shared" si="4"/>
        <v/>
      </c>
      <c r="I143" s="179"/>
    </row>
    <row r="144" ht="21.75" customHeight="1">
      <c r="A144" s="211">
        <f t="shared" si="5"/>
        <v>23</v>
      </c>
      <c r="B144" s="212"/>
      <c r="C144" s="194"/>
      <c r="D144" s="213"/>
      <c r="E144" s="214" t="str">
        <f t="shared" si="1"/>
        <v/>
      </c>
      <c r="F144" s="215" t="str">
        <f t="shared" si="6"/>
        <v/>
      </c>
      <c r="G144" s="178" t="str">
        <f t="shared" si="3"/>
        <v/>
      </c>
      <c r="H144" s="216" t="str">
        <f t="shared" si="4"/>
        <v/>
      </c>
      <c r="I144" s="179"/>
    </row>
    <row r="145" ht="21.75" customHeight="1">
      <c r="A145" s="211">
        <f t="shared" si="5"/>
        <v>23</v>
      </c>
      <c r="B145" s="212"/>
      <c r="C145" s="194"/>
      <c r="D145" s="213"/>
      <c r="E145" s="214" t="str">
        <f t="shared" si="1"/>
        <v/>
      </c>
      <c r="F145" s="215" t="str">
        <f t="shared" si="6"/>
        <v/>
      </c>
      <c r="G145" s="178" t="str">
        <f t="shared" si="3"/>
        <v/>
      </c>
      <c r="H145" s="216" t="str">
        <f t="shared" si="4"/>
        <v/>
      </c>
      <c r="I145" s="179"/>
    </row>
    <row r="146" ht="21.75" customHeight="1">
      <c r="A146" s="211">
        <f t="shared" si="5"/>
        <v>23</v>
      </c>
      <c r="B146" s="212"/>
      <c r="C146" s="194"/>
      <c r="D146" s="213"/>
      <c r="E146" s="214" t="str">
        <f t="shared" si="1"/>
        <v/>
      </c>
      <c r="F146" s="215" t="str">
        <f t="shared" si="6"/>
        <v/>
      </c>
      <c r="G146" s="178" t="str">
        <f t="shared" si="3"/>
        <v/>
      </c>
      <c r="H146" s="216" t="str">
        <f t="shared" si="4"/>
        <v/>
      </c>
      <c r="I146" s="179"/>
    </row>
    <row r="147" ht="21.75" customHeight="1">
      <c r="A147" s="211">
        <f t="shared" si="5"/>
        <v>23</v>
      </c>
      <c r="B147" s="212"/>
      <c r="C147" s="194"/>
      <c r="D147" s="213"/>
      <c r="E147" s="214" t="str">
        <f t="shared" si="1"/>
        <v/>
      </c>
      <c r="F147" s="215" t="str">
        <f t="shared" si="6"/>
        <v/>
      </c>
      <c r="G147" s="178" t="str">
        <f t="shared" si="3"/>
        <v/>
      </c>
      <c r="H147" s="216" t="str">
        <f t="shared" si="4"/>
        <v/>
      </c>
      <c r="I147" s="179"/>
    </row>
    <row r="148" ht="21.75" customHeight="1">
      <c r="A148" s="211">
        <f t="shared" si="5"/>
        <v>23</v>
      </c>
      <c r="B148" s="212"/>
      <c r="C148" s="194"/>
      <c r="D148" s="213"/>
      <c r="E148" s="214" t="str">
        <f t="shared" si="1"/>
        <v/>
      </c>
      <c r="F148" s="215" t="str">
        <f t="shared" si="6"/>
        <v/>
      </c>
      <c r="G148" s="178" t="str">
        <f t="shared" si="3"/>
        <v/>
      </c>
      <c r="H148" s="216" t="str">
        <f t="shared" si="4"/>
        <v/>
      </c>
      <c r="I148" s="179"/>
    </row>
    <row r="149" ht="21.75" customHeight="1">
      <c r="A149" s="211">
        <f t="shared" si="5"/>
        <v>23</v>
      </c>
      <c r="B149" s="212"/>
      <c r="C149" s="194"/>
      <c r="D149" s="213"/>
      <c r="E149" s="214" t="str">
        <f t="shared" si="1"/>
        <v/>
      </c>
      <c r="F149" s="215" t="str">
        <f t="shared" si="6"/>
        <v/>
      </c>
      <c r="G149" s="178" t="str">
        <f t="shared" si="3"/>
        <v/>
      </c>
      <c r="H149" s="216" t="str">
        <f t="shared" si="4"/>
        <v/>
      </c>
      <c r="I149" s="179"/>
    </row>
    <row r="150" ht="21.75" customHeight="1">
      <c r="A150" s="211">
        <f t="shared" si="5"/>
        <v>23</v>
      </c>
      <c r="B150" s="212"/>
      <c r="C150" s="194"/>
      <c r="D150" s="213"/>
      <c r="E150" s="214" t="str">
        <f t="shared" si="1"/>
        <v/>
      </c>
      <c r="F150" s="215" t="str">
        <f t="shared" si="6"/>
        <v/>
      </c>
      <c r="G150" s="178" t="str">
        <f t="shared" si="3"/>
        <v/>
      </c>
      <c r="H150" s="216" t="str">
        <f t="shared" si="4"/>
        <v/>
      </c>
      <c r="I150" s="179"/>
    </row>
    <row r="151" ht="21.75" customHeight="1">
      <c r="A151" s="211">
        <f t="shared" si="5"/>
        <v>23</v>
      </c>
      <c r="B151" s="212"/>
      <c r="C151" s="194"/>
      <c r="D151" s="213"/>
      <c r="E151" s="214" t="str">
        <f t="shared" si="1"/>
        <v/>
      </c>
      <c r="F151" s="215" t="str">
        <f t="shared" si="6"/>
        <v/>
      </c>
      <c r="G151" s="178" t="str">
        <f t="shared" si="3"/>
        <v/>
      </c>
      <c r="H151" s="216" t="str">
        <f t="shared" si="4"/>
        <v/>
      </c>
      <c r="I151" s="179"/>
    </row>
    <row r="152" ht="21.75" customHeight="1">
      <c r="A152" s="217"/>
      <c r="B152" s="218"/>
      <c r="C152" s="219"/>
      <c r="D152" s="220"/>
      <c r="E152" s="221"/>
      <c r="F152" s="222"/>
      <c r="G152" s="223"/>
      <c r="H152" s="224"/>
      <c r="I152" s="225"/>
    </row>
    <row r="153">
      <c r="A153" s="162" t="s">
        <v>669</v>
      </c>
    </row>
    <row r="154">
      <c r="C154" s="189"/>
    </row>
    <row r="155">
      <c r="C155" s="189"/>
    </row>
    <row r="156">
      <c r="C156" s="189"/>
    </row>
    <row r="157">
      <c r="C157" s="189"/>
    </row>
    <row r="158">
      <c r="C158" s="189"/>
    </row>
    <row r="159">
      <c r="C159" s="189"/>
    </row>
    <row r="160">
      <c r="C160" s="189"/>
    </row>
    <row r="161">
      <c r="C161" s="189"/>
    </row>
    <row r="162">
      <c r="C162" s="189"/>
    </row>
    <row r="163">
      <c r="C163" s="189"/>
    </row>
    <row r="164">
      <c r="C164" s="189"/>
    </row>
    <row r="165">
      <c r="C165" s="189"/>
    </row>
    <row r="166">
      <c r="C166" s="189"/>
    </row>
    <row r="167">
      <c r="C167" s="189"/>
    </row>
    <row r="168">
      <c r="C168" s="189"/>
    </row>
    <row r="169">
      <c r="C169" s="189"/>
    </row>
    <row r="170">
      <c r="C170" s="189"/>
    </row>
    <row r="171">
      <c r="C171" s="189"/>
    </row>
    <row r="172">
      <c r="C172" s="189"/>
    </row>
    <row r="173">
      <c r="C173" s="189"/>
    </row>
    <row r="174">
      <c r="C174" s="189"/>
    </row>
    <row r="175">
      <c r="C175" s="189"/>
    </row>
    <row r="176">
      <c r="C176" s="189"/>
    </row>
    <row r="177">
      <c r="C177" s="189"/>
    </row>
    <row r="178">
      <c r="C178" s="189"/>
    </row>
    <row r="179">
      <c r="C179" s="189"/>
    </row>
    <row r="180">
      <c r="C180" s="189"/>
    </row>
    <row r="181">
      <c r="C181" s="189"/>
    </row>
    <row r="182">
      <c r="C182" s="189"/>
    </row>
    <row r="183">
      <c r="C183" s="189"/>
    </row>
    <row r="184">
      <c r="C184" s="189"/>
    </row>
    <row r="185">
      <c r="C185" s="189"/>
    </row>
    <row r="186">
      <c r="C186" s="189"/>
    </row>
    <row r="187">
      <c r="C187" s="189"/>
    </row>
    <row r="188">
      <c r="C188" s="189"/>
    </row>
    <row r="189">
      <c r="C189" s="189"/>
    </row>
    <row r="190">
      <c r="C190" s="189"/>
    </row>
    <row r="191">
      <c r="C191" s="189"/>
    </row>
    <row r="192">
      <c r="C192" s="189"/>
    </row>
    <row r="193">
      <c r="C193" s="189"/>
    </row>
    <row r="194">
      <c r="C194" s="189"/>
    </row>
    <row r="195">
      <c r="C195" s="189"/>
    </row>
    <row r="196">
      <c r="C196" s="189"/>
    </row>
    <row r="197">
      <c r="C197" s="189"/>
    </row>
    <row r="198">
      <c r="C198" s="189"/>
    </row>
    <row r="199">
      <c r="C199" s="189"/>
    </row>
    <row r="200">
      <c r="C200" s="189"/>
    </row>
    <row r="201">
      <c r="C201" s="189"/>
    </row>
    <row r="202">
      <c r="C202" s="189"/>
    </row>
    <row r="203">
      <c r="C203" s="189"/>
    </row>
    <row r="204">
      <c r="C204" s="189"/>
    </row>
    <row r="205">
      <c r="C205" s="189"/>
    </row>
    <row r="206">
      <c r="C206" s="189"/>
    </row>
    <row r="207">
      <c r="C207" s="189"/>
    </row>
    <row r="208">
      <c r="C208" s="189"/>
    </row>
    <row r="209">
      <c r="C209" s="189"/>
    </row>
    <row r="210">
      <c r="C210" s="189"/>
    </row>
    <row r="211">
      <c r="C211" s="189"/>
    </row>
    <row r="212">
      <c r="C212" s="189"/>
    </row>
    <row r="213">
      <c r="C213" s="189"/>
    </row>
    <row r="214">
      <c r="C214" s="189"/>
    </row>
    <row r="215">
      <c r="C215" s="189"/>
    </row>
    <row r="216">
      <c r="C216" s="189"/>
    </row>
    <row r="217">
      <c r="C217" s="189"/>
    </row>
    <row r="218">
      <c r="C218" s="189"/>
    </row>
    <row r="219">
      <c r="C219" s="189"/>
    </row>
    <row r="220">
      <c r="C220" s="189"/>
    </row>
    <row r="221">
      <c r="C221" s="189"/>
    </row>
    <row r="222">
      <c r="C222" s="189"/>
    </row>
    <row r="223">
      <c r="C223" s="189"/>
    </row>
    <row r="224">
      <c r="C224" s="189"/>
    </row>
    <row r="225">
      <c r="C225" s="189"/>
    </row>
    <row r="226">
      <c r="C226" s="189"/>
    </row>
    <row r="227">
      <c r="C227" s="189"/>
    </row>
    <row r="228">
      <c r="C228" s="189"/>
    </row>
    <row r="229">
      <c r="C229" s="189"/>
    </row>
    <row r="230">
      <c r="C230" s="189"/>
    </row>
    <row r="231">
      <c r="C231" s="189"/>
    </row>
    <row r="232">
      <c r="C232" s="189"/>
    </row>
    <row r="233">
      <c r="C233" s="189"/>
    </row>
    <row r="234">
      <c r="C234" s="189"/>
    </row>
    <row r="235">
      <c r="C235" s="189"/>
    </row>
    <row r="236">
      <c r="C236" s="189"/>
    </row>
    <row r="237">
      <c r="C237" s="189"/>
    </row>
    <row r="238">
      <c r="C238" s="189"/>
    </row>
    <row r="239">
      <c r="C239" s="189"/>
    </row>
    <row r="240">
      <c r="C240" s="189"/>
    </row>
    <row r="241">
      <c r="C241" s="189"/>
    </row>
    <row r="242">
      <c r="C242" s="189"/>
    </row>
    <row r="243">
      <c r="C243" s="189"/>
    </row>
    <row r="244">
      <c r="C244" s="189"/>
    </row>
    <row r="245">
      <c r="C245" s="189"/>
    </row>
    <row r="246">
      <c r="C246" s="189"/>
    </row>
    <row r="247">
      <c r="C247" s="189"/>
    </row>
    <row r="248">
      <c r="C248" s="189"/>
    </row>
    <row r="249">
      <c r="C249" s="189"/>
    </row>
    <row r="250">
      <c r="C250" s="189"/>
    </row>
    <row r="251">
      <c r="C251" s="189"/>
    </row>
    <row r="252">
      <c r="C252" s="189"/>
    </row>
    <row r="253">
      <c r="C253" s="189"/>
    </row>
    <row r="254">
      <c r="C254" s="189"/>
    </row>
    <row r="255">
      <c r="C255" s="189"/>
    </row>
    <row r="256">
      <c r="C256" s="189"/>
    </row>
    <row r="257">
      <c r="C257" s="189"/>
    </row>
    <row r="258">
      <c r="C258" s="189"/>
    </row>
    <row r="259">
      <c r="C259" s="189"/>
    </row>
    <row r="260">
      <c r="C260" s="189"/>
    </row>
    <row r="261">
      <c r="C261" s="189"/>
    </row>
    <row r="262">
      <c r="C262" s="189"/>
    </row>
    <row r="263">
      <c r="C263" s="189"/>
    </row>
    <row r="264">
      <c r="C264" s="189"/>
    </row>
    <row r="265">
      <c r="C265" s="189"/>
    </row>
    <row r="266">
      <c r="C266" s="189"/>
    </row>
    <row r="267">
      <c r="C267" s="189"/>
    </row>
    <row r="268">
      <c r="C268" s="189"/>
    </row>
    <row r="269">
      <c r="C269" s="189"/>
    </row>
    <row r="270">
      <c r="C270" s="189"/>
    </row>
    <row r="271">
      <c r="C271" s="189"/>
    </row>
    <row r="272">
      <c r="C272" s="189"/>
    </row>
    <row r="273">
      <c r="C273" s="189"/>
    </row>
    <row r="274">
      <c r="C274" s="189"/>
    </row>
    <row r="275">
      <c r="C275" s="189"/>
    </row>
    <row r="276">
      <c r="C276" s="189"/>
    </row>
    <row r="277">
      <c r="C277" s="189"/>
    </row>
    <row r="278">
      <c r="C278" s="189"/>
    </row>
    <row r="279">
      <c r="C279" s="189"/>
    </row>
    <row r="280">
      <c r="C280" s="189"/>
    </row>
    <row r="281">
      <c r="C281" s="189"/>
    </row>
    <row r="282">
      <c r="C282" s="189"/>
    </row>
    <row r="283">
      <c r="C283" s="189"/>
    </row>
    <row r="284">
      <c r="C284" s="189"/>
    </row>
    <row r="285">
      <c r="C285" s="189"/>
    </row>
    <row r="286">
      <c r="C286" s="189"/>
    </row>
    <row r="287">
      <c r="C287" s="189"/>
    </row>
    <row r="288">
      <c r="C288" s="189"/>
    </row>
    <row r="289">
      <c r="C289" s="189"/>
    </row>
    <row r="290">
      <c r="C290" s="189"/>
    </row>
    <row r="291">
      <c r="C291" s="189"/>
    </row>
    <row r="292">
      <c r="C292" s="189"/>
    </row>
    <row r="293">
      <c r="C293" s="189"/>
    </row>
    <row r="294">
      <c r="C294" s="189"/>
    </row>
    <row r="295">
      <c r="C295" s="189"/>
    </row>
    <row r="296">
      <c r="C296" s="189"/>
    </row>
    <row r="297">
      <c r="C297" s="189"/>
    </row>
    <row r="298">
      <c r="C298" s="189"/>
    </row>
    <row r="299">
      <c r="C299" s="189"/>
    </row>
    <row r="300">
      <c r="C300" s="189"/>
    </row>
    <row r="301">
      <c r="C301" s="189"/>
    </row>
    <row r="302">
      <c r="C302" s="189"/>
    </row>
    <row r="303">
      <c r="C303" s="189"/>
    </row>
    <row r="304">
      <c r="C304" s="189"/>
    </row>
    <row r="305">
      <c r="C305" s="189"/>
    </row>
    <row r="306">
      <c r="C306" s="189"/>
    </row>
    <row r="307">
      <c r="C307" s="189"/>
    </row>
    <row r="308">
      <c r="C308" s="189"/>
    </row>
    <row r="309">
      <c r="C309" s="189"/>
    </row>
    <row r="310">
      <c r="C310" s="189"/>
    </row>
    <row r="311">
      <c r="C311" s="189"/>
    </row>
    <row r="312">
      <c r="C312" s="189"/>
    </row>
    <row r="313">
      <c r="C313" s="189"/>
    </row>
    <row r="314">
      <c r="C314" s="189"/>
    </row>
    <row r="315">
      <c r="C315" s="189"/>
    </row>
    <row r="316">
      <c r="C316" s="189"/>
    </row>
    <row r="317">
      <c r="C317" s="189"/>
    </row>
    <row r="318">
      <c r="C318" s="189"/>
    </row>
    <row r="319">
      <c r="C319" s="189"/>
    </row>
    <row r="320">
      <c r="C320" s="189"/>
    </row>
    <row r="321">
      <c r="C321" s="189"/>
    </row>
    <row r="322">
      <c r="C322" s="189"/>
    </row>
    <row r="323">
      <c r="C323" s="189"/>
    </row>
    <row r="324">
      <c r="C324" s="189"/>
    </row>
    <row r="325">
      <c r="C325" s="189"/>
    </row>
    <row r="326">
      <c r="C326" s="189"/>
    </row>
    <row r="327">
      <c r="C327" s="189"/>
    </row>
    <row r="328">
      <c r="C328" s="189"/>
    </row>
    <row r="329">
      <c r="C329" s="189"/>
    </row>
    <row r="330">
      <c r="C330" s="189"/>
    </row>
    <row r="331">
      <c r="C331" s="189"/>
    </row>
    <row r="332">
      <c r="C332" s="189"/>
    </row>
    <row r="333">
      <c r="C333" s="189"/>
    </row>
    <row r="334">
      <c r="C334" s="189"/>
    </row>
    <row r="335">
      <c r="C335" s="189"/>
    </row>
    <row r="336">
      <c r="C336" s="189"/>
    </row>
    <row r="337">
      <c r="C337" s="189"/>
    </row>
    <row r="338">
      <c r="C338" s="189"/>
    </row>
    <row r="339">
      <c r="C339" s="189"/>
    </row>
    <row r="340">
      <c r="C340" s="189"/>
    </row>
    <row r="341">
      <c r="C341" s="189"/>
    </row>
    <row r="342">
      <c r="C342" s="189"/>
    </row>
    <row r="343">
      <c r="C343" s="189"/>
    </row>
    <row r="344">
      <c r="C344" s="189"/>
    </row>
    <row r="345">
      <c r="C345" s="189"/>
    </row>
    <row r="346">
      <c r="C346" s="189"/>
    </row>
    <row r="347">
      <c r="C347" s="189"/>
    </row>
    <row r="348">
      <c r="C348" s="189"/>
    </row>
    <row r="349">
      <c r="C349" s="189"/>
    </row>
    <row r="350">
      <c r="C350" s="189"/>
    </row>
    <row r="351">
      <c r="C351" s="189"/>
    </row>
    <row r="352">
      <c r="C352" s="189"/>
    </row>
    <row r="353">
      <c r="C353" s="189"/>
    </row>
    <row r="354">
      <c r="C354" s="189"/>
    </row>
    <row r="355">
      <c r="C355" s="189"/>
    </row>
    <row r="356">
      <c r="C356" s="189"/>
    </row>
    <row r="357">
      <c r="C357" s="189"/>
    </row>
    <row r="358">
      <c r="C358" s="189"/>
    </row>
    <row r="359">
      <c r="C359" s="189"/>
    </row>
    <row r="360">
      <c r="C360" s="189"/>
    </row>
    <row r="361">
      <c r="C361" s="189"/>
    </row>
    <row r="362">
      <c r="C362" s="189"/>
    </row>
    <row r="363">
      <c r="C363" s="189"/>
    </row>
    <row r="364">
      <c r="C364" s="189"/>
    </row>
    <row r="365">
      <c r="C365" s="189"/>
    </row>
    <row r="366">
      <c r="C366" s="189"/>
    </row>
    <row r="367">
      <c r="C367" s="189"/>
    </row>
    <row r="368">
      <c r="C368" s="189"/>
    </row>
    <row r="369">
      <c r="C369" s="189"/>
    </row>
    <row r="370">
      <c r="C370" s="189"/>
    </row>
    <row r="371">
      <c r="C371" s="189"/>
    </row>
    <row r="372">
      <c r="C372" s="189"/>
    </row>
    <row r="373">
      <c r="C373" s="189"/>
    </row>
    <row r="374">
      <c r="C374" s="189"/>
    </row>
    <row r="375">
      <c r="C375" s="189"/>
    </row>
    <row r="376">
      <c r="C376" s="189"/>
    </row>
    <row r="377">
      <c r="C377" s="189"/>
    </row>
    <row r="378">
      <c r="C378" s="189"/>
    </row>
    <row r="379">
      <c r="C379" s="189"/>
    </row>
    <row r="380">
      <c r="C380" s="189"/>
    </row>
    <row r="381">
      <c r="C381" s="189"/>
    </row>
    <row r="382">
      <c r="C382" s="189"/>
    </row>
    <row r="383">
      <c r="C383" s="189"/>
    </row>
    <row r="384">
      <c r="C384" s="189"/>
    </row>
    <row r="385">
      <c r="C385" s="189"/>
    </row>
    <row r="386">
      <c r="C386" s="189"/>
    </row>
    <row r="387">
      <c r="C387" s="189"/>
    </row>
    <row r="388">
      <c r="C388" s="189"/>
    </row>
    <row r="389">
      <c r="C389" s="189"/>
    </row>
    <row r="390">
      <c r="C390" s="189"/>
    </row>
    <row r="391">
      <c r="C391" s="189"/>
    </row>
    <row r="392">
      <c r="C392" s="189"/>
    </row>
    <row r="393">
      <c r="C393" s="189"/>
    </row>
    <row r="394">
      <c r="C394" s="189"/>
    </row>
    <row r="395">
      <c r="C395" s="189"/>
    </row>
    <row r="396">
      <c r="C396" s="189"/>
    </row>
    <row r="397">
      <c r="C397" s="189"/>
    </row>
    <row r="398">
      <c r="C398" s="189"/>
    </row>
    <row r="399">
      <c r="C399" s="189"/>
    </row>
    <row r="400">
      <c r="C400" s="189"/>
    </row>
    <row r="401">
      <c r="C401" s="189"/>
    </row>
    <row r="402">
      <c r="C402" s="189"/>
    </row>
    <row r="403">
      <c r="C403" s="189"/>
    </row>
    <row r="404">
      <c r="C404" s="189"/>
    </row>
    <row r="405">
      <c r="C405" s="189"/>
    </row>
    <row r="406">
      <c r="C406" s="189"/>
    </row>
    <row r="407">
      <c r="C407" s="189"/>
    </row>
    <row r="408">
      <c r="C408" s="189"/>
    </row>
    <row r="409">
      <c r="C409" s="189"/>
    </row>
    <row r="410">
      <c r="C410" s="189"/>
    </row>
    <row r="411">
      <c r="C411" s="189"/>
    </row>
    <row r="412">
      <c r="C412" s="189"/>
    </row>
    <row r="413">
      <c r="C413" s="189"/>
    </row>
    <row r="414">
      <c r="C414" s="189"/>
    </row>
    <row r="415">
      <c r="C415" s="189"/>
    </row>
    <row r="416">
      <c r="C416" s="189"/>
    </row>
    <row r="417">
      <c r="C417" s="189"/>
    </row>
    <row r="418">
      <c r="C418" s="189"/>
    </row>
    <row r="419">
      <c r="C419" s="189"/>
    </row>
    <row r="420">
      <c r="C420" s="189"/>
    </row>
    <row r="421">
      <c r="C421" s="189"/>
    </row>
    <row r="422">
      <c r="C422" s="189"/>
    </row>
    <row r="423">
      <c r="C423" s="189"/>
    </row>
    <row r="424">
      <c r="C424" s="189"/>
    </row>
    <row r="425">
      <c r="C425" s="189"/>
    </row>
    <row r="426">
      <c r="C426" s="189"/>
    </row>
    <row r="427">
      <c r="C427" s="189"/>
    </row>
    <row r="428">
      <c r="C428" s="189"/>
    </row>
    <row r="429">
      <c r="C429" s="189"/>
    </row>
    <row r="430">
      <c r="C430" s="189"/>
    </row>
    <row r="431">
      <c r="C431" s="189"/>
    </row>
    <row r="432">
      <c r="C432" s="189"/>
    </row>
    <row r="433">
      <c r="C433" s="189"/>
    </row>
    <row r="434">
      <c r="C434" s="189"/>
    </row>
    <row r="435">
      <c r="C435" s="189"/>
    </row>
    <row r="436">
      <c r="C436" s="189"/>
    </row>
    <row r="437">
      <c r="C437" s="189"/>
    </row>
    <row r="438">
      <c r="C438" s="189"/>
    </row>
    <row r="439">
      <c r="C439" s="189"/>
    </row>
    <row r="440">
      <c r="C440" s="189"/>
    </row>
    <row r="441">
      <c r="C441" s="189"/>
    </row>
    <row r="442">
      <c r="C442" s="189"/>
    </row>
    <row r="443">
      <c r="C443" s="189"/>
    </row>
    <row r="444">
      <c r="C444" s="189"/>
    </row>
    <row r="445">
      <c r="C445" s="189"/>
    </row>
    <row r="446">
      <c r="C446" s="189"/>
    </row>
    <row r="447">
      <c r="C447" s="189"/>
    </row>
    <row r="448">
      <c r="C448" s="189"/>
    </row>
    <row r="449">
      <c r="C449" s="189"/>
    </row>
    <row r="450">
      <c r="C450" s="189"/>
    </row>
    <row r="451">
      <c r="C451" s="189"/>
    </row>
    <row r="452">
      <c r="C452" s="189"/>
    </row>
    <row r="453">
      <c r="C453" s="189"/>
    </row>
    <row r="454">
      <c r="C454" s="189"/>
    </row>
    <row r="455">
      <c r="C455" s="189"/>
    </row>
    <row r="456">
      <c r="C456" s="189"/>
    </row>
    <row r="457">
      <c r="C457" s="189"/>
    </row>
    <row r="458">
      <c r="C458" s="189"/>
    </row>
    <row r="459">
      <c r="C459" s="189"/>
    </row>
    <row r="460">
      <c r="C460" s="189"/>
    </row>
    <row r="461">
      <c r="C461" s="189"/>
    </row>
    <row r="462">
      <c r="C462" s="189"/>
    </row>
    <row r="463">
      <c r="C463" s="189"/>
    </row>
    <row r="464">
      <c r="C464" s="189"/>
    </row>
    <row r="465">
      <c r="C465" s="189"/>
    </row>
    <row r="466">
      <c r="C466" s="189"/>
    </row>
    <row r="467">
      <c r="C467" s="189"/>
    </row>
    <row r="468">
      <c r="C468" s="189"/>
    </row>
    <row r="469">
      <c r="C469" s="189"/>
    </row>
    <row r="470">
      <c r="C470" s="189"/>
    </row>
    <row r="471">
      <c r="C471" s="189"/>
    </row>
    <row r="472">
      <c r="C472" s="189"/>
    </row>
    <row r="473">
      <c r="C473" s="189"/>
    </row>
    <row r="474">
      <c r="C474" s="189"/>
    </row>
    <row r="475">
      <c r="C475" s="189"/>
    </row>
    <row r="476">
      <c r="C476" s="189"/>
    </row>
    <row r="477">
      <c r="C477" s="189"/>
    </row>
    <row r="478">
      <c r="C478" s="189"/>
    </row>
    <row r="479">
      <c r="C479" s="189"/>
    </row>
    <row r="480">
      <c r="C480" s="189"/>
    </row>
    <row r="481">
      <c r="C481" s="189"/>
    </row>
    <row r="482">
      <c r="C482" s="189"/>
    </row>
    <row r="483">
      <c r="C483" s="189"/>
    </row>
    <row r="484">
      <c r="C484" s="189"/>
    </row>
    <row r="485">
      <c r="C485" s="189"/>
    </row>
    <row r="486">
      <c r="C486" s="189"/>
    </row>
    <row r="487">
      <c r="C487" s="189"/>
    </row>
    <row r="488">
      <c r="C488" s="189"/>
    </row>
    <row r="489">
      <c r="C489" s="189"/>
    </row>
    <row r="490">
      <c r="C490" s="189"/>
    </row>
    <row r="491">
      <c r="C491" s="189"/>
    </row>
    <row r="492">
      <c r="C492" s="189"/>
    </row>
    <row r="493">
      <c r="C493" s="189"/>
    </row>
    <row r="494">
      <c r="C494" s="189"/>
    </row>
    <row r="495">
      <c r="C495" s="189"/>
    </row>
    <row r="496">
      <c r="C496" s="189"/>
    </row>
    <row r="497">
      <c r="C497" s="189"/>
    </row>
    <row r="498">
      <c r="C498" s="189"/>
    </row>
    <row r="499">
      <c r="C499" s="189"/>
    </row>
    <row r="500">
      <c r="C500" s="189"/>
    </row>
    <row r="501">
      <c r="C501" s="189"/>
    </row>
    <row r="502">
      <c r="C502" s="189"/>
    </row>
    <row r="503">
      <c r="C503" s="189"/>
    </row>
    <row r="504">
      <c r="C504" s="189"/>
    </row>
    <row r="505">
      <c r="C505" s="189"/>
    </row>
    <row r="506">
      <c r="C506" s="189"/>
    </row>
    <row r="507">
      <c r="C507" s="189"/>
    </row>
    <row r="508">
      <c r="C508" s="189"/>
    </row>
    <row r="509">
      <c r="C509" s="189"/>
    </row>
    <row r="510">
      <c r="C510" s="189"/>
    </row>
    <row r="511">
      <c r="C511" s="189"/>
    </row>
    <row r="512">
      <c r="C512" s="189"/>
    </row>
    <row r="513">
      <c r="C513" s="189"/>
    </row>
    <row r="514">
      <c r="C514" s="189"/>
    </row>
    <row r="515">
      <c r="C515" s="189"/>
    </row>
    <row r="516">
      <c r="C516" s="189"/>
    </row>
    <row r="517">
      <c r="C517" s="189"/>
    </row>
    <row r="518">
      <c r="C518" s="189"/>
    </row>
    <row r="519">
      <c r="C519" s="189"/>
    </row>
    <row r="520">
      <c r="C520" s="189"/>
    </row>
    <row r="521">
      <c r="C521" s="189"/>
    </row>
    <row r="522">
      <c r="C522" s="189"/>
    </row>
    <row r="523">
      <c r="C523" s="189"/>
    </row>
    <row r="524">
      <c r="C524" s="189"/>
    </row>
    <row r="525">
      <c r="C525" s="189"/>
    </row>
    <row r="526">
      <c r="C526" s="189"/>
    </row>
    <row r="527">
      <c r="C527" s="189"/>
    </row>
    <row r="528">
      <c r="C528" s="189"/>
    </row>
    <row r="529">
      <c r="C529" s="189"/>
    </row>
    <row r="530">
      <c r="C530" s="189"/>
    </row>
    <row r="531">
      <c r="C531" s="189"/>
    </row>
    <row r="532">
      <c r="C532" s="189"/>
    </row>
    <row r="533">
      <c r="C533" s="189"/>
    </row>
    <row r="534">
      <c r="C534" s="189"/>
    </row>
    <row r="535">
      <c r="C535" s="189"/>
    </row>
    <row r="536">
      <c r="C536" s="189"/>
    </row>
    <row r="537">
      <c r="C537" s="189"/>
    </row>
    <row r="538">
      <c r="C538" s="189"/>
    </row>
    <row r="539">
      <c r="C539" s="189"/>
    </row>
    <row r="540">
      <c r="C540" s="189"/>
    </row>
    <row r="541">
      <c r="C541" s="189"/>
    </row>
    <row r="542">
      <c r="C542" s="189"/>
    </row>
    <row r="543">
      <c r="C543" s="189"/>
    </row>
    <row r="544">
      <c r="C544" s="189"/>
    </row>
    <row r="545">
      <c r="C545" s="189"/>
    </row>
    <row r="546">
      <c r="C546" s="189"/>
    </row>
    <row r="547">
      <c r="C547" s="189"/>
    </row>
    <row r="548">
      <c r="C548" s="189"/>
    </row>
    <row r="549">
      <c r="C549" s="189"/>
    </row>
    <row r="550">
      <c r="C550" s="189"/>
    </row>
    <row r="551">
      <c r="C551" s="189"/>
    </row>
    <row r="552">
      <c r="C552" s="189"/>
    </row>
    <row r="553">
      <c r="C553" s="189"/>
    </row>
    <row r="554">
      <c r="C554" s="189"/>
    </row>
    <row r="555">
      <c r="C555" s="189"/>
    </row>
    <row r="556">
      <c r="C556" s="189"/>
    </row>
    <row r="557">
      <c r="C557" s="189"/>
    </row>
    <row r="558">
      <c r="C558" s="189"/>
    </row>
    <row r="559">
      <c r="C559" s="189"/>
    </row>
    <row r="560">
      <c r="C560" s="189"/>
    </row>
    <row r="561">
      <c r="C561" s="189"/>
    </row>
    <row r="562">
      <c r="C562" s="189"/>
    </row>
    <row r="563">
      <c r="C563" s="189"/>
    </row>
    <row r="564">
      <c r="C564" s="189"/>
    </row>
    <row r="565">
      <c r="C565" s="189"/>
    </row>
    <row r="566">
      <c r="C566" s="189"/>
    </row>
    <row r="567">
      <c r="C567" s="189"/>
    </row>
    <row r="568">
      <c r="C568" s="189"/>
    </row>
    <row r="569">
      <c r="C569" s="189"/>
    </row>
    <row r="570">
      <c r="C570" s="189"/>
    </row>
    <row r="571">
      <c r="C571" s="189"/>
    </row>
    <row r="572">
      <c r="C572" s="189"/>
    </row>
    <row r="573">
      <c r="C573" s="189"/>
    </row>
    <row r="574">
      <c r="C574" s="189"/>
    </row>
    <row r="575">
      <c r="C575" s="189"/>
    </row>
    <row r="576">
      <c r="C576" s="189"/>
    </row>
    <row r="577">
      <c r="C577" s="189"/>
    </row>
    <row r="578">
      <c r="C578" s="189"/>
    </row>
    <row r="579">
      <c r="C579" s="189"/>
    </row>
    <row r="580">
      <c r="C580" s="189"/>
    </row>
    <row r="581">
      <c r="C581" s="189"/>
    </row>
    <row r="582">
      <c r="C582" s="189"/>
    </row>
    <row r="583">
      <c r="C583" s="189"/>
    </row>
    <row r="584">
      <c r="C584" s="189"/>
    </row>
    <row r="585">
      <c r="C585" s="189"/>
    </row>
    <row r="586">
      <c r="C586" s="189"/>
    </row>
    <row r="587">
      <c r="C587" s="189"/>
    </row>
    <row r="588">
      <c r="C588" s="189"/>
    </row>
    <row r="589">
      <c r="C589" s="189"/>
    </row>
    <row r="590">
      <c r="C590" s="189"/>
    </row>
    <row r="591">
      <c r="C591" s="189"/>
    </row>
    <row r="592">
      <c r="C592" s="189"/>
    </row>
    <row r="593">
      <c r="C593" s="189"/>
    </row>
    <row r="594">
      <c r="C594" s="189"/>
    </row>
    <row r="595">
      <c r="C595" s="189"/>
    </row>
    <row r="596">
      <c r="C596" s="189"/>
    </row>
    <row r="597">
      <c r="C597" s="189"/>
    </row>
    <row r="598">
      <c r="C598" s="189"/>
    </row>
    <row r="599">
      <c r="C599" s="189"/>
    </row>
    <row r="600">
      <c r="C600" s="189"/>
    </row>
    <row r="601">
      <c r="C601" s="189"/>
    </row>
    <row r="602">
      <c r="C602" s="189"/>
    </row>
    <row r="603">
      <c r="C603" s="189"/>
    </row>
    <row r="604">
      <c r="C604" s="189"/>
    </row>
    <row r="605">
      <c r="C605" s="189"/>
    </row>
    <row r="606">
      <c r="C606" s="189"/>
    </row>
    <row r="607">
      <c r="C607" s="189"/>
    </row>
    <row r="608">
      <c r="C608" s="189"/>
    </row>
    <row r="609">
      <c r="C609" s="189"/>
    </row>
    <row r="610">
      <c r="C610" s="189"/>
    </row>
    <row r="611">
      <c r="C611" s="189"/>
    </row>
    <row r="612">
      <c r="C612" s="189"/>
    </row>
    <row r="613">
      <c r="C613" s="189"/>
    </row>
    <row r="614">
      <c r="C614" s="189"/>
    </row>
    <row r="615">
      <c r="C615" s="189"/>
    </row>
    <row r="616">
      <c r="C616" s="189"/>
    </row>
    <row r="617">
      <c r="C617" s="189"/>
    </row>
    <row r="618">
      <c r="C618" s="189"/>
    </row>
    <row r="619">
      <c r="C619" s="189"/>
    </row>
    <row r="620">
      <c r="C620" s="189"/>
    </row>
    <row r="621">
      <c r="C621" s="189"/>
    </row>
    <row r="622">
      <c r="C622" s="189"/>
    </row>
    <row r="623">
      <c r="C623" s="189"/>
    </row>
    <row r="624">
      <c r="C624" s="189"/>
    </row>
    <row r="625">
      <c r="C625" s="189"/>
    </row>
    <row r="626">
      <c r="C626" s="189"/>
    </row>
    <row r="627">
      <c r="C627" s="189"/>
    </row>
    <row r="628">
      <c r="C628" s="189"/>
    </row>
    <row r="629">
      <c r="C629" s="189"/>
    </row>
    <row r="630">
      <c r="C630" s="189"/>
    </row>
    <row r="631">
      <c r="C631" s="189"/>
    </row>
    <row r="632">
      <c r="C632" s="189"/>
    </row>
    <row r="633">
      <c r="C633" s="189"/>
    </row>
    <row r="634">
      <c r="C634" s="189"/>
    </row>
    <row r="635">
      <c r="C635" s="189"/>
    </row>
    <row r="636">
      <c r="C636" s="189"/>
    </row>
    <row r="637">
      <c r="C637" s="189"/>
    </row>
    <row r="638">
      <c r="C638" s="189"/>
    </row>
    <row r="639">
      <c r="C639" s="189"/>
    </row>
    <row r="640">
      <c r="C640" s="189"/>
    </row>
    <row r="641">
      <c r="C641" s="189"/>
    </row>
    <row r="642">
      <c r="C642" s="189"/>
    </row>
    <row r="643">
      <c r="C643" s="189"/>
    </row>
    <row r="644">
      <c r="C644" s="189"/>
    </row>
    <row r="645">
      <c r="C645" s="189"/>
    </row>
    <row r="646">
      <c r="C646" s="189"/>
    </row>
    <row r="647">
      <c r="C647" s="189"/>
    </row>
    <row r="648">
      <c r="C648" s="189"/>
    </row>
    <row r="649">
      <c r="C649" s="189"/>
    </row>
    <row r="650">
      <c r="C650" s="189"/>
    </row>
    <row r="651">
      <c r="C651" s="189"/>
    </row>
    <row r="652">
      <c r="C652" s="189"/>
    </row>
    <row r="653">
      <c r="C653" s="189"/>
    </row>
    <row r="654">
      <c r="C654" s="189"/>
    </row>
    <row r="655">
      <c r="C655" s="189"/>
    </row>
    <row r="656">
      <c r="C656" s="189"/>
    </row>
    <row r="657">
      <c r="C657" s="189"/>
    </row>
    <row r="658">
      <c r="C658" s="189"/>
    </row>
    <row r="659">
      <c r="C659" s="189"/>
    </row>
    <row r="660">
      <c r="C660" s="189"/>
    </row>
    <row r="661">
      <c r="C661" s="189"/>
    </row>
    <row r="662">
      <c r="C662" s="189"/>
    </row>
    <row r="663">
      <c r="C663" s="189"/>
    </row>
    <row r="664">
      <c r="C664" s="189"/>
    </row>
    <row r="665">
      <c r="C665" s="189"/>
    </row>
    <row r="666">
      <c r="C666" s="189"/>
    </row>
    <row r="667">
      <c r="C667" s="189"/>
    </row>
    <row r="668">
      <c r="C668" s="189"/>
    </row>
    <row r="669">
      <c r="C669" s="189"/>
    </row>
    <row r="670">
      <c r="C670" s="189"/>
    </row>
    <row r="671">
      <c r="C671" s="189"/>
    </row>
    <row r="672">
      <c r="C672" s="189"/>
    </row>
    <row r="673">
      <c r="C673" s="189"/>
    </row>
    <row r="674">
      <c r="C674" s="189"/>
    </row>
    <row r="675">
      <c r="C675" s="189"/>
    </row>
    <row r="676">
      <c r="C676" s="189"/>
    </row>
    <row r="677">
      <c r="C677" s="189"/>
    </row>
    <row r="678">
      <c r="C678" s="189"/>
    </row>
    <row r="679">
      <c r="C679" s="189"/>
    </row>
    <row r="680">
      <c r="C680" s="189"/>
    </row>
    <row r="681">
      <c r="C681" s="189"/>
    </row>
    <row r="682">
      <c r="C682" s="189"/>
    </row>
    <row r="683">
      <c r="C683" s="189"/>
    </row>
    <row r="684">
      <c r="C684" s="189"/>
    </row>
    <row r="685">
      <c r="C685" s="189"/>
    </row>
    <row r="686">
      <c r="C686" s="189"/>
    </row>
    <row r="687">
      <c r="C687" s="189"/>
    </row>
    <row r="688">
      <c r="C688" s="189"/>
    </row>
    <row r="689">
      <c r="C689" s="189"/>
    </row>
    <row r="690">
      <c r="C690" s="189"/>
    </row>
    <row r="691">
      <c r="C691" s="189"/>
    </row>
    <row r="692">
      <c r="C692" s="189"/>
    </row>
    <row r="693">
      <c r="C693" s="189"/>
    </row>
    <row r="694">
      <c r="C694" s="189"/>
    </row>
    <row r="695">
      <c r="C695" s="189"/>
    </row>
    <row r="696">
      <c r="C696" s="189"/>
    </row>
    <row r="697">
      <c r="C697" s="189"/>
    </row>
    <row r="698">
      <c r="C698" s="189"/>
    </row>
    <row r="699">
      <c r="C699" s="189"/>
    </row>
    <row r="700">
      <c r="C700" s="189"/>
    </row>
    <row r="701">
      <c r="C701" s="189"/>
    </row>
    <row r="702">
      <c r="C702" s="189"/>
    </row>
    <row r="703">
      <c r="C703" s="189"/>
    </row>
    <row r="704">
      <c r="C704" s="189"/>
    </row>
    <row r="705">
      <c r="C705" s="189"/>
    </row>
    <row r="706">
      <c r="C706" s="189"/>
    </row>
    <row r="707">
      <c r="C707" s="189"/>
    </row>
    <row r="708">
      <c r="C708" s="189"/>
    </row>
    <row r="709">
      <c r="C709" s="189"/>
    </row>
    <row r="710">
      <c r="C710" s="189"/>
    </row>
    <row r="711">
      <c r="C711" s="189"/>
    </row>
    <row r="712">
      <c r="C712" s="189"/>
    </row>
    <row r="713">
      <c r="C713" s="189"/>
    </row>
    <row r="714">
      <c r="C714" s="189"/>
    </row>
    <row r="715">
      <c r="C715" s="189"/>
    </row>
    <row r="716">
      <c r="C716" s="189"/>
    </row>
    <row r="717">
      <c r="C717" s="189"/>
    </row>
    <row r="718">
      <c r="C718" s="189"/>
    </row>
    <row r="719">
      <c r="C719" s="189"/>
    </row>
    <row r="720">
      <c r="C720" s="189"/>
    </row>
    <row r="721">
      <c r="C721" s="189"/>
    </row>
    <row r="722">
      <c r="C722" s="189"/>
    </row>
    <row r="723">
      <c r="C723" s="189"/>
    </row>
    <row r="724">
      <c r="C724" s="189"/>
    </row>
    <row r="725">
      <c r="C725" s="189"/>
    </row>
    <row r="726">
      <c r="C726" s="189"/>
    </row>
    <row r="727">
      <c r="C727" s="189"/>
    </row>
    <row r="728">
      <c r="C728" s="189"/>
    </row>
    <row r="729">
      <c r="C729" s="189"/>
    </row>
    <row r="730">
      <c r="C730" s="189"/>
    </row>
    <row r="731">
      <c r="C731" s="189"/>
    </row>
    <row r="732">
      <c r="C732" s="189"/>
    </row>
    <row r="733">
      <c r="C733" s="189"/>
    </row>
    <row r="734">
      <c r="C734" s="189"/>
    </row>
    <row r="735">
      <c r="C735" s="189"/>
    </row>
    <row r="736">
      <c r="C736" s="189"/>
    </row>
    <row r="737">
      <c r="C737" s="189"/>
    </row>
    <row r="738">
      <c r="C738" s="189"/>
    </row>
    <row r="739">
      <c r="C739" s="189"/>
    </row>
    <row r="740">
      <c r="C740" s="189"/>
    </row>
    <row r="741">
      <c r="C741" s="189"/>
    </row>
    <row r="742">
      <c r="C742" s="189"/>
    </row>
    <row r="743">
      <c r="C743" s="189"/>
    </row>
    <row r="744">
      <c r="C744" s="189"/>
    </row>
    <row r="745">
      <c r="C745" s="189"/>
    </row>
    <row r="746">
      <c r="C746" s="189"/>
    </row>
    <row r="747">
      <c r="C747" s="189"/>
    </row>
    <row r="748">
      <c r="C748" s="189"/>
    </row>
    <row r="749">
      <c r="C749" s="189"/>
    </row>
    <row r="750">
      <c r="C750" s="189"/>
    </row>
    <row r="751">
      <c r="C751" s="189"/>
    </row>
    <row r="752">
      <c r="C752" s="189"/>
    </row>
    <row r="753">
      <c r="C753" s="189"/>
    </row>
    <row r="754">
      <c r="C754" s="189"/>
    </row>
    <row r="755">
      <c r="C755" s="189"/>
    </row>
    <row r="756">
      <c r="C756" s="189"/>
    </row>
    <row r="757">
      <c r="C757" s="189"/>
    </row>
    <row r="758">
      <c r="C758" s="189"/>
    </row>
    <row r="759">
      <c r="C759" s="189"/>
    </row>
    <row r="760">
      <c r="C760" s="189"/>
    </row>
    <row r="761">
      <c r="C761" s="189"/>
    </row>
    <row r="762">
      <c r="C762" s="189"/>
    </row>
    <row r="763">
      <c r="C763" s="189"/>
    </row>
    <row r="764">
      <c r="C764" s="189"/>
    </row>
    <row r="765">
      <c r="C765" s="189"/>
    </row>
    <row r="766">
      <c r="C766" s="189"/>
    </row>
    <row r="767">
      <c r="C767" s="189"/>
    </row>
    <row r="768">
      <c r="C768" s="189"/>
    </row>
    <row r="769">
      <c r="C769" s="189"/>
    </row>
    <row r="770">
      <c r="C770" s="189"/>
    </row>
    <row r="771">
      <c r="C771" s="189"/>
    </row>
    <row r="772">
      <c r="C772" s="189"/>
    </row>
    <row r="773">
      <c r="C773" s="189"/>
    </row>
    <row r="774">
      <c r="C774" s="189"/>
    </row>
    <row r="775">
      <c r="C775" s="189"/>
    </row>
    <row r="776">
      <c r="C776" s="189"/>
    </row>
    <row r="777">
      <c r="C777" s="189"/>
    </row>
    <row r="778">
      <c r="C778" s="189"/>
    </row>
    <row r="779">
      <c r="C779" s="189"/>
    </row>
    <row r="780">
      <c r="C780" s="189"/>
    </row>
    <row r="781">
      <c r="C781" s="189"/>
    </row>
    <row r="782">
      <c r="C782" s="189"/>
    </row>
    <row r="783">
      <c r="C783" s="189"/>
    </row>
    <row r="784">
      <c r="C784" s="189"/>
    </row>
    <row r="785">
      <c r="C785" s="189"/>
    </row>
    <row r="786">
      <c r="C786" s="189"/>
    </row>
    <row r="787">
      <c r="C787" s="189"/>
    </row>
    <row r="788">
      <c r="C788" s="189"/>
    </row>
    <row r="789">
      <c r="C789" s="189"/>
    </row>
    <row r="790">
      <c r="C790" s="189"/>
    </row>
    <row r="791">
      <c r="C791" s="189"/>
    </row>
    <row r="792">
      <c r="C792" s="189"/>
    </row>
    <row r="793">
      <c r="C793" s="189"/>
    </row>
    <row r="794">
      <c r="C794" s="189"/>
    </row>
    <row r="795">
      <c r="C795" s="189"/>
    </row>
    <row r="796">
      <c r="C796" s="189"/>
    </row>
    <row r="797">
      <c r="C797" s="189"/>
    </row>
    <row r="798">
      <c r="C798" s="189"/>
    </row>
    <row r="799">
      <c r="C799" s="189"/>
    </row>
    <row r="800">
      <c r="C800" s="189"/>
    </row>
    <row r="801">
      <c r="C801" s="189"/>
    </row>
    <row r="802">
      <c r="C802" s="189"/>
    </row>
    <row r="803">
      <c r="C803" s="189"/>
    </row>
    <row r="804">
      <c r="C804" s="189"/>
    </row>
    <row r="805">
      <c r="C805" s="189"/>
    </row>
    <row r="806">
      <c r="C806" s="189"/>
    </row>
    <row r="807">
      <c r="C807" s="189"/>
    </row>
    <row r="808">
      <c r="C808" s="189"/>
    </row>
    <row r="809">
      <c r="C809" s="189"/>
    </row>
    <row r="810">
      <c r="C810" s="189"/>
    </row>
    <row r="811">
      <c r="C811" s="189"/>
    </row>
    <row r="812">
      <c r="C812" s="189"/>
    </row>
    <row r="813">
      <c r="C813" s="189"/>
    </row>
    <row r="814">
      <c r="C814" s="189"/>
    </row>
    <row r="815">
      <c r="C815" s="189"/>
    </row>
    <row r="816">
      <c r="C816" s="189"/>
    </row>
    <row r="817">
      <c r="C817" s="189"/>
    </row>
    <row r="818">
      <c r="C818" s="189"/>
    </row>
    <row r="819">
      <c r="C819" s="189"/>
    </row>
    <row r="820">
      <c r="C820" s="189"/>
    </row>
    <row r="821">
      <c r="C821" s="189"/>
    </row>
    <row r="822">
      <c r="C822" s="189"/>
    </row>
    <row r="823">
      <c r="C823" s="189"/>
    </row>
    <row r="824">
      <c r="C824" s="189"/>
    </row>
    <row r="825">
      <c r="C825" s="189"/>
    </row>
    <row r="826">
      <c r="C826" s="189"/>
    </row>
    <row r="827">
      <c r="C827" s="189"/>
    </row>
    <row r="828">
      <c r="C828" s="189"/>
    </row>
    <row r="829">
      <c r="C829" s="189"/>
    </row>
    <row r="830">
      <c r="C830" s="189"/>
    </row>
    <row r="831">
      <c r="C831" s="189"/>
    </row>
    <row r="832">
      <c r="C832" s="189"/>
    </row>
    <row r="833">
      <c r="C833" s="189"/>
    </row>
    <row r="834">
      <c r="C834" s="189"/>
    </row>
    <row r="835">
      <c r="C835" s="189"/>
    </row>
    <row r="836">
      <c r="C836" s="189"/>
    </row>
    <row r="837">
      <c r="C837" s="189"/>
    </row>
    <row r="838">
      <c r="C838" s="189"/>
    </row>
    <row r="839">
      <c r="C839" s="189"/>
    </row>
    <row r="840">
      <c r="C840" s="189"/>
    </row>
    <row r="841">
      <c r="C841" s="189"/>
    </row>
    <row r="842">
      <c r="C842" s="189"/>
    </row>
    <row r="843">
      <c r="C843" s="189"/>
    </row>
    <row r="844">
      <c r="C844" s="189"/>
    </row>
    <row r="845">
      <c r="C845" s="189"/>
    </row>
    <row r="846">
      <c r="C846" s="189"/>
    </row>
    <row r="847">
      <c r="C847" s="189"/>
    </row>
    <row r="848">
      <c r="C848" s="189"/>
    </row>
    <row r="849">
      <c r="C849" s="189"/>
    </row>
    <row r="850">
      <c r="C850" s="189"/>
    </row>
    <row r="851">
      <c r="C851" s="189"/>
    </row>
    <row r="852">
      <c r="C852" s="189"/>
    </row>
    <row r="853">
      <c r="C853" s="189"/>
    </row>
    <row r="854">
      <c r="C854" s="189"/>
    </row>
    <row r="855">
      <c r="C855" s="189"/>
    </row>
    <row r="856">
      <c r="C856" s="189"/>
    </row>
    <row r="857">
      <c r="C857" s="189"/>
    </row>
    <row r="858">
      <c r="C858" s="189"/>
    </row>
    <row r="859">
      <c r="C859" s="189"/>
    </row>
    <row r="860">
      <c r="C860" s="189"/>
    </row>
    <row r="861">
      <c r="C861" s="189"/>
    </row>
    <row r="862">
      <c r="C862" s="189"/>
    </row>
    <row r="863">
      <c r="C863" s="189"/>
    </row>
    <row r="864">
      <c r="C864" s="189"/>
    </row>
    <row r="865">
      <c r="C865" s="189"/>
    </row>
    <row r="866">
      <c r="C866" s="189"/>
    </row>
    <row r="867">
      <c r="C867" s="189"/>
    </row>
    <row r="868">
      <c r="C868" s="189"/>
    </row>
    <row r="869">
      <c r="C869" s="189"/>
    </row>
    <row r="870">
      <c r="C870" s="189"/>
    </row>
    <row r="871">
      <c r="C871" s="189"/>
    </row>
    <row r="872">
      <c r="C872" s="189"/>
    </row>
    <row r="873">
      <c r="C873" s="189"/>
    </row>
    <row r="874">
      <c r="C874" s="189"/>
    </row>
    <row r="875">
      <c r="C875" s="189"/>
    </row>
    <row r="876">
      <c r="C876" s="189"/>
    </row>
    <row r="877">
      <c r="C877" s="189"/>
    </row>
    <row r="878">
      <c r="C878" s="189"/>
    </row>
    <row r="879">
      <c r="C879" s="189"/>
    </row>
    <row r="880">
      <c r="C880" s="189"/>
    </row>
    <row r="881">
      <c r="C881" s="189"/>
    </row>
    <row r="882">
      <c r="C882" s="189"/>
    </row>
    <row r="883">
      <c r="C883" s="189"/>
    </row>
    <row r="884">
      <c r="C884" s="189"/>
    </row>
    <row r="885">
      <c r="C885" s="189"/>
    </row>
    <row r="886">
      <c r="C886" s="189"/>
    </row>
    <row r="887">
      <c r="C887" s="189"/>
    </row>
    <row r="888">
      <c r="C888" s="189"/>
    </row>
    <row r="889">
      <c r="C889" s="189"/>
    </row>
    <row r="890">
      <c r="C890" s="189"/>
    </row>
    <row r="891">
      <c r="C891" s="189"/>
    </row>
    <row r="892">
      <c r="C892" s="189"/>
    </row>
    <row r="893">
      <c r="C893" s="189"/>
    </row>
    <row r="894">
      <c r="C894" s="189"/>
    </row>
    <row r="895">
      <c r="C895" s="189"/>
    </row>
    <row r="896">
      <c r="C896" s="189"/>
    </row>
    <row r="897">
      <c r="C897" s="189"/>
    </row>
    <row r="898">
      <c r="C898" s="189"/>
    </row>
    <row r="899">
      <c r="C899" s="189"/>
    </row>
    <row r="900">
      <c r="C900" s="189"/>
    </row>
    <row r="901">
      <c r="C901" s="189"/>
    </row>
    <row r="902">
      <c r="C902" s="189"/>
    </row>
    <row r="903">
      <c r="C903" s="189"/>
    </row>
    <row r="904">
      <c r="C904" s="189"/>
    </row>
    <row r="905">
      <c r="C905" s="189"/>
    </row>
    <row r="906">
      <c r="C906" s="189"/>
    </row>
    <row r="907">
      <c r="C907" s="189"/>
    </row>
    <row r="908">
      <c r="C908" s="189"/>
    </row>
    <row r="909">
      <c r="C909" s="189"/>
    </row>
    <row r="910">
      <c r="C910" s="189"/>
    </row>
    <row r="911">
      <c r="C911" s="189"/>
    </row>
    <row r="912">
      <c r="C912" s="189"/>
    </row>
    <row r="913">
      <c r="C913" s="189"/>
    </row>
    <row r="914">
      <c r="C914" s="189"/>
    </row>
    <row r="915">
      <c r="C915" s="189"/>
    </row>
    <row r="916">
      <c r="C916" s="189"/>
    </row>
    <row r="917">
      <c r="C917" s="189"/>
    </row>
    <row r="918">
      <c r="C918" s="189"/>
    </row>
    <row r="919">
      <c r="C919" s="189"/>
    </row>
    <row r="920">
      <c r="C920" s="189"/>
    </row>
    <row r="921">
      <c r="C921" s="189"/>
    </row>
    <row r="922">
      <c r="C922" s="189"/>
    </row>
    <row r="923">
      <c r="C923" s="189"/>
    </row>
    <row r="924">
      <c r="C924" s="189"/>
    </row>
    <row r="925">
      <c r="C925" s="189"/>
    </row>
    <row r="926">
      <c r="C926" s="189"/>
    </row>
    <row r="927">
      <c r="C927" s="189"/>
    </row>
    <row r="928">
      <c r="C928" s="189"/>
    </row>
    <row r="929">
      <c r="C929" s="189"/>
    </row>
    <row r="930">
      <c r="C930" s="189"/>
    </row>
    <row r="931">
      <c r="C931" s="189"/>
    </row>
    <row r="932">
      <c r="C932" s="189"/>
    </row>
    <row r="933">
      <c r="C933" s="189"/>
    </row>
    <row r="934">
      <c r="C934" s="189"/>
    </row>
    <row r="935">
      <c r="C935" s="189"/>
    </row>
    <row r="936">
      <c r="C936" s="189"/>
    </row>
    <row r="937">
      <c r="C937" s="189"/>
    </row>
    <row r="938">
      <c r="C938" s="189"/>
    </row>
    <row r="939">
      <c r="C939" s="189"/>
    </row>
    <row r="940">
      <c r="C940" s="189"/>
    </row>
    <row r="941">
      <c r="C941" s="189"/>
    </row>
    <row r="942">
      <c r="C942" s="189"/>
    </row>
    <row r="943">
      <c r="C943" s="189"/>
    </row>
    <row r="944">
      <c r="C944" s="189"/>
    </row>
    <row r="945">
      <c r="C945" s="189"/>
    </row>
    <row r="946">
      <c r="C946" s="189"/>
    </row>
    <row r="947">
      <c r="C947" s="189"/>
    </row>
    <row r="948">
      <c r="C948" s="189"/>
    </row>
    <row r="949">
      <c r="C949" s="189"/>
    </row>
    <row r="950">
      <c r="C950" s="189"/>
    </row>
    <row r="951">
      <c r="C951" s="189"/>
    </row>
    <row r="952">
      <c r="C952" s="189"/>
    </row>
    <row r="953">
      <c r="C953" s="189"/>
    </row>
    <row r="954">
      <c r="C954" s="189"/>
    </row>
    <row r="955">
      <c r="C955" s="189"/>
    </row>
    <row r="956">
      <c r="C956" s="189"/>
    </row>
    <row r="957">
      <c r="C957" s="189"/>
    </row>
    <row r="958">
      <c r="C958" s="189"/>
    </row>
    <row r="959">
      <c r="C959" s="189"/>
    </row>
    <row r="960">
      <c r="C960" s="189"/>
    </row>
    <row r="961">
      <c r="C961" s="189"/>
    </row>
    <row r="962">
      <c r="C962" s="189"/>
    </row>
    <row r="963">
      <c r="C963" s="189"/>
    </row>
    <row r="964">
      <c r="C964" s="189"/>
    </row>
    <row r="965">
      <c r="C965" s="189"/>
    </row>
    <row r="966">
      <c r="C966" s="189"/>
    </row>
    <row r="967">
      <c r="C967" s="189"/>
    </row>
    <row r="968">
      <c r="C968" s="189"/>
    </row>
    <row r="969">
      <c r="C969" s="189"/>
    </row>
    <row r="970">
      <c r="C970" s="189"/>
    </row>
    <row r="971">
      <c r="C971" s="189"/>
    </row>
    <row r="972">
      <c r="C972" s="189"/>
    </row>
    <row r="973">
      <c r="C973" s="189"/>
    </row>
    <row r="974">
      <c r="C974" s="189"/>
    </row>
    <row r="975">
      <c r="C975" s="189"/>
    </row>
    <row r="976">
      <c r="C976" s="189"/>
    </row>
    <row r="977">
      <c r="C977" s="189"/>
    </row>
    <row r="978">
      <c r="C978" s="189"/>
    </row>
    <row r="979">
      <c r="C979" s="189"/>
    </row>
    <row r="980">
      <c r="C980" s="189"/>
    </row>
    <row r="981">
      <c r="C981" s="189"/>
    </row>
    <row r="982">
      <c r="C982" s="189"/>
    </row>
    <row r="983">
      <c r="C983" s="189"/>
    </row>
    <row r="984">
      <c r="C984" s="189"/>
    </row>
    <row r="985">
      <c r="C985" s="189"/>
    </row>
    <row r="986">
      <c r="C986" s="189"/>
    </row>
    <row r="987">
      <c r="C987" s="189"/>
    </row>
    <row r="988">
      <c r="C988" s="189"/>
    </row>
    <row r="989">
      <c r="C989" s="189"/>
    </row>
    <row r="990">
      <c r="C990" s="189"/>
    </row>
    <row r="991">
      <c r="C991" s="189"/>
    </row>
    <row r="992">
      <c r="C992" s="189"/>
    </row>
    <row r="993">
      <c r="C993" s="189"/>
    </row>
    <row r="994">
      <c r="C994" s="189"/>
    </row>
    <row r="995">
      <c r="C995" s="189"/>
    </row>
    <row r="996">
      <c r="C996" s="189"/>
    </row>
    <row r="997">
      <c r="C997" s="189"/>
    </row>
    <row r="998">
      <c r="C998" s="189"/>
    </row>
    <row r="999">
      <c r="C999" s="189"/>
    </row>
    <row r="1000">
      <c r="C1000" s="189"/>
    </row>
    <row r="1001">
      <c r="C1001" s="189"/>
    </row>
    <row r="1002">
      <c r="C1002" s="189"/>
    </row>
    <row r="1003">
      <c r="C1003" s="189"/>
    </row>
    <row r="1004">
      <c r="C1004" s="189"/>
    </row>
    <row r="1005">
      <c r="C1005" s="189"/>
    </row>
    <row r="1006">
      <c r="C1006" s="189"/>
    </row>
    <row r="1007">
      <c r="C1007" s="189"/>
    </row>
    <row r="1008">
      <c r="C1008" s="189"/>
    </row>
    <row r="1009">
      <c r="C1009" s="189"/>
    </row>
    <row r="1010">
      <c r="C1010" s="189"/>
    </row>
    <row r="1011">
      <c r="C1011" s="189"/>
    </row>
    <row r="1012">
      <c r="C1012" s="189"/>
    </row>
    <row r="1013">
      <c r="C1013" s="189"/>
    </row>
    <row r="1014">
      <c r="C1014" s="189"/>
    </row>
    <row r="1015">
      <c r="C1015" s="189"/>
    </row>
    <row r="1016">
      <c r="C1016" s="189"/>
    </row>
    <row r="1017">
      <c r="C1017" s="189"/>
    </row>
    <row r="1018">
      <c r="C1018" s="189"/>
    </row>
    <row r="1019">
      <c r="C1019" s="189"/>
    </row>
    <row r="1020">
      <c r="C1020" s="189"/>
    </row>
    <row r="1021">
      <c r="C1021" s="189"/>
    </row>
    <row r="1022">
      <c r="C1022" s="189"/>
    </row>
    <row r="1023">
      <c r="C1023" s="189"/>
    </row>
    <row r="1024">
      <c r="C1024" s="189"/>
    </row>
    <row r="1025">
      <c r="C1025" s="189"/>
    </row>
    <row r="1026">
      <c r="C1026" s="189"/>
    </row>
    <row r="1027">
      <c r="C1027" s="189"/>
    </row>
    <row r="1028">
      <c r="C1028" s="189"/>
    </row>
    <row r="1029">
      <c r="C1029" s="189"/>
    </row>
    <row r="1030">
      <c r="C1030" s="189"/>
    </row>
    <row r="1031">
      <c r="C1031" s="189"/>
    </row>
    <row r="1032">
      <c r="C1032" s="189"/>
    </row>
    <row r="1033">
      <c r="C1033" s="189"/>
    </row>
    <row r="1034">
      <c r="C1034" s="189"/>
    </row>
    <row r="1035">
      <c r="C1035" s="189"/>
    </row>
    <row r="1036">
      <c r="C1036" s="189"/>
    </row>
    <row r="1037">
      <c r="C1037" s="189"/>
    </row>
    <row r="1038">
      <c r="C1038" s="189"/>
    </row>
    <row r="1039">
      <c r="C1039" s="189"/>
    </row>
    <row r="1040">
      <c r="C1040" s="189"/>
    </row>
    <row r="1041">
      <c r="C1041" s="189"/>
    </row>
    <row r="1042">
      <c r="C1042" s="189"/>
    </row>
    <row r="1043">
      <c r="C1043" s="189"/>
    </row>
    <row r="1044">
      <c r="C1044" s="189"/>
    </row>
    <row r="1045">
      <c r="C1045" s="189"/>
    </row>
    <row r="1046">
      <c r="C1046" s="189"/>
    </row>
    <row r="1047">
      <c r="C1047" s="189"/>
    </row>
    <row r="1048">
      <c r="C1048" s="189"/>
    </row>
    <row r="1049">
      <c r="C1049" s="189"/>
    </row>
    <row r="1050">
      <c r="C1050" s="189"/>
    </row>
    <row r="1051">
      <c r="C1051" s="189"/>
    </row>
    <row r="1052">
      <c r="C1052" s="189"/>
    </row>
    <row r="1053">
      <c r="C1053" s="189"/>
    </row>
    <row r="1054">
      <c r="C1054" s="189"/>
    </row>
    <row r="1055">
      <c r="C1055" s="189"/>
    </row>
    <row r="1056">
      <c r="C1056" s="189"/>
    </row>
    <row r="1057">
      <c r="C1057" s="189"/>
    </row>
    <row r="1058">
      <c r="C1058" s="189"/>
    </row>
    <row r="1059">
      <c r="C1059" s="189"/>
    </row>
    <row r="1060">
      <c r="C1060" s="189"/>
    </row>
    <row r="1061">
      <c r="C1061" s="189"/>
    </row>
    <row r="1062">
      <c r="C1062" s="189"/>
    </row>
    <row r="1063">
      <c r="C1063" s="189"/>
    </row>
    <row r="1064">
      <c r="C1064" s="189"/>
    </row>
    <row r="1065">
      <c r="C1065" s="189"/>
    </row>
    <row r="1066">
      <c r="C1066" s="189"/>
    </row>
    <row r="1067">
      <c r="C1067" s="189"/>
    </row>
    <row r="1068">
      <c r="C1068" s="189"/>
    </row>
    <row r="1069">
      <c r="C1069" s="189"/>
    </row>
    <row r="1070">
      <c r="C1070" s="189"/>
    </row>
    <row r="1071">
      <c r="C1071" s="189"/>
    </row>
    <row r="1072">
      <c r="C1072" s="189"/>
    </row>
    <row r="1073">
      <c r="C1073" s="189"/>
    </row>
    <row r="1074">
      <c r="C1074" s="189"/>
    </row>
    <row r="1075">
      <c r="C1075" s="189"/>
    </row>
    <row r="1076">
      <c r="C1076" s="189"/>
    </row>
    <row r="1077">
      <c r="C1077" s="189"/>
    </row>
    <row r="1078">
      <c r="C1078" s="189"/>
    </row>
    <row r="1079">
      <c r="C1079" s="189"/>
    </row>
    <row r="1080">
      <c r="C1080" s="189"/>
    </row>
    <row r="1081">
      <c r="C1081" s="189"/>
    </row>
    <row r="1082">
      <c r="C1082" s="189"/>
    </row>
    <row r="1083">
      <c r="C1083" s="189"/>
    </row>
    <row r="1084">
      <c r="C1084" s="189"/>
    </row>
    <row r="1085">
      <c r="C1085" s="189"/>
    </row>
    <row r="1086">
      <c r="C1086" s="189"/>
    </row>
    <row r="1087">
      <c r="C1087" s="189"/>
    </row>
    <row r="1088">
      <c r="C1088" s="189"/>
    </row>
    <row r="1089">
      <c r="C1089" s="189"/>
    </row>
    <row r="1090">
      <c r="C1090" s="189"/>
    </row>
    <row r="1091">
      <c r="C1091" s="189"/>
    </row>
    <row r="1092">
      <c r="C1092" s="189"/>
    </row>
    <row r="1093">
      <c r="C1093" s="189"/>
    </row>
    <row r="1094">
      <c r="C1094" s="189"/>
    </row>
    <row r="1095">
      <c r="C1095" s="189"/>
    </row>
    <row r="1096">
      <c r="C1096" s="189"/>
    </row>
  </sheetData>
  <mergeCells count="3">
    <mergeCell ref="A1:I1"/>
    <mergeCell ref="A2:B2"/>
    <mergeCell ref="A153:I153"/>
  </mergeCells>
  <conditionalFormatting sqref="A5:I152">
    <cfRule type="expression" dxfId="16" priority="1">
      <formula>$C5="Cierre"</formula>
    </cfRule>
  </conditionalFormatting>
  <conditionalFormatting sqref="A5:I152">
    <cfRule type="expression" dxfId="17" priority="2">
      <formula>AND($H5&lt;"",$H5&lt;0)</formula>
    </cfRule>
  </conditionalFormatting>
  <dataValidations>
    <dataValidation type="list" allowBlank="1" sqref="C5:C126">
      <formula1>"Apertura,Incremento,Cierre"</formula1>
    </dataValidation>
    <dataValidation type="custom" allowBlank="1" showDropDown="1" sqref="A5:A126 D5:F126 H5:H126">
      <formula1>AND(ISNUMBER(A5),(NOT(OR(NOT(ISERROR(DATEVALUE(A5))), AND(ISNUMBER(A5), LEFT(CELL("format", A5))="D")))))</formula1>
    </dataValidation>
    <dataValidation type="list" allowBlank="1" sqref="C127:C151">
      <formula1>"Apertura,Incremento,Cierre"</formula1>
    </dataValidation>
  </dataValidations>
  <printOptions/>
  <pageMargins bottom="1.0" footer="0.0" header="0.0" left="0.75" right="0.75" top="1.0"/>
  <pageSetup paperSize="9" orientation="portrait"/>
  <drawing r:id="rId1"/>
  <tableParts count="3">
    <tablePart r:id="rId5"/>
    <tablePart r:id="rId6"/>
    <tablePart r:id="rId7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33AD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4.38"/>
    <col customWidth="1" min="2" max="2" width="11.38"/>
    <col customWidth="1" min="3" max="3" width="16.88"/>
    <col customWidth="1" min="4" max="4" width="17.5"/>
    <col customWidth="1" min="5" max="5" width="19.25"/>
    <col customWidth="1" min="6" max="6" width="11.38"/>
    <col customWidth="1" min="7" max="7" width="15.5"/>
    <col customWidth="1" min="8" max="8" width="22.75"/>
    <col customWidth="1" min="9" max="9" width="26.25"/>
    <col customWidth="1" min="10" max="26" width="7.63"/>
  </cols>
  <sheetData>
    <row r="1" ht="31.5" customHeight="1">
      <c r="A1" s="163" t="s">
        <v>672</v>
      </c>
      <c r="B1" s="133"/>
      <c r="C1" s="133"/>
      <c r="D1" s="133"/>
      <c r="E1" s="133"/>
      <c r="F1" s="133"/>
      <c r="G1" s="133"/>
      <c r="H1" s="133"/>
      <c r="I1" s="134"/>
    </row>
    <row r="2" ht="21.75" customHeight="1">
      <c r="B2" s="168" t="s">
        <v>660</v>
      </c>
      <c r="C2" s="169" t="str">
        <f>IFERROR(IF(COUNTIF(C5:C564,"Apertura")&gt;0,IF(COUNTIF(C5:C564,"Cierre")&gt;=COUNTIF(C5:C564,"Apertura"),"Sin posición abierta","✅ Sí, posición activa"),"Sin datos"),"")</f>
        <v>✅ Sí, posición activa</v>
      </c>
      <c r="D2" s="168" t="s">
        <v>661</v>
      </c>
      <c r="E2" s="170">
        <f>IFERROR(IF(COUNTIF(C5:C54,"Apertura")&gt;COUNTIF(C5:C54,"Cierre"),LOOKUP(2,1/(E5:E54&lt;&gt;""),E5:E54),0),0)</f>
        <v>0</v>
      </c>
      <c r="F2" s="168" t="s">
        <v>662</v>
      </c>
      <c r="G2" s="171" t="str">
        <f>IFERROR(IF(COUNTIF(C5:C54,"Apertura")&gt;COUNTIF(C5:C54,"Cierre"),LOOKUP(2,1/(F5:F54&lt;&gt;""),F5:F54),"-"),"-")</f>
        <v>-</v>
      </c>
      <c r="H2" s="168" t="s">
        <v>663</v>
      </c>
      <c r="I2" s="170">
        <f>IFERROR(SUMIF(C5:C200,"Cierre",H5:H54),0)</f>
        <v>869.17</v>
      </c>
    </row>
    <row r="3" ht="7.5" customHeight="1"/>
    <row r="4" ht="27.75" customHeight="1">
      <c r="A4" s="190" t="s">
        <v>664</v>
      </c>
      <c r="B4" s="190" t="s">
        <v>67</v>
      </c>
      <c r="C4" s="190" t="s">
        <v>57</v>
      </c>
      <c r="D4" s="190" t="s">
        <v>665</v>
      </c>
      <c r="E4" s="190" t="s">
        <v>666</v>
      </c>
      <c r="F4" s="190" t="s">
        <v>603</v>
      </c>
      <c r="G4" s="190" t="s">
        <v>3</v>
      </c>
      <c r="H4" s="190" t="s">
        <v>667</v>
      </c>
      <c r="I4" s="190" t="s">
        <v>668</v>
      </c>
    </row>
    <row r="5" ht="22.5" customHeight="1">
      <c r="A5" s="192">
        <f>IFERROR(IF(C5="Apertura",1,A4),"")</f>
        <v>1</v>
      </c>
      <c r="B5" s="193">
        <v>46012.0</v>
      </c>
      <c r="C5" s="226" t="s">
        <v>2</v>
      </c>
      <c r="D5" s="227">
        <v>50.0</v>
      </c>
      <c r="E5" s="196">
        <f t="shared" ref="E5:E116" si="1">IFERROR(IF(D5&lt;&gt;"", IF(C5="Apertura", D5,E4+D5), ""), "")</f>
        <v>50</v>
      </c>
      <c r="F5" s="228">
        <f t="shared" ref="F5:F44" si="2">IFERROR(IF(B5&lt;&gt;"", IF(C5="Cierre", B5-IFERROR(INDEX(B4:B$5,MATCH("Apertura",C4:C$5,0)),B5), TODAY()-IFERROR(INDEX(B$5:B5,MATCH("Apertura",C$5:C5,0)),B5)), ""), "")</f>
        <v>105</v>
      </c>
      <c r="G5" s="198" t="str">
        <f t="shared" ref="G5:G116" si="3">IFERROR(IF(C5="Cierre","✅ CERRADO",IF(C5&lt;&gt;"","🔓 ABIERTO","")),"")</f>
        <v>🔓 ABIERTO</v>
      </c>
      <c r="H5" s="229" t="str">
        <f t="shared" ref="H5:H116" si="4">IFERROR(IF(C5="Cierre",D5,""),"")</f>
        <v/>
      </c>
      <c r="I5" s="200"/>
    </row>
    <row r="6" ht="22.5" customHeight="1">
      <c r="A6" s="192">
        <f t="shared" ref="A6:A116" si="5">IFERROR(IF(C6="Apertura",A5+1,A5),"")</f>
        <v>1</v>
      </c>
      <c r="B6" s="201">
        <v>46012.0</v>
      </c>
      <c r="C6" s="230" t="s">
        <v>671</v>
      </c>
      <c r="D6" s="231">
        <v>54.0</v>
      </c>
      <c r="E6" s="196">
        <f t="shared" si="1"/>
        <v>104</v>
      </c>
      <c r="F6" s="232">
        <f t="shared" si="2"/>
        <v>105</v>
      </c>
      <c r="G6" s="205" t="str">
        <f t="shared" si="3"/>
        <v>🔓 ABIERTO</v>
      </c>
      <c r="H6" s="233" t="str">
        <f t="shared" si="4"/>
        <v/>
      </c>
      <c r="I6" s="207"/>
    </row>
    <row r="7" ht="22.5" customHeight="1">
      <c r="A7" s="192">
        <f t="shared" si="5"/>
        <v>1</v>
      </c>
      <c r="B7" s="193">
        <v>46013.0</v>
      </c>
      <c r="C7" s="226" t="s">
        <v>671</v>
      </c>
      <c r="D7" s="227">
        <v>50.0</v>
      </c>
      <c r="E7" s="196">
        <f t="shared" si="1"/>
        <v>154</v>
      </c>
      <c r="F7" s="228">
        <f t="shared" si="2"/>
        <v>105</v>
      </c>
      <c r="G7" s="198" t="str">
        <f t="shared" si="3"/>
        <v>🔓 ABIERTO</v>
      </c>
      <c r="H7" s="229" t="str">
        <f t="shared" si="4"/>
        <v/>
      </c>
      <c r="I7" s="200"/>
    </row>
    <row r="8" ht="22.5" customHeight="1">
      <c r="A8" s="234">
        <f t="shared" si="5"/>
        <v>1</v>
      </c>
      <c r="B8" s="201">
        <v>46014.0</v>
      </c>
      <c r="C8" s="230" t="s">
        <v>4</v>
      </c>
      <c r="D8" s="231">
        <v>54.0</v>
      </c>
      <c r="E8" s="196">
        <f t="shared" si="1"/>
        <v>208</v>
      </c>
      <c r="F8" s="232">
        <f t="shared" si="2"/>
        <v>2</v>
      </c>
      <c r="G8" s="205" t="str">
        <f t="shared" si="3"/>
        <v>✅ CERRADO</v>
      </c>
      <c r="H8" s="233">
        <f t="shared" si="4"/>
        <v>54</v>
      </c>
      <c r="I8" s="207"/>
    </row>
    <row r="9" ht="22.5" customHeight="1">
      <c r="A9" s="192">
        <f t="shared" si="5"/>
        <v>2</v>
      </c>
      <c r="B9" s="193">
        <v>46018.0</v>
      </c>
      <c r="C9" s="226" t="s">
        <v>2</v>
      </c>
      <c r="D9" s="227">
        <v>50.0</v>
      </c>
      <c r="E9" s="196">
        <f t="shared" si="1"/>
        <v>50</v>
      </c>
      <c r="F9" s="228">
        <f t="shared" si="2"/>
        <v>105</v>
      </c>
      <c r="G9" s="198" t="str">
        <f t="shared" si="3"/>
        <v>🔓 ABIERTO</v>
      </c>
      <c r="H9" s="229" t="str">
        <f t="shared" si="4"/>
        <v/>
      </c>
      <c r="I9" s="200"/>
    </row>
    <row r="10" ht="22.5" customHeight="1">
      <c r="A10" s="234">
        <f t="shared" si="5"/>
        <v>2</v>
      </c>
      <c r="B10" s="201">
        <v>46018.0</v>
      </c>
      <c r="C10" s="230" t="s">
        <v>671</v>
      </c>
      <c r="D10" s="231">
        <v>150.0</v>
      </c>
      <c r="E10" s="196">
        <f t="shared" si="1"/>
        <v>200</v>
      </c>
      <c r="F10" s="232">
        <f t="shared" si="2"/>
        <v>105</v>
      </c>
      <c r="G10" s="205" t="str">
        <f t="shared" si="3"/>
        <v>🔓 ABIERTO</v>
      </c>
      <c r="H10" s="233" t="str">
        <f t="shared" si="4"/>
        <v/>
      </c>
      <c r="I10" s="207"/>
    </row>
    <row r="11" ht="22.5" customHeight="1">
      <c r="A11" s="192">
        <f t="shared" si="5"/>
        <v>2</v>
      </c>
      <c r="B11" s="193">
        <v>46019.0</v>
      </c>
      <c r="C11" s="226" t="s">
        <v>671</v>
      </c>
      <c r="D11" s="227">
        <v>50.0</v>
      </c>
      <c r="E11" s="196">
        <f t="shared" si="1"/>
        <v>250</v>
      </c>
      <c r="F11" s="228">
        <f t="shared" si="2"/>
        <v>105</v>
      </c>
      <c r="G11" s="198" t="str">
        <f t="shared" si="3"/>
        <v>🔓 ABIERTO</v>
      </c>
      <c r="H11" s="229" t="str">
        <f t="shared" si="4"/>
        <v/>
      </c>
      <c r="I11" s="200"/>
    </row>
    <row r="12" ht="22.5" customHeight="1">
      <c r="A12" s="234">
        <f t="shared" si="5"/>
        <v>2</v>
      </c>
      <c r="B12" s="201">
        <v>46019.0</v>
      </c>
      <c r="C12" s="230" t="s">
        <v>671</v>
      </c>
      <c r="D12" s="231">
        <v>100.0</v>
      </c>
      <c r="E12" s="196">
        <f t="shared" si="1"/>
        <v>350</v>
      </c>
      <c r="F12" s="232">
        <f t="shared" si="2"/>
        <v>105</v>
      </c>
      <c r="G12" s="205" t="str">
        <f t="shared" si="3"/>
        <v>🔓 ABIERTO</v>
      </c>
      <c r="H12" s="233" t="str">
        <f t="shared" si="4"/>
        <v/>
      </c>
      <c r="I12" s="207"/>
    </row>
    <row r="13" ht="22.5" customHeight="1">
      <c r="A13" s="192">
        <f t="shared" si="5"/>
        <v>2</v>
      </c>
      <c r="B13" s="193">
        <v>46020.0</v>
      </c>
      <c r="C13" s="230" t="s">
        <v>4</v>
      </c>
      <c r="D13" s="227">
        <v>-350.0</v>
      </c>
      <c r="E13" s="196">
        <f t="shared" si="1"/>
        <v>0</v>
      </c>
      <c r="F13" s="228">
        <f t="shared" si="2"/>
        <v>8</v>
      </c>
      <c r="G13" s="198" t="str">
        <f t="shared" si="3"/>
        <v>✅ CERRADO</v>
      </c>
      <c r="H13" s="229">
        <f t="shared" si="4"/>
        <v>-350</v>
      </c>
      <c r="I13" s="200"/>
    </row>
    <row r="14" ht="22.5" customHeight="1">
      <c r="A14" s="234">
        <f t="shared" si="5"/>
        <v>3</v>
      </c>
      <c r="B14" s="209">
        <v>46044.0</v>
      </c>
      <c r="C14" s="226" t="s">
        <v>2</v>
      </c>
      <c r="D14" s="231">
        <v>40.0</v>
      </c>
      <c r="E14" s="196">
        <f t="shared" si="1"/>
        <v>40</v>
      </c>
      <c r="F14" s="232">
        <f t="shared" si="2"/>
        <v>105</v>
      </c>
      <c r="G14" s="205" t="str">
        <f t="shared" si="3"/>
        <v>🔓 ABIERTO</v>
      </c>
      <c r="H14" s="233" t="str">
        <f t="shared" si="4"/>
        <v/>
      </c>
      <c r="I14" s="207"/>
    </row>
    <row r="15" ht="22.5" customHeight="1">
      <c r="A15" s="192">
        <f t="shared" si="5"/>
        <v>3</v>
      </c>
      <c r="B15" s="208">
        <v>46045.0</v>
      </c>
      <c r="C15" s="226" t="s">
        <v>671</v>
      </c>
      <c r="D15" s="227">
        <v>40.0</v>
      </c>
      <c r="E15" s="196">
        <f t="shared" si="1"/>
        <v>80</v>
      </c>
      <c r="F15" s="228">
        <f t="shared" si="2"/>
        <v>105</v>
      </c>
      <c r="G15" s="198" t="str">
        <f t="shared" si="3"/>
        <v>🔓 ABIERTO</v>
      </c>
      <c r="H15" s="229" t="str">
        <f t="shared" si="4"/>
        <v/>
      </c>
      <c r="I15" s="200"/>
    </row>
    <row r="16" ht="22.5" customHeight="1">
      <c r="A16" s="234">
        <f t="shared" si="5"/>
        <v>3</v>
      </c>
      <c r="B16" s="209">
        <v>46047.0</v>
      </c>
      <c r="C16" s="230" t="s">
        <v>671</v>
      </c>
      <c r="D16" s="231">
        <v>30.0</v>
      </c>
      <c r="E16" s="196">
        <f t="shared" si="1"/>
        <v>110</v>
      </c>
      <c r="F16" s="232">
        <f t="shared" si="2"/>
        <v>105</v>
      </c>
      <c r="G16" s="205" t="str">
        <f t="shared" si="3"/>
        <v>🔓 ABIERTO</v>
      </c>
      <c r="H16" s="233" t="str">
        <f t="shared" si="4"/>
        <v/>
      </c>
      <c r="I16" s="207"/>
    </row>
    <row r="17" ht="22.5" customHeight="1">
      <c r="A17" s="192">
        <f t="shared" si="5"/>
        <v>3</v>
      </c>
      <c r="B17" s="208">
        <v>46047.0</v>
      </c>
      <c r="C17" s="226" t="s">
        <v>4</v>
      </c>
      <c r="D17" s="227">
        <v>31.0</v>
      </c>
      <c r="E17" s="196">
        <f t="shared" si="1"/>
        <v>141</v>
      </c>
      <c r="F17" s="228">
        <f t="shared" si="2"/>
        <v>35</v>
      </c>
      <c r="G17" s="198" t="str">
        <f t="shared" si="3"/>
        <v>✅ CERRADO</v>
      </c>
      <c r="H17" s="229">
        <f t="shared" si="4"/>
        <v>31</v>
      </c>
      <c r="I17" s="200"/>
    </row>
    <row r="18" ht="22.5" customHeight="1">
      <c r="A18" s="234">
        <f t="shared" si="5"/>
        <v>4</v>
      </c>
      <c r="B18" s="209">
        <v>46048.0</v>
      </c>
      <c r="C18" s="226" t="s">
        <v>2</v>
      </c>
      <c r="D18" s="231">
        <v>40.0</v>
      </c>
      <c r="E18" s="196">
        <f t="shared" si="1"/>
        <v>40</v>
      </c>
      <c r="F18" s="232">
        <f t="shared" si="2"/>
        <v>105</v>
      </c>
      <c r="G18" s="205" t="str">
        <f t="shared" si="3"/>
        <v>🔓 ABIERTO</v>
      </c>
      <c r="H18" s="233" t="str">
        <f t="shared" si="4"/>
        <v/>
      </c>
      <c r="I18" s="207"/>
    </row>
    <row r="19" ht="22.5" customHeight="1">
      <c r="A19" s="192">
        <f t="shared" si="5"/>
        <v>4</v>
      </c>
      <c r="B19" s="208">
        <v>46049.0</v>
      </c>
      <c r="C19" s="226" t="s">
        <v>671</v>
      </c>
      <c r="D19" s="227">
        <v>70.0</v>
      </c>
      <c r="E19" s="196">
        <f t="shared" si="1"/>
        <v>110</v>
      </c>
      <c r="F19" s="228">
        <f t="shared" si="2"/>
        <v>105</v>
      </c>
      <c r="G19" s="198" t="str">
        <f t="shared" si="3"/>
        <v>🔓 ABIERTO</v>
      </c>
      <c r="H19" s="229" t="str">
        <f t="shared" si="4"/>
        <v/>
      </c>
      <c r="I19" s="200"/>
    </row>
    <row r="20" ht="22.5" customHeight="1">
      <c r="A20" s="234">
        <f t="shared" si="5"/>
        <v>4</v>
      </c>
      <c r="B20" s="209">
        <v>46049.0</v>
      </c>
      <c r="C20" s="230" t="s">
        <v>671</v>
      </c>
      <c r="D20" s="231">
        <v>80.0</v>
      </c>
      <c r="E20" s="196">
        <f t="shared" si="1"/>
        <v>190</v>
      </c>
      <c r="F20" s="232">
        <f t="shared" si="2"/>
        <v>105</v>
      </c>
      <c r="G20" s="205" t="str">
        <f t="shared" si="3"/>
        <v>🔓 ABIERTO</v>
      </c>
      <c r="H20" s="233" t="str">
        <f t="shared" si="4"/>
        <v/>
      </c>
      <c r="I20" s="207"/>
    </row>
    <row r="21" ht="22.5" customHeight="1">
      <c r="A21" s="192">
        <f t="shared" si="5"/>
        <v>4</v>
      </c>
      <c r="B21" s="208">
        <v>46050.0</v>
      </c>
      <c r="C21" s="226" t="s">
        <v>671</v>
      </c>
      <c r="D21" s="227">
        <v>44.0</v>
      </c>
      <c r="E21" s="196">
        <f t="shared" si="1"/>
        <v>234</v>
      </c>
      <c r="F21" s="228">
        <f t="shared" si="2"/>
        <v>105</v>
      </c>
      <c r="G21" s="198" t="str">
        <f t="shared" si="3"/>
        <v>🔓 ABIERTO</v>
      </c>
      <c r="H21" s="229" t="str">
        <f t="shared" si="4"/>
        <v/>
      </c>
      <c r="I21" s="200"/>
    </row>
    <row r="22" ht="22.5" customHeight="1">
      <c r="A22" s="234">
        <f t="shared" si="5"/>
        <v>4</v>
      </c>
      <c r="B22" s="209">
        <v>46051.0</v>
      </c>
      <c r="C22" s="226" t="s">
        <v>4</v>
      </c>
      <c r="D22" s="231">
        <v>72.0</v>
      </c>
      <c r="E22" s="196">
        <f t="shared" si="1"/>
        <v>306</v>
      </c>
      <c r="F22" s="232">
        <f t="shared" si="2"/>
        <v>39</v>
      </c>
      <c r="G22" s="205" t="str">
        <f t="shared" si="3"/>
        <v>✅ CERRADO</v>
      </c>
      <c r="H22" s="233">
        <f t="shared" si="4"/>
        <v>72</v>
      </c>
      <c r="I22" s="207"/>
    </row>
    <row r="23" ht="22.5" customHeight="1">
      <c r="A23" s="192">
        <f t="shared" si="5"/>
        <v>5</v>
      </c>
      <c r="B23" s="208">
        <v>46055.0</v>
      </c>
      <c r="C23" s="226" t="s">
        <v>2</v>
      </c>
      <c r="D23" s="227">
        <v>50.0</v>
      </c>
      <c r="E23" s="196">
        <f t="shared" si="1"/>
        <v>50</v>
      </c>
      <c r="F23" s="228">
        <f t="shared" si="2"/>
        <v>105</v>
      </c>
      <c r="G23" s="198" t="str">
        <f t="shared" si="3"/>
        <v>🔓 ABIERTO</v>
      </c>
      <c r="H23" s="229" t="str">
        <f t="shared" si="4"/>
        <v/>
      </c>
      <c r="I23" s="200"/>
    </row>
    <row r="24" ht="22.5" customHeight="1">
      <c r="A24" s="234">
        <f t="shared" si="5"/>
        <v>5</v>
      </c>
      <c r="B24" s="209">
        <v>46055.0</v>
      </c>
      <c r="C24" s="230" t="s">
        <v>671</v>
      </c>
      <c r="D24" s="231">
        <v>50.0</v>
      </c>
      <c r="E24" s="196">
        <f t="shared" si="1"/>
        <v>100</v>
      </c>
      <c r="F24" s="232">
        <f t="shared" si="2"/>
        <v>105</v>
      </c>
      <c r="G24" s="205" t="str">
        <f t="shared" si="3"/>
        <v>🔓 ABIERTO</v>
      </c>
      <c r="H24" s="233" t="str">
        <f t="shared" si="4"/>
        <v/>
      </c>
      <c r="I24" s="207"/>
    </row>
    <row r="25" ht="22.5" customHeight="1">
      <c r="A25" s="192">
        <f t="shared" si="5"/>
        <v>5</v>
      </c>
      <c r="B25" s="226" t="s">
        <v>4</v>
      </c>
      <c r="C25" s="226" t="s">
        <v>4</v>
      </c>
      <c r="D25" s="227">
        <v>35.4</v>
      </c>
      <c r="E25" s="196">
        <f t="shared" si="1"/>
        <v>135.4</v>
      </c>
      <c r="F25" s="228" t="str">
        <f t="shared" si="2"/>
        <v/>
      </c>
      <c r="G25" s="198" t="str">
        <f t="shared" si="3"/>
        <v>✅ CERRADO</v>
      </c>
      <c r="H25" s="229">
        <f t="shared" si="4"/>
        <v>35.4</v>
      </c>
      <c r="I25" s="200"/>
    </row>
    <row r="26" ht="22.5" customHeight="1">
      <c r="A26" s="234">
        <f t="shared" si="5"/>
        <v>6</v>
      </c>
      <c r="B26" s="209">
        <v>46056.0</v>
      </c>
      <c r="C26" s="226" t="s">
        <v>2</v>
      </c>
      <c r="D26" s="231">
        <v>50.0</v>
      </c>
      <c r="E26" s="196">
        <f t="shared" si="1"/>
        <v>50</v>
      </c>
      <c r="F26" s="232">
        <f t="shared" si="2"/>
        <v>105</v>
      </c>
      <c r="G26" s="205" t="str">
        <f t="shared" si="3"/>
        <v>🔓 ABIERTO</v>
      </c>
      <c r="H26" s="233" t="str">
        <f t="shared" si="4"/>
        <v/>
      </c>
      <c r="I26" s="207"/>
    </row>
    <row r="27" ht="22.5" customHeight="1">
      <c r="A27" s="192">
        <f t="shared" si="5"/>
        <v>6</v>
      </c>
      <c r="B27" s="208">
        <v>46057.0</v>
      </c>
      <c r="C27" s="226" t="s">
        <v>4</v>
      </c>
      <c r="D27" s="227">
        <v>14.0</v>
      </c>
      <c r="E27" s="196">
        <f t="shared" si="1"/>
        <v>64</v>
      </c>
      <c r="F27" s="228">
        <f t="shared" si="2"/>
        <v>45</v>
      </c>
      <c r="G27" s="198" t="str">
        <f t="shared" si="3"/>
        <v>✅ CERRADO</v>
      </c>
      <c r="H27" s="229">
        <f t="shared" si="4"/>
        <v>14</v>
      </c>
      <c r="I27" s="200"/>
    </row>
    <row r="28" ht="22.5" customHeight="1">
      <c r="A28" s="234">
        <f t="shared" si="5"/>
        <v>7</v>
      </c>
      <c r="B28" s="208">
        <v>46058.0</v>
      </c>
      <c r="C28" s="226" t="s">
        <v>2</v>
      </c>
      <c r="D28" s="227">
        <v>100.0</v>
      </c>
      <c r="E28" s="196">
        <f t="shared" si="1"/>
        <v>100</v>
      </c>
      <c r="F28" s="228">
        <f t="shared" si="2"/>
        <v>105</v>
      </c>
      <c r="G28" s="205" t="str">
        <f t="shared" si="3"/>
        <v>🔓 ABIERTO</v>
      </c>
      <c r="H28" s="233" t="str">
        <f t="shared" si="4"/>
        <v/>
      </c>
      <c r="I28" s="207"/>
    </row>
    <row r="29" ht="22.5" customHeight="1">
      <c r="A29" s="192">
        <f t="shared" si="5"/>
        <v>7</v>
      </c>
      <c r="B29" s="209">
        <v>46059.0</v>
      </c>
      <c r="C29" s="226" t="s">
        <v>4</v>
      </c>
      <c r="D29" s="231">
        <v>31.0</v>
      </c>
      <c r="E29" s="196">
        <f t="shared" si="1"/>
        <v>131</v>
      </c>
      <c r="F29" s="232">
        <f t="shared" si="2"/>
        <v>47</v>
      </c>
      <c r="G29" s="198" t="str">
        <f t="shared" si="3"/>
        <v>✅ CERRADO</v>
      </c>
      <c r="H29" s="229">
        <f t="shared" si="4"/>
        <v>31</v>
      </c>
      <c r="I29" s="200"/>
    </row>
    <row r="30" ht="22.5" customHeight="1">
      <c r="A30" s="234">
        <f t="shared" si="5"/>
        <v>8</v>
      </c>
      <c r="B30" s="209">
        <v>46058.0</v>
      </c>
      <c r="C30" s="226" t="s">
        <v>2</v>
      </c>
      <c r="D30" s="231">
        <v>100.0</v>
      </c>
      <c r="E30" s="196">
        <f t="shared" si="1"/>
        <v>100</v>
      </c>
      <c r="F30" s="232">
        <f t="shared" si="2"/>
        <v>105</v>
      </c>
      <c r="G30" s="205" t="str">
        <f t="shared" si="3"/>
        <v>🔓 ABIERTO</v>
      </c>
      <c r="H30" s="233" t="str">
        <f t="shared" si="4"/>
        <v/>
      </c>
      <c r="I30" s="207"/>
    </row>
    <row r="31" ht="22.5" customHeight="1">
      <c r="A31" s="192">
        <f t="shared" si="5"/>
        <v>8</v>
      </c>
      <c r="B31" s="208">
        <v>46059.0</v>
      </c>
      <c r="C31" s="226" t="s">
        <v>671</v>
      </c>
      <c r="D31" s="227">
        <v>100.0</v>
      </c>
      <c r="E31" s="196">
        <f t="shared" si="1"/>
        <v>200</v>
      </c>
      <c r="F31" s="228">
        <f t="shared" si="2"/>
        <v>105</v>
      </c>
      <c r="G31" s="198" t="str">
        <f t="shared" si="3"/>
        <v>🔓 ABIERTO</v>
      </c>
      <c r="H31" s="229" t="str">
        <f t="shared" si="4"/>
        <v/>
      </c>
      <c r="I31" s="200"/>
    </row>
    <row r="32" ht="22.5" customHeight="1">
      <c r="A32" s="234">
        <f t="shared" si="5"/>
        <v>8</v>
      </c>
      <c r="B32" s="209">
        <v>46059.0</v>
      </c>
      <c r="C32" s="230" t="s">
        <v>671</v>
      </c>
      <c r="D32" s="231">
        <v>70.0</v>
      </c>
      <c r="E32" s="196">
        <f t="shared" si="1"/>
        <v>270</v>
      </c>
      <c r="F32" s="232">
        <f t="shared" si="2"/>
        <v>105</v>
      </c>
      <c r="G32" s="205" t="str">
        <f t="shared" si="3"/>
        <v>🔓 ABIERTO</v>
      </c>
      <c r="H32" s="233" t="str">
        <f t="shared" si="4"/>
        <v/>
      </c>
      <c r="I32" s="207"/>
    </row>
    <row r="33" ht="22.5" customHeight="1">
      <c r="A33" s="192">
        <f t="shared" si="5"/>
        <v>8</v>
      </c>
      <c r="B33" s="208">
        <v>46060.0</v>
      </c>
      <c r="C33" s="226" t="s">
        <v>671</v>
      </c>
      <c r="D33" s="235"/>
      <c r="E33" s="196" t="str">
        <f t="shared" si="1"/>
        <v/>
      </c>
      <c r="F33" s="228">
        <f t="shared" si="2"/>
        <v>105</v>
      </c>
      <c r="G33" s="198" t="str">
        <f t="shared" si="3"/>
        <v>🔓 ABIERTO</v>
      </c>
      <c r="H33" s="229" t="str">
        <f t="shared" si="4"/>
        <v/>
      </c>
      <c r="I33" s="200"/>
    </row>
    <row r="34" ht="22.5" customHeight="1">
      <c r="A34" s="234">
        <f t="shared" si="5"/>
        <v>8</v>
      </c>
      <c r="B34" s="209">
        <v>46061.0</v>
      </c>
      <c r="C34" s="230" t="s">
        <v>671</v>
      </c>
      <c r="D34" s="231">
        <v>100.0</v>
      </c>
      <c r="E34" s="196">
        <f t="shared" si="1"/>
        <v>100</v>
      </c>
      <c r="F34" s="232">
        <f t="shared" si="2"/>
        <v>105</v>
      </c>
      <c r="G34" s="205" t="str">
        <f t="shared" si="3"/>
        <v>🔓 ABIERTO</v>
      </c>
      <c r="H34" s="233" t="str">
        <f t="shared" si="4"/>
        <v/>
      </c>
      <c r="I34" s="207"/>
    </row>
    <row r="35" ht="22.5" customHeight="1">
      <c r="A35" s="192">
        <f t="shared" si="5"/>
        <v>8</v>
      </c>
      <c r="B35" s="208">
        <v>46062.0</v>
      </c>
      <c r="C35" s="226" t="s">
        <v>671</v>
      </c>
      <c r="D35" s="227">
        <v>50.0</v>
      </c>
      <c r="E35" s="196">
        <f t="shared" si="1"/>
        <v>150</v>
      </c>
      <c r="F35" s="228">
        <f t="shared" si="2"/>
        <v>105</v>
      </c>
      <c r="G35" s="198" t="str">
        <f t="shared" si="3"/>
        <v>🔓 ABIERTO</v>
      </c>
      <c r="H35" s="229" t="str">
        <f t="shared" si="4"/>
        <v/>
      </c>
      <c r="I35" s="200"/>
    </row>
    <row r="36" ht="22.5" customHeight="1">
      <c r="A36" s="234">
        <f t="shared" si="5"/>
        <v>8</v>
      </c>
      <c r="B36" s="209">
        <v>46063.0</v>
      </c>
      <c r="C36" s="230" t="s">
        <v>671</v>
      </c>
      <c r="D36" s="231">
        <v>50.0</v>
      </c>
      <c r="E36" s="196">
        <f t="shared" si="1"/>
        <v>200</v>
      </c>
      <c r="F36" s="232">
        <f t="shared" si="2"/>
        <v>105</v>
      </c>
      <c r="G36" s="205" t="str">
        <f t="shared" si="3"/>
        <v>🔓 ABIERTO</v>
      </c>
      <c r="H36" s="233" t="str">
        <f t="shared" si="4"/>
        <v/>
      </c>
      <c r="I36" s="207"/>
    </row>
    <row r="37" ht="22.5" customHeight="1">
      <c r="A37" s="192">
        <f t="shared" si="5"/>
        <v>8</v>
      </c>
      <c r="B37" s="208">
        <v>46064.0</v>
      </c>
      <c r="C37" s="226" t="s">
        <v>4</v>
      </c>
      <c r="D37" s="227">
        <v>122.0</v>
      </c>
      <c r="E37" s="196">
        <f t="shared" si="1"/>
        <v>322</v>
      </c>
      <c r="F37" s="228">
        <f t="shared" si="2"/>
        <v>52</v>
      </c>
      <c r="G37" s="198" t="str">
        <f t="shared" si="3"/>
        <v>✅ CERRADO</v>
      </c>
      <c r="H37" s="229">
        <f t="shared" si="4"/>
        <v>122</v>
      </c>
      <c r="I37" s="200"/>
    </row>
    <row r="38" ht="22.5" customHeight="1">
      <c r="A38" s="234">
        <f t="shared" si="5"/>
        <v>9</v>
      </c>
      <c r="B38" s="208">
        <v>46065.0</v>
      </c>
      <c r="C38" s="226" t="s">
        <v>2</v>
      </c>
      <c r="D38" s="227">
        <v>100.0</v>
      </c>
      <c r="E38" s="196">
        <f t="shared" si="1"/>
        <v>100</v>
      </c>
      <c r="F38" s="228">
        <f t="shared" si="2"/>
        <v>105</v>
      </c>
      <c r="G38" s="205" t="str">
        <f t="shared" si="3"/>
        <v>🔓 ABIERTO</v>
      </c>
      <c r="H38" s="233" t="str">
        <f t="shared" si="4"/>
        <v/>
      </c>
      <c r="I38" s="207"/>
    </row>
    <row r="39" ht="22.5" customHeight="1">
      <c r="A39" s="192">
        <f t="shared" si="5"/>
        <v>9</v>
      </c>
      <c r="B39" s="209">
        <v>46066.0</v>
      </c>
      <c r="C39" s="230" t="s">
        <v>671</v>
      </c>
      <c r="D39" s="231">
        <v>50.0</v>
      </c>
      <c r="E39" s="196">
        <f t="shared" si="1"/>
        <v>150</v>
      </c>
      <c r="F39" s="232">
        <f t="shared" si="2"/>
        <v>105</v>
      </c>
      <c r="G39" s="198" t="str">
        <f t="shared" si="3"/>
        <v>🔓 ABIERTO</v>
      </c>
      <c r="H39" s="229" t="str">
        <f t="shared" si="4"/>
        <v/>
      </c>
      <c r="I39" s="200"/>
    </row>
    <row r="40" ht="22.5" customHeight="1">
      <c r="A40" s="234">
        <f t="shared" si="5"/>
        <v>9</v>
      </c>
      <c r="B40" s="208">
        <v>46066.0</v>
      </c>
      <c r="C40" s="226" t="s">
        <v>671</v>
      </c>
      <c r="D40" s="227">
        <v>150.0</v>
      </c>
      <c r="E40" s="196">
        <f t="shared" si="1"/>
        <v>300</v>
      </c>
      <c r="F40" s="228">
        <f t="shared" si="2"/>
        <v>105</v>
      </c>
      <c r="G40" s="205" t="str">
        <f t="shared" si="3"/>
        <v>🔓 ABIERTO</v>
      </c>
      <c r="H40" s="233" t="str">
        <f t="shared" si="4"/>
        <v/>
      </c>
      <c r="I40" s="207"/>
    </row>
    <row r="41" ht="22.5" customHeight="1">
      <c r="A41" s="192">
        <f t="shared" si="5"/>
        <v>9</v>
      </c>
      <c r="B41" s="209">
        <v>46067.0</v>
      </c>
      <c r="C41" s="230" t="s">
        <v>671</v>
      </c>
      <c r="D41" s="231">
        <v>150.0</v>
      </c>
      <c r="E41" s="196">
        <f t="shared" si="1"/>
        <v>450</v>
      </c>
      <c r="F41" s="232">
        <f t="shared" si="2"/>
        <v>105</v>
      </c>
      <c r="G41" s="198" t="str">
        <f t="shared" si="3"/>
        <v>🔓 ABIERTO</v>
      </c>
      <c r="H41" s="229" t="str">
        <f t="shared" si="4"/>
        <v/>
      </c>
      <c r="I41" s="200"/>
    </row>
    <row r="42" ht="22.5" customHeight="1">
      <c r="A42" s="234">
        <f t="shared" si="5"/>
        <v>9</v>
      </c>
      <c r="B42" s="208">
        <v>46068.0</v>
      </c>
      <c r="C42" s="226" t="s">
        <v>671</v>
      </c>
      <c r="D42" s="227">
        <v>150.0</v>
      </c>
      <c r="E42" s="196">
        <f t="shared" si="1"/>
        <v>600</v>
      </c>
      <c r="F42" s="228">
        <f t="shared" si="2"/>
        <v>105</v>
      </c>
      <c r="G42" s="205" t="str">
        <f t="shared" si="3"/>
        <v>🔓 ABIERTO</v>
      </c>
      <c r="H42" s="233" t="str">
        <f t="shared" si="4"/>
        <v/>
      </c>
      <c r="I42" s="207"/>
    </row>
    <row r="43" ht="22.5" customHeight="1">
      <c r="A43" s="192">
        <f t="shared" si="5"/>
        <v>9</v>
      </c>
      <c r="B43" s="209">
        <v>46069.0</v>
      </c>
      <c r="C43" s="230" t="s">
        <v>671</v>
      </c>
      <c r="D43" s="231">
        <v>50.0</v>
      </c>
      <c r="E43" s="196">
        <f t="shared" si="1"/>
        <v>650</v>
      </c>
      <c r="F43" s="232">
        <f t="shared" si="2"/>
        <v>105</v>
      </c>
      <c r="G43" s="198" t="str">
        <f t="shared" si="3"/>
        <v>🔓 ABIERTO</v>
      </c>
      <c r="H43" s="229" t="str">
        <f t="shared" si="4"/>
        <v/>
      </c>
      <c r="I43" s="200"/>
    </row>
    <row r="44" ht="22.5" customHeight="1">
      <c r="A44" s="234">
        <f t="shared" si="5"/>
        <v>9</v>
      </c>
      <c r="B44" s="208">
        <v>46072.0</v>
      </c>
      <c r="C44" s="226" t="s">
        <v>4</v>
      </c>
      <c r="D44" s="227">
        <v>209.0</v>
      </c>
      <c r="E44" s="196">
        <f t="shared" si="1"/>
        <v>859</v>
      </c>
      <c r="F44" s="228">
        <f t="shared" si="2"/>
        <v>60</v>
      </c>
      <c r="G44" s="205" t="str">
        <f t="shared" si="3"/>
        <v>✅ CERRADO</v>
      </c>
      <c r="H44" s="233">
        <f t="shared" si="4"/>
        <v>209</v>
      </c>
      <c r="I44" s="207"/>
    </row>
    <row r="45" ht="22.5" customHeight="1">
      <c r="A45" s="192">
        <f t="shared" si="5"/>
        <v>10</v>
      </c>
      <c r="B45" s="208">
        <v>46073.0</v>
      </c>
      <c r="C45" s="226" t="s">
        <v>2</v>
      </c>
      <c r="D45" s="227">
        <v>150.0</v>
      </c>
      <c r="E45" s="196">
        <f t="shared" si="1"/>
        <v>150</v>
      </c>
      <c r="F45" s="228">
        <v>2.0</v>
      </c>
      <c r="G45" s="198" t="str">
        <f t="shared" si="3"/>
        <v>🔓 ABIERTO</v>
      </c>
      <c r="H45" s="229" t="str">
        <f t="shared" si="4"/>
        <v/>
      </c>
      <c r="I45" s="200"/>
    </row>
    <row r="46" ht="22.5" customHeight="1">
      <c r="A46" s="234">
        <f t="shared" si="5"/>
        <v>10</v>
      </c>
      <c r="B46" s="209">
        <v>46074.0</v>
      </c>
      <c r="C46" s="230" t="s">
        <v>671</v>
      </c>
      <c r="D46" s="231">
        <v>100.0</v>
      </c>
      <c r="E46" s="196">
        <f t="shared" si="1"/>
        <v>250</v>
      </c>
      <c r="F46" s="232">
        <v>1.0</v>
      </c>
      <c r="G46" s="205" t="str">
        <f t="shared" si="3"/>
        <v>🔓 ABIERTO</v>
      </c>
      <c r="H46" s="233" t="str">
        <f t="shared" si="4"/>
        <v/>
      </c>
      <c r="I46" s="207"/>
    </row>
    <row r="47" ht="22.5" customHeight="1">
      <c r="A47" s="192">
        <f t="shared" si="5"/>
        <v>10</v>
      </c>
      <c r="B47" s="208">
        <v>46075.0</v>
      </c>
      <c r="C47" s="226" t="s">
        <v>4</v>
      </c>
      <c r="D47" s="227">
        <v>50.91</v>
      </c>
      <c r="E47" s="196">
        <f t="shared" si="1"/>
        <v>300.91</v>
      </c>
      <c r="F47" s="228"/>
      <c r="G47" s="198" t="str">
        <f t="shared" si="3"/>
        <v>✅ CERRADO</v>
      </c>
      <c r="H47" s="229">
        <f t="shared" si="4"/>
        <v>50.91</v>
      </c>
      <c r="I47" s="200"/>
    </row>
    <row r="48" ht="22.5" customHeight="1">
      <c r="A48" s="234">
        <f t="shared" si="5"/>
        <v>11</v>
      </c>
      <c r="B48" s="209">
        <v>46076.0</v>
      </c>
      <c r="C48" s="226" t="s">
        <v>2</v>
      </c>
      <c r="D48" s="231">
        <v>150.0</v>
      </c>
      <c r="E48" s="196">
        <f t="shared" si="1"/>
        <v>150</v>
      </c>
      <c r="F48" s="232"/>
      <c r="G48" s="205" t="str">
        <f t="shared" si="3"/>
        <v>🔓 ABIERTO</v>
      </c>
      <c r="H48" s="233" t="str">
        <f t="shared" si="4"/>
        <v/>
      </c>
      <c r="I48" s="207"/>
    </row>
    <row r="49" ht="22.5" customHeight="1">
      <c r="A49" s="192">
        <f t="shared" si="5"/>
        <v>11</v>
      </c>
      <c r="B49" s="208">
        <v>46077.0</v>
      </c>
      <c r="C49" s="226" t="s">
        <v>4</v>
      </c>
      <c r="D49" s="227">
        <v>37.0</v>
      </c>
      <c r="E49" s="196">
        <f t="shared" si="1"/>
        <v>187</v>
      </c>
      <c r="F49" s="228"/>
      <c r="G49" s="198" t="str">
        <f t="shared" si="3"/>
        <v>✅ CERRADO</v>
      </c>
      <c r="H49" s="229">
        <f t="shared" si="4"/>
        <v>37</v>
      </c>
      <c r="I49" s="200"/>
    </row>
    <row r="50" ht="22.5" customHeight="1">
      <c r="A50" s="234">
        <f t="shared" si="5"/>
        <v>12</v>
      </c>
      <c r="B50" s="209">
        <v>46077.0</v>
      </c>
      <c r="C50" s="230" t="s">
        <v>2</v>
      </c>
      <c r="D50" s="231">
        <v>100.0</v>
      </c>
      <c r="E50" s="196">
        <f t="shared" si="1"/>
        <v>100</v>
      </c>
      <c r="F50" s="232">
        <f t="array" ref="F50">IFERROR(IF(B50&lt;&gt;"", IF(C50="Cierre", B50-IFERROR(INDEX(B$5:B49,MATCH("Apertura",C$5:C49,0)),B50), TODAY()-IFERROR(INDEX(B$5:B50,MATCH("Apertura",C$5:C50,0)),B50)), ""), "")</f>
        <v>105</v>
      </c>
      <c r="G50" s="205" t="str">
        <f t="shared" si="3"/>
        <v>🔓 ABIERTO</v>
      </c>
      <c r="H50" s="233" t="str">
        <f t="shared" si="4"/>
        <v/>
      </c>
      <c r="I50" s="207"/>
    </row>
    <row r="51" ht="22.5" customHeight="1">
      <c r="A51" s="192">
        <f t="shared" si="5"/>
        <v>12</v>
      </c>
      <c r="B51" s="208">
        <v>46077.0</v>
      </c>
      <c r="C51" s="226" t="s">
        <v>671</v>
      </c>
      <c r="D51" s="227">
        <v>400.0</v>
      </c>
      <c r="E51" s="196">
        <f t="shared" si="1"/>
        <v>500</v>
      </c>
      <c r="F51" s="228"/>
      <c r="G51" s="198" t="str">
        <f t="shared" si="3"/>
        <v>🔓 ABIERTO</v>
      </c>
      <c r="H51" s="229" t="str">
        <f t="shared" si="4"/>
        <v/>
      </c>
      <c r="I51" s="200"/>
    </row>
    <row r="52" ht="22.5" customHeight="1">
      <c r="A52" s="234">
        <f t="shared" si="5"/>
        <v>12</v>
      </c>
      <c r="B52" s="209">
        <v>46078.0</v>
      </c>
      <c r="C52" s="230" t="s">
        <v>671</v>
      </c>
      <c r="D52" s="231">
        <v>200.0</v>
      </c>
      <c r="E52" s="196">
        <f t="shared" si="1"/>
        <v>700</v>
      </c>
      <c r="F52" s="232"/>
      <c r="G52" s="205" t="str">
        <f t="shared" si="3"/>
        <v>🔓 ABIERTO</v>
      </c>
      <c r="H52" s="233" t="str">
        <f t="shared" si="4"/>
        <v/>
      </c>
      <c r="I52" s="207"/>
    </row>
    <row r="53" ht="22.5" customHeight="1">
      <c r="A53" s="192">
        <f t="shared" si="5"/>
        <v>12</v>
      </c>
      <c r="B53" s="208">
        <v>46078.0</v>
      </c>
      <c r="C53" s="226" t="s">
        <v>671</v>
      </c>
      <c r="D53" s="227">
        <v>200.0</v>
      </c>
      <c r="E53" s="196">
        <f t="shared" si="1"/>
        <v>900</v>
      </c>
      <c r="F53" s="228">
        <f t="shared" ref="F53:F116" si="6">IFERROR(IF(B53&lt;&gt;"", IF(C53="Cierre", B53-IFERROR(INDEX(B$5:B52,MATCH("Apertura",C$5:C52,0)),B53), TODAY()-IFERROR(INDEX(B$5:B53,MATCH("Apertura",C$5:C53,0)),B53)), ""), "")</f>
        <v>105</v>
      </c>
      <c r="G53" s="198" t="str">
        <f t="shared" si="3"/>
        <v>🔓 ABIERTO</v>
      </c>
      <c r="H53" s="229" t="str">
        <f t="shared" si="4"/>
        <v/>
      </c>
      <c r="I53" s="200"/>
    </row>
    <row r="54" ht="22.5" customHeight="1">
      <c r="A54" s="234">
        <f t="shared" si="5"/>
        <v>13</v>
      </c>
      <c r="B54" s="209">
        <v>46081.0</v>
      </c>
      <c r="C54" s="230" t="s">
        <v>2</v>
      </c>
      <c r="D54" s="236">
        <v>200.0</v>
      </c>
      <c r="E54" s="196">
        <f t="shared" si="1"/>
        <v>200</v>
      </c>
      <c r="F54" s="232">
        <f t="shared" si="6"/>
        <v>105</v>
      </c>
      <c r="G54" s="205" t="str">
        <f t="shared" si="3"/>
        <v>🔓 ABIERTO</v>
      </c>
      <c r="H54" s="233" t="str">
        <f t="shared" si="4"/>
        <v/>
      </c>
      <c r="I54" s="207"/>
    </row>
    <row r="55" ht="24.75" customHeight="1">
      <c r="A55" s="211">
        <f t="shared" si="5"/>
        <v>13</v>
      </c>
      <c r="B55" s="212">
        <v>46082.0</v>
      </c>
      <c r="C55" s="237" t="s">
        <v>671</v>
      </c>
      <c r="D55" s="238">
        <v>100.0</v>
      </c>
      <c r="E55" s="214">
        <f t="shared" si="1"/>
        <v>300</v>
      </c>
      <c r="F55" s="177">
        <f t="shared" si="6"/>
        <v>105</v>
      </c>
      <c r="G55" s="178" t="str">
        <f t="shared" si="3"/>
        <v>🔓 ABIERTO</v>
      </c>
      <c r="H55" s="175" t="str">
        <f t="shared" si="4"/>
        <v/>
      </c>
      <c r="I55" s="179"/>
    </row>
    <row r="56" ht="24.75" customHeight="1">
      <c r="A56" s="239">
        <f t="shared" si="5"/>
        <v>13</v>
      </c>
      <c r="B56" s="240">
        <v>46083.0</v>
      </c>
      <c r="C56" s="237" t="s">
        <v>671</v>
      </c>
      <c r="D56" s="241">
        <v>100.0</v>
      </c>
      <c r="E56" s="214">
        <f t="shared" si="1"/>
        <v>400</v>
      </c>
      <c r="F56" s="185">
        <f t="shared" si="6"/>
        <v>105</v>
      </c>
      <c r="G56" s="186" t="str">
        <f t="shared" si="3"/>
        <v>🔓 ABIERTO</v>
      </c>
      <c r="H56" s="183" t="str">
        <f t="shared" si="4"/>
        <v/>
      </c>
      <c r="I56" s="187"/>
    </row>
    <row r="57" ht="24.75" customHeight="1">
      <c r="A57" s="211">
        <f t="shared" si="5"/>
        <v>13</v>
      </c>
      <c r="B57" s="212">
        <v>46084.0</v>
      </c>
      <c r="C57" s="237" t="s">
        <v>4</v>
      </c>
      <c r="D57" s="242">
        <v>84.0</v>
      </c>
      <c r="E57" s="214">
        <f t="shared" si="1"/>
        <v>484</v>
      </c>
      <c r="F57" s="177">
        <f t="shared" si="6"/>
        <v>72</v>
      </c>
      <c r="G57" s="178" t="str">
        <f t="shared" si="3"/>
        <v>✅ CERRADO</v>
      </c>
      <c r="H57" s="175">
        <f t="shared" si="4"/>
        <v>84</v>
      </c>
      <c r="I57" s="179"/>
    </row>
    <row r="58" ht="24.75" customHeight="1">
      <c r="A58" s="239">
        <f t="shared" si="5"/>
        <v>14</v>
      </c>
      <c r="B58" s="240">
        <v>46085.0</v>
      </c>
      <c r="C58" s="243" t="s">
        <v>2</v>
      </c>
      <c r="D58" s="241">
        <v>200.0</v>
      </c>
      <c r="E58" s="214">
        <f t="shared" si="1"/>
        <v>200</v>
      </c>
      <c r="F58" s="185">
        <f t="shared" si="6"/>
        <v>105</v>
      </c>
      <c r="G58" s="186" t="str">
        <f t="shared" si="3"/>
        <v>🔓 ABIERTO</v>
      </c>
      <c r="H58" s="183" t="str">
        <f t="shared" si="4"/>
        <v/>
      </c>
      <c r="I58" s="187"/>
    </row>
    <row r="59" ht="24.75" customHeight="1">
      <c r="A59" s="211">
        <f t="shared" si="5"/>
        <v>14</v>
      </c>
      <c r="B59" s="212">
        <v>46086.0</v>
      </c>
      <c r="C59" s="237" t="s">
        <v>671</v>
      </c>
      <c r="D59" s="242">
        <v>100.0</v>
      </c>
      <c r="E59" s="214">
        <f t="shared" si="1"/>
        <v>300</v>
      </c>
      <c r="F59" s="177">
        <f t="shared" si="6"/>
        <v>105</v>
      </c>
      <c r="G59" s="178" t="str">
        <f t="shared" si="3"/>
        <v>🔓 ABIERTO</v>
      </c>
      <c r="H59" s="175" t="str">
        <f t="shared" si="4"/>
        <v/>
      </c>
      <c r="I59" s="179"/>
    </row>
    <row r="60" ht="24.75" customHeight="1">
      <c r="A60" s="239">
        <f t="shared" si="5"/>
        <v>14</v>
      </c>
      <c r="B60" s="240">
        <v>46087.0</v>
      </c>
      <c r="C60" s="243" t="s">
        <v>671</v>
      </c>
      <c r="D60" s="241">
        <v>80.0</v>
      </c>
      <c r="E60" s="214">
        <f t="shared" si="1"/>
        <v>380</v>
      </c>
      <c r="F60" s="185">
        <f t="shared" si="6"/>
        <v>105</v>
      </c>
      <c r="G60" s="186" t="str">
        <f t="shared" si="3"/>
        <v>🔓 ABIERTO</v>
      </c>
      <c r="H60" s="183" t="str">
        <f t="shared" si="4"/>
        <v/>
      </c>
      <c r="I60" s="187"/>
    </row>
    <row r="61" ht="24.75" customHeight="1">
      <c r="A61" s="211">
        <f t="shared" si="5"/>
        <v>14</v>
      </c>
      <c r="B61" s="212">
        <v>46087.0</v>
      </c>
      <c r="C61" s="237" t="s">
        <v>4</v>
      </c>
      <c r="D61" s="175">
        <f>59.45+16.41</f>
        <v>75.86</v>
      </c>
      <c r="E61" s="214">
        <f t="shared" si="1"/>
        <v>455.86</v>
      </c>
      <c r="F61" s="177">
        <f t="shared" si="6"/>
        <v>75</v>
      </c>
      <c r="G61" s="178" t="str">
        <f t="shared" si="3"/>
        <v>✅ CERRADO</v>
      </c>
      <c r="H61" s="175">
        <f t="shared" si="4"/>
        <v>75.86</v>
      </c>
      <c r="I61" s="179"/>
    </row>
    <row r="62" ht="24.75" customHeight="1">
      <c r="A62" s="239">
        <f t="shared" si="5"/>
        <v>15</v>
      </c>
      <c r="B62" s="240">
        <v>46090.0</v>
      </c>
      <c r="C62" s="243" t="s">
        <v>2</v>
      </c>
      <c r="D62" s="241">
        <v>80.0</v>
      </c>
      <c r="E62" s="214">
        <f t="shared" si="1"/>
        <v>80</v>
      </c>
      <c r="F62" s="185">
        <f t="shared" si="6"/>
        <v>105</v>
      </c>
      <c r="G62" s="186" t="str">
        <f t="shared" si="3"/>
        <v>🔓 ABIERTO</v>
      </c>
      <c r="H62" s="183" t="str">
        <f t="shared" si="4"/>
        <v/>
      </c>
      <c r="I62" s="187"/>
    </row>
    <row r="63" ht="24.75" customHeight="1">
      <c r="A63" s="211">
        <f t="shared" si="5"/>
        <v>15</v>
      </c>
      <c r="B63" s="212">
        <v>46091.0</v>
      </c>
      <c r="C63" s="237" t="s">
        <v>671</v>
      </c>
      <c r="D63" s="242">
        <v>160.0</v>
      </c>
      <c r="E63" s="214">
        <f t="shared" si="1"/>
        <v>240</v>
      </c>
      <c r="F63" s="177">
        <f t="shared" si="6"/>
        <v>105</v>
      </c>
      <c r="G63" s="178" t="str">
        <f t="shared" si="3"/>
        <v>🔓 ABIERTO</v>
      </c>
      <c r="H63" s="175" t="str">
        <f t="shared" si="4"/>
        <v/>
      </c>
      <c r="I63" s="179"/>
    </row>
    <row r="64" ht="24.75" customHeight="1">
      <c r="A64" s="239">
        <f t="shared" si="5"/>
        <v>15</v>
      </c>
      <c r="B64" s="240">
        <v>46092.0</v>
      </c>
      <c r="C64" s="243" t="s">
        <v>671</v>
      </c>
      <c r="D64" s="241">
        <v>80.0</v>
      </c>
      <c r="E64" s="214">
        <f t="shared" si="1"/>
        <v>320</v>
      </c>
      <c r="F64" s="185">
        <f t="shared" si="6"/>
        <v>105</v>
      </c>
      <c r="G64" s="186" t="str">
        <f t="shared" si="3"/>
        <v>🔓 ABIERTO</v>
      </c>
      <c r="H64" s="183" t="str">
        <f t="shared" si="4"/>
        <v/>
      </c>
      <c r="I64" s="187"/>
    </row>
    <row r="65" ht="24.75" customHeight="1">
      <c r="A65" s="211">
        <f t="shared" si="5"/>
        <v>15</v>
      </c>
      <c r="B65" s="212">
        <v>46092.0</v>
      </c>
      <c r="C65" s="237" t="s">
        <v>671</v>
      </c>
      <c r="D65" s="242">
        <v>80.0</v>
      </c>
      <c r="E65" s="214">
        <f t="shared" si="1"/>
        <v>400</v>
      </c>
      <c r="F65" s="177">
        <f t="shared" si="6"/>
        <v>105</v>
      </c>
      <c r="G65" s="178" t="str">
        <f t="shared" si="3"/>
        <v>🔓 ABIERTO</v>
      </c>
      <c r="H65" s="175" t="str">
        <f t="shared" si="4"/>
        <v/>
      </c>
      <c r="I65" s="179"/>
    </row>
    <row r="66" ht="24.75" customHeight="1">
      <c r="A66" s="239">
        <f t="shared" si="5"/>
        <v>15</v>
      </c>
      <c r="B66" s="240">
        <v>46093.0</v>
      </c>
      <c r="C66" s="243" t="s">
        <v>671</v>
      </c>
      <c r="D66" s="241">
        <v>240.0</v>
      </c>
      <c r="E66" s="214">
        <f t="shared" si="1"/>
        <v>640</v>
      </c>
      <c r="F66" s="185">
        <f t="shared" si="6"/>
        <v>105</v>
      </c>
      <c r="G66" s="186" t="str">
        <f t="shared" si="3"/>
        <v>🔓 ABIERTO</v>
      </c>
      <c r="H66" s="183" t="str">
        <f t="shared" si="4"/>
        <v/>
      </c>
      <c r="I66" s="187"/>
    </row>
    <row r="67" ht="24.75" customHeight="1">
      <c r="A67" s="211">
        <f t="shared" si="5"/>
        <v>15</v>
      </c>
      <c r="B67" s="212">
        <v>46103.0</v>
      </c>
      <c r="C67" s="237" t="s">
        <v>4</v>
      </c>
      <c r="D67" s="242">
        <v>153.0</v>
      </c>
      <c r="E67" s="214">
        <f t="shared" si="1"/>
        <v>793</v>
      </c>
      <c r="F67" s="177">
        <f t="shared" si="6"/>
        <v>91</v>
      </c>
      <c r="G67" s="178" t="str">
        <f t="shared" si="3"/>
        <v>✅ CERRADO</v>
      </c>
      <c r="H67" s="175">
        <f t="shared" si="4"/>
        <v>153</v>
      </c>
      <c r="I67" s="179"/>
    </row>
    <row r="68" ht="24.75" customHeight="1">
      <c r="A68" s="239">
        <f t="shared" si="5"/>
        <v>16</v>
      </c>
      <c r="B68" s="240">
        <v>46104.0</v>
      </c>
      <c r="C68" s="243" t="s">
        <v>2</v>
      </c>
      <c r="D68" s="241">
        <v>160.0</v>
      </c>
      <c r="E68" s="214">
        <f t="shared" si="1"/>
        <v>160</v>
      </c>
      <c r="F68" s="185">
        <f t="shared" si="6"/>
        <v>105</v>
      </c>
      <c r="G68" s="186" t="str">
        <f t="shared" si="3"/>
        <v>🔓 ABIERTO</v>
      </c>
      <c r="H68" s="183" t="str">
        <f t="shared" si="4"/>
        <v/>
      </c>
      <c r="I68" s="187"/>
    </row>
    <row r="69" ht="24.75" customHeight="1">
      <c r="A69" s="211">
        <f t="shared" si="5"/>
        <v>16</v>
      </c>
      <c r="B69" s="212">
        <v>46105.0</v>
      </c>
      <c r="C69" s="237" t="s">
        <v>671</v>
      </c>
      <c r="D69" s="242">
        <v>80.0</v>
      </c>
      <c r="E69" s="214">
        <f t="shared" si="1"/>
        <v>240</v>
      </c>
      <c r="F69" s="177">
        <f t="shared" si="6"/>
        <v>105</v>
      </c>
      <c r="G69" s="178" t="str">
        <f t="shared" si="3"/>
        <v>🔓 ABIERTO</v>
      </c>
      <c r="H69" s="175" t="str">
        <f t="shared" si="4"/>
        <v/>
      </c>
      <c r="I69" s="179"/>
    </row>
    <row r="70" ht="24.75" customHeight="1">
      <c r="A70" s="239">
        <f t="shared" si="5"/>
        <v>16</v>
      </c>
      <c r="B70" s="240">
        <v>46105.0</v>
      </c>
      <c r="C70" s="243" t="s">
        <v>671</v>
      </c>
      <c r="D70" s="241">
        <v>80.0</v>
      </c>
      <c r="E70" s="214">
        <f t="shared" si="1"/>
        <v>320</v>
      </c>
      <c r="F70" s="185">
        <f t="shared" si="6"/>
        <v>105</v>
      </c>
      <c r="G70" s="186" t="str">
        <f t="shared" si="3"/>
        <v>🔓 ABIERTO</v>
      </c>
      <c r="H70" s="183" t="str">
        <f t="shared" si="4"/>
        <v/>
      </c>
      <c r="I70" s="187"/>
    </row>
    <row r="71" ht="24.75" customHeight="1">
      <c r="A71" s="211">
        <f t="shared" si="5"/>
        <v>16</v>
      </c>
      <c r="B71" s="212">
        <v>46106.0</v>
      </c>
      <c r="C71" s="237" t="s">
        <v>671</v>
      </c>
      <c r="D71" s="242">
        <v>320.0</v>
      </c>
      <c r="E71" s="214">
        <f t="shared" si="1"/>
        <v>640</v>
      </c>
      <c r="F71" s="177">
        <f t="shared" si="6"/>
        <v>105</v>
      </c>
      <c r="G71" s="178" t="str">
        <f t="shared" si="3"/>
        <v>🔓 ABIERTO</v>
      </c>
      <c r="H71" s="175" t="str">
        <f t="shared" si="4"/>
        <v/>
      </c>
      <c r="I71" s="179"/>
    </row>
    <row r="72" ht="24.75" customHeight="1">
      <c r="A72" s="239">
        <f t="shared" si="5"/>
        <v>16</v>
      </c>
      <c r="B72" s="240">
        <v>46107.0</v>
      </c>
      <c r="C72" s="243" t="s">
        <v>4</v>
      </c>
      <c r="D72" s="241">
        <v>134.0</v>
      </c>
      <c r="E72" s="214">
        <f t="shared" si="1"/>
        <v>774</v>
      </c>
      <c r="F72" s="185">
        <f t="shared" si="6"/>
        <v>95</v>
      </c>
      <c r="G72" s="186" t="str">
        <f t="shared" si="3"/>
        <v>✅ CERRADO</v>
      </c>
      <c r="H72" s="183">
        <f t="shared" si="4"/>
        <v>134</v>
      </c>
      <c r="I72" s="187"/>
    </row>
    <row r="73" ht="24.75" customHeight="1">
      <c r="A73" s="211">
        <f t="shared" si="5"/>
        <v>17</v>
      </c>
      <c r="B73" s="212">
        <v>46109.0</v>
      </c>
      <c r="C73" s="243" t="s">
        <v>2</v>
      </c>
      <c r="D73" s="242">
        <v>160.0</v>
      </c>
      <c r="E73" s="214">
        <f t="shared" si="1"/>
        <v>160</v>
      </c>
      <c r="F73" s="177">
        <f t="shared" si="6"/>
        <v>105</v>
      </c>
      <c r="G73" s="178" t="str">
        <f t="shared" si="3"/>
        <v>🔓 ABIERTO</v>
      </c>
      <c r="H73" s="175" t="str">
        <f t="shared" si="4"/>
        <v/>
      </c>
      <c r="I73" s="179"/>
    </row>
    <row r="74" ht="24.75" customHeight="1">
      <c r="A74" s="239">
        <f t="shared" si="5"/>
        <v>17</v>
      </c>
      <c r="B74" s="240">
        <v>46110.0</v>
      </c>
      <c r="C74" s="243" t="s">
        <v>671</v>
      </c>
      <c r="D74" s="241">
        <v>80.0</v>
      </c>
      <c r="E74" s="214">
        <f t="shared" si="1"/>
        <v>240</v>
      </c>
      <c r="F74" s="185">
        <f t="shared" si="6"/>
        <v>105</v>
      </c>
      <c r="G74" s="186" t="str">
        <f t="shared" si="3"/>
        <v>🔓 ABIERTO</v>
      </c>
      <c r="H74" s="183" t="str">
        <f t="shared" si="4"/>
        <v/>
      </c>
      <c r="I74" s="187"/>
    </row>
    <row r="75" ht="24.75" customHeight="1">
      <c r="A75" s="211">
        <f t="shared" si="5"/>
        <v>17</v>
      </c>
      <c r="B75" s="212">
        <v>46111.0</v>
      </c>
      <c r="C75" s="237" t="s">
        <v>671</v>
      </c>
      <c r="D75" s="242">
        <v>80.0</v>
      </c>
      <c r="E75" s="214">
        <f t="shared" si="1"/>
        <v>320</v>
      </c>
      <c r="F75" s="177">
        <f t="shared" si="6"/>
        <v>105</v>
      </c>
      <c r="G75" s="178" t="str">
        <f t="shared" si="3"/>
        <v>🔓 ABIERTO</v>
      </c>
      <c r="H75" s="175" t="str">
        <f t="shared" si="4"/>
        <v/>
      </c>
      <c r="I75" s="179"/>
    </row>
    <row r="76" ht="24.75" customHeight="1">
      <c r="A76" s="239">
        <f t="shared" si="5"/>
        <v>17</v>
      </c>
      <c r="B76" s="240">
        <v>46112.0</v>
      </c>
      <c r="C76" s="243" t="s">
        <v>671</v>
      </c>
      <c r="D76" s="241">
        <v>80.0</v>
      </c>
      <c r="E76" s="214">
        <f t="shared" si="1"/>
        <v>400</v>
      </c>
      <c r="F76" s="185">
        <f t="shared" si="6"/>
        <v>105</v>
      </c>
      <c r="G76" s="186" t="str">
        <f t="shared" si="3"/>
        <v>🔓 ABIERTO</v>
      </c>
      <c r="H76" s="183" t="str">
        <f t="shared" si="4"/>
        <v/>
      </c>
      <c r="I76" s="187"/>
    </row>
    <row r="77" ht="24.75" customHeight="1">
      <c r="A77" s="211">
        <f t="shared" si="5"/>
        <v>17</v>
      </c>
      <c r="B77" s="212">
        <v>46112.0</v>
      </c>
      <c r="C77" s="237" t="s">
        <v>4</v>
      </c>
      <c r="D77" s="242">
        <v>80.0</v>
      </c>
      <c r="E77" s="214">
        <f t="shared" si="1"/>
        <v>480</v>
      </c>
      <c r="F77" s="177">
        <f t="shared" si="6"/>
        <v>100</v>
      </c>
      <c r="G77" s="178" t="str">
        <f t="shared" si="3"/>
        <v>✅ CERRADO</v>
      </c>
      <c r="H77" s="175">
        <f t="shared" si="4"/>
        <v>80</v>
      </c>
      <c r="I77" s="179"/>
    </row>
    <row r="78" ht="24.75" customHeight="1">
      <c r="A78" s="239">
        <f t="shared" si="5"/>
        <v>18</v>
      </c>
      <c r="B78" s="240">
        <v>46113.0</v>
      </c>
      <c r="C78" s="243" t="s">
        <v>2</v>
      </c>
      <c r="D78" s="241">
        <v>160.0</v>
      </c>
      <c r="E78" s="214">
        <f t="shared" si="1"/>
        <v>160</v>
      </c>
      <c r="F78" s="185">
        <f t="shared" si="6"/>
        <v>105</v>
      </c>
      <c r="G78" s="186" t="str">
        <f t="shared" si="3"/>
        <v>🔓 ABIERTO</v>
      </c>
      <c r="H78" s="183" t="str">
        <f t="shared" si="4"/>
        <v/>
      </c>
      <c r="I78" s="187"/>
    </row>
    <row r="79" ht="24.75" customHeight="1">
      <c r="A79" s="211">
        <f t="shared" si="5"/>
        <v>18</v>
      </c>
      <c r="B79" s="212">
        <v>46174.0</v>
      </c>
      <c r="C79" s="237" t="s">
        <v>4</v>
      </c>
      <c r="D79" s="242">
        <v>36.0</v>
      </c>
      <c r="E79" s="214">
        <f t="shared" si="1"/>
        <v>196</v>
      </c>
      <c r="F79" s="177">
        <f t="shared" si="6"/>
        <v>162</v>
      </c>
      <c r="G79" s="178" t="str">
        <f t="shared" si="3"/>
        <v>✅ CERRADO</v>
      </c>
      <c r="H79" s="175">
        <f t="shared" si="4"/>
        <v>36</v>
      </c>
      <c r="I79" s="179"/>
    </row>
    <row r="80" ht="24.75" customHeight="1">
      <c r="A80" s="239">
        <f t="shared" si="5"/>
        <v>19</v>
      </c>
      <c r="B80" s="240">
        <v>46115.0</v>
      </c>
      <c r="C80" s="243" t="s">
        <v>2</v>
      </c>
      <c r="D80" s="241">
        <v>160.0</v>
      </c>
      <c r="E80" s="214">
        <f t="shared" si="1"/>
        <v>160</v>
      </c>
      <c r="F80" s="185">
        <f t="shared" si="6"/>
        <v>105</v>
      </c>
      <c r="G80" s="186" t="str">
        <f t="shared" si="3"/>
        <v>🔓 ABIERTO</v>
      </c>
      <c r="H80" s="183" t="str">
        <f t="shared" si="4"/>
        <v/>
      </c>
      <c r="I80" s="187"/>
    </row>
    <row r="81" ht="24.75" customHeight="1">
      <c r="A81" s="211">
        <f t="shared" si="5"/>
        <v>19</v>
      </c>
      <c r="B81" s="212">
        <v>46116.0</v>
      </c>
      <c r="C81" s="237" t="s">
        <v>671</v>
      </c>
      <c r="D81" s="242">
        <v>80.0</v>
      </c>
      <c r="E81" s="214">
        <f t="shared" si="1"/>
        <v>240</v>
      </c>
      <c r="F81" s="177">
        <f t="shared" si="6"/>
        <v>105</v>
      </c>
      <c r="G81" s="178" t="str">
        <f t="shared" si="3"/>
        <v>🔓 ABIERTO</v>
      </c>
      <c r="H81" s="175" t="str">
        <f t="shared" si="4"/>
        <v/>
      </c>
      <c r="I81" s="179"/>
    </row>
    <row r="82" ht="24.75" customHeight="1">
      <c r="A82" s="239">
        <f t="shared" si="5"/>
        <v>19</v>
      </c>
      <c r="B82" s="243" t="s">
        <v>673</v>
      </c>
      <c r="C82" s="243" t="s">
        <v>671</v>
      </c>
      <c r="D82" s="241">
        <v>80.0</v>
      </c>
      <c r="E82" s="214">
        <f t="shared" si="1"/>
        <v>320</v>
      </c>
      <c r="F82" s="185">
        <f t="shared" si="6"/>
        <v>105</v>
      </c>
      <c r="G82" s="186" t="str">
        <f t="shared" si="3"/>
        <v>🔓 ABIERTO</v>
      </c>
      <c r="H82" s="183" t="str">
        <f t="shared" si="4"/>
        <v/>
      </c>
      <c r="I82" s="187"/>
    </row>
    <row r="83" ht="24.75" customHeight="1">
      <c r="A83" s="211">
        <f t="shared" si="5"/>
        <v>19</v>
      </c>
      <c r="B83" s="173"/>
      <c r="C83" s="174"/>
      <c r="D83" s="175"/>
      <c r="E83" s="214" t="str">
        <f t="shared" si="1"/>
        <v/>
      </c>
      <c r="F83" s="177" t="str">
        <f t="shared" si="6"/>
        <v/>
      </c>
      <c r="G83" s="178" t="str">
        <f t="shared" si="3"/>
        <v/>
      </c>
      <c r="H83" s="175" t="str">
        <f t="shared" si="4"/>
        <v/>
      </c>
      <c r="I83" s="179"/>
    </row>
    <row r="84" ht="24.75" customHeight="1">
      <c r="A84" s="239">
        <f t="shared" si="5"/>
        <v>19</v>
      </c>
      <c r="B84" s="181"/>
      <c r="C84" s="182"/>
      <c r="D84" s="183"/>
      <c r="E84" s="214" t="str">
        <f t="shared" si="1"/>
        <v/>
      </c>
      <c r="F84" s="185" t="str">
        <f t="shared" si="6"/>
        <v/>
      </c>
      <c r="G84" s="186" t="str">
        <f t="shared" si="3"/>
        <v/>
      </c>
      <c r="H84" s="183" t="str">
        <f t="shared" si="4"/>
        <v/>
      </c>
      <c r="I84" s="187"/>
    </row>
    <row r="85" ht="24.75" customHeight="1">
      <c r="A85" s="211">
        <f t="shared" si="5"/>
        <v>19</v>
      </c>
      <c r="B85" s="173"/>
      <c r="C85" s="174"/>
      <c r="D85" s="175"/>
      <c r="E85" s="214" t="str">
        <f t="shared" si="1"/>
        <v/>
      </c>
      <c r="F85" s="177" t="str">
        <f t="shared" si="6"/>
        <v/>
      </c>
      <c r="G85" s="178" t="str">
        <f t="shared" si="3"/>
        <v/>
      </c>
      <c r="H85" s="175" t="str">
        <f t="shared" si="4"/>
        <v/>
      </c>
      <c r="I85" s="179"/>
    </row>
    <row r="86" ht="24.75" customHeight="1">
      <c r="A86" s="239">
        <f t="shared" si="5"/>
        <v>19</v>
      </c>
      <c r="B86" s="181"/>
      <c r="C86" s="182"/>
      <c r="D86" s="183"/>
      <c r="E86" s="214" t="str">
        <f t="shared" si="1"/>
        <v/>
      </c>
      <c r="F86" s="185" t="str">
        <f t="shared" si="6"/>
        <v/>
      </c>
      <c r="G86" s="186" t="str">
        <f t="shared" si="3"/>
        <v/>
      </c>
      <c r="H86" s="183" t="str">
        <f t="shared" si="4"/>
        <v/>
      </c>
      <c r="I86" s="187"/>
    </row>
    <row r="87" ht="24.75" customHeight="1">
      <c r="A87" s="211">
        <f t="shared" si="5"/>
        <v>19</v>
      </c>
      <c r="B87" s="173"/>
      <c r="C87" s="174"/>
      <c r="D87" s="175"/>
      <c r="E87" s="214" t="str">
        <f t="shared" si="1"/>
        <v/>
      </c>
      <c r="F87" s="177" t="str">
        <f t="shared" si="6"/>
        <v/>
      </c>
      <c r="G87" s="178" t="str">
        <f t="shared" si="3"/>
        <v/>
      </c>
      <c r="H87" s="175" t="str">
        <f t="shared" si="4"/>
        <v/>
      </c>
      <c r="I87" s="179"/>
    </row>
    <row r="88" ht="24.75" customHeight="1">
      <c r="A88" s="239">
        <f t="shared" si="5"/>
        <v>19</v>
      </c>
      <c r="B88" s="181"/>
      <c r="C88" s="182"/>
      <c r="D88" s="183"/>
      <c r="E88" s="214" t="str">
        <f t="shared" si="1"/>
        <v/>
      </c>
      <c r="F88" s="185" t="str">
        <f t="shared" si="6"/>
        <v/>
      </c>
      <c r="G88" s="186" t="str">
        <f t="shared" si="3"/>
        <v/>
      </c>
      <c r="H88" s="183" t="str">
        <f t="shared" si="4"/>
        <v/>
      </c>
      <c r="I88" s="187"/>
    </row>
    <row r="89" ht="24.75" customHeight="1">
      <c r="A89" s="211">
        <f t="shared" si="5"/>
        <v>19</v>
      </c>
      <c r="B89" s="173"/>
      <c r="C89" s="174"/>
      <c r="D89" s="175"/>
      <c r="E89" s="214" t="str">
        <f t="shared" si="1"/>
        <v/>
      </c>
      <c r="F89" s="177" t="str">
        <f t="shared" si="6"/>
        <v/>
      </c>
      <c r="G89" s="178" t="str">
        <f t="shared" si="3"/>
        <v/>
      </c>
      <c r="H89" s="175" t="str">
        <f t="shared" si="4"/>
        <v/>
      </c>
      <c r="I89" s="179"/>
    </row>
    <row r="90" ht="24.75" customHeight="1">
      <c r="A90" s="239">
        <f t="shared" si="5"/>
        <v>19</v>
      </c>
      <c r="B90" s="181"/>
      <c r="C90" s="182"/>
      <c r="D90" s="183"/>
      <c r="E90" s="214" t="str">
        <f t="shared" si="1"/>
        <v/>
      </c>
      <c r="F90" s="185" t="str">
        <f t="shared" si="6"/>
        <v/>
      </c>
      <c r="G90" s="186" t="str">
        <f t="shared" si="3"/>
        <v/>
      </c>
      <c r="H90" s="183" t="str">
        <f t="shared" si="4"/>
        <v/>
      </c>
      <c r="I90" s="187"/>
    </row>
    <row r="91" ht="24.75" customHeight="1">
      <c r="A91" s="211">
        <f t="shared" si="5"/>
        <v>19</v>
      </c>
      <c r="B91" s="173"/>
      <c r="C91" s="174"/>
      <c r="D91" s="175"/>
      <c r="E91" s="214" t="str">
        <f t="shared" si="1"/>
        <v/>
      </c>
      <c r="F91" s="177" t="str">
        <f t="shared" si="6"/>
        <v/>
      </c>
      <c r="G91" s="178" t="str">
        <f t="shared" si="3"/>
        <v/>
      </c>
      <c r="H91" s="175" t="str">
        <f t="shared" si="4"/>
        <v/>
      </c>
      <c r="I91" s="179"/>
    </row>
    <row r="92" ht="24.75" customHeight="1">
      <c r="A92" s="239">
        <f t="shared" si="5"/>
        <v>19</v>
      </c>
      <c r="B92" s="181"/>
      <c r="C92" s="182"/>
      <c r="D92" s="183"/>
      <c r="E92" s="214" t="str">
        <f t="shared" si="1"/>
        <v/>
      </c>
      <c r="F92" s="185" t="str">
        <f t="shared" si="6"/>
        <v/>
      </c>
      <c r="G92" s="186" t="str">
        <f t="shared" si="3"/>
        <v/>
      </c>
      <c r="H92" s="183" t="str">
        <f t="shared" si="4"/>
        <v/>
      </c>
      <c r="I92" s="187"/>
    </row>
    <row r="93" ht="24.75" customHeight="1">
      <c r="A93" s="211">
        <f t="shared" si="5"/>
        <v>19</v>
      </c>
      <c r="B93" s="173"/>
      <c r="C93" s="174"/>
      <c r="D93" s="175"/>
      <c r="E93" s="214" t="str">
        <f t="shared" si="1"/>
        <v/>
      </c>
      <c r="F93" s="177" t="str">
        <f t="shared" si="6"/>
        <v/>
      </c>
      <c r="G93" s="178" t="str">
        <f t="shared" si="3"/>
        <v/>
      </c>
      <c r="H93" s="175" t="str">
        <f t="shared" si="4"/>
        <v/>
      </c>
      <c r="I93" s="179"/>
    </row>
    <row r="94" ht="24.75" customHeight="1">
      <c r="A94" s="239">
        <f t="shared" si="5"/>
        <v>19</v>
      </c>
      <c r="B94" s="181"/>
      <c r="C94" s="182"/>
      <c r="D94" s="183"/>
      <c r="E94" s="214" t="str">
        <f t="shared" si="1"/>
        <v/>
      </c>
      <c r="F94" s="185" t="str">
        <f t="shared" si="6"/>
        <v/>
      </c>
      <c r="G94" s="186" t="str">
        <f t="shared" si="3"/>
        <v/>
      </c>
      <c r="H94" s="183" t="str">
        <f t="shared" si="4"/>
        <v/>
      </c>
      <c r="I94" s="187"/>
    </row>
    <row r="95" ht="24.75" customHeight="1">
      <c r="A95" s="211">
        <f t="shared" si="5"/>
        <v>19</v>
      </c>
      <c r="B95" s="173"/>
      <c r="C95" s="174"/>
      <c r="D95" s="175"/>
      <c r="E95" s="214" t="str">
        <f t="shared" si="1"/>
        <v/>
      </c>
      <c r="F95" s="177" t="str">
        <f t="shared" si="6"/>
        <v/>
      </c>
      <c r="G95" s="178" t="str">
        <f t="shared" si="3"/>
        <v/>
      </c>
      <c r="H95" s="175" t="str">
        <f t="shared" si="4"/>
        <v/>
      </c>
      <c r="I95" s="179"/>
    </row>
    <row r="96" ht="24.75" customHeight="1">
      <c r="A96" s="239">
        <f t="shared" si="5"/>
        <v>19</v>
      </c>
      <c r="B96" s="181"/>
      <c r="C96" s="182"/>
      <c r="D96" s="183"/>
      <c r="E96" s="214" t="str">
        <f t="shared" si="1"/>
        <v/>
      </c>
      <c r="F96" s="185" t="str">
        <f t="shared" si="6"/>
        <v/>
      </c>
      <c r="G96" s="186" t="str">
        <f t="shared" si="3"/>
        <v/>
      </c>
      <c r="H96" s="183" t="str">
        <f t="shared" si="4"/>
        <v/>
      </c>
      <c r="I96" s="187"/>
    </row>
    <row r="97" ht="24.75" customHeight="1">
      <c r="A97" s="211">
        <f t="shared" si="5"/>
        <v>19</v>
      </c>
      <c r="B97" s="173"/>
      <c r="C97" s="174"/>
      <c r="D97" s="175"/>
      <c r="E97" s="214" t="str">
        <f t="shared" si="1"/>
        <v/>
      </c>
      <c r="F97" s="177" t="str">
        <f t="shared" si="6"/>
        <v/>
      </c>
      <c r="G97" s="178" t="str">
        <f t="shared" si="3"/>
        <v/>
      </c>
      <c r="H97" s="175" t="str">
        <f t="shared" si="4"/>
        <v/>
      </c>
      <c r="I97" s="179"/>
    </row>
    <row r="98" ht="24.75" customHeight="1">
      <c r="A98" s="239">
        <f t="shared" si="5"/>
        <v>19</v>
      </c>
      <c r="B98" s="181"/>
      <c r="C98" s="182"/>
      <c r="D98" s="183"/>
      <c r="E98" s="214" t="str">
        <f t="shared" si="1"/>
        <v/>
      </c>
      <c r="F98" s="185" t="str">
        <f t="shared" si="6"/>
        <v/>
      </c>
      <c r="G98" s="186" t="str">
        <f t="shared" si="3"/>
        <v/>
      </c>
      <c r="H98" s="183" t="str">
        <f t="shared" si="4"/>
        <v/>
      </c>
      <c r="I98" s="187"/>
    </row>
    <row r="99" ht="24.75" customHeight="1">
      <c r="A99" s="211">
        <f t="shared" si="5"/>
        <v>19</v>
      </c>
      <c r="B99" s="173"/>
      <c r="C99" s="174"/>
      <c r="D99" s="175"/>
      <c r="E99" s="214" t="str">
        <f t="shared" si="1"/>
        <v/>
      </c>
      <c r="F99" s="177" t="str">
        <f t="shared" si="6"/>
        <v/>
      </c>
      <c r="G99" s="178" t="str">
        <f t="shared" si="3"/>
        <v/>
      </c>
      <c r="H99" s="175" t="str">
        <f t="shared" si="4"/>
        <v/>
      </c>
      <c r="I99" s="179"/>
    </row>
    <row r="100" ht="24.75" customHeight="1">
      <c r="A100" s="239">
        <f t="shared" si="5"/>
        <v>19</v>
      </c>
      <c r="B100" s="181"/>
      <c r="C100" s="182"/>
      <c r="D100" s="183"/>
      <c r="E100" s="214" t="str">
        <f t="shared" si="1"/>
        <v/>
      </c>
      <c r="F100" s="185" t="str">
        <f t="shared" si="6"/>
        <v/>
      </c>
      <c r="G100" s="186" t="str">
        <f t="shared" si="3"/>
        <v/>
      </c>
      <c r="H100" s="183" t="str">
        <f t="shared" si="4"/>
        <v/>
      </c>
      <c r="I100" s="187"/>
    </row>
    <row r="101" ht="24.75" customHeight="1">
      <c r="A101" s="211">
        <f t="shared" si="5"/>
        <v>19</v>
      </c>
      <c r="B101" s="173"/>
      <c r="C101" s="174"/>
      <c r="D101" s="175"/>
      <c r="E101" s="214" t="str">
        <f t="shared" si="1"/>
        <v/>
      </c>
      <c r="F101" s="177" t="str">
        <f t="shared" si="6"/>
        <v/>
      </c>
      <c r="G101" s="178" t="str">
        <f t="shared" si="3"/>
        <v/>
      </c>
      <c r="H101" s="175" t="str">
        <f t="shared" si="4"/>
        <v/>
      </c>
      <c r="I101" s="179"/>
    </row>
    <row r="102" ht="24.75" customHeight="1">
      <c r="A102" s="239">
        <f t="shared" si="5"/>
        <v>19</v>
      </c>
      <c r="B102" s="181"/>
      <c r="C102" s="182"/>
      <c r="D102" s="183"/>
      <c r="E102" s="214" t="str">
        <f t="shared" si="1"/>
        <v/>
      </c>
      <c r="F102" s="185" t="str">
        <f t="shared" si="6"/>
        <v/>
      </c>
      <c r="G102" s="186" t="str">
        <f t="shared" si="3"/>
        <v/>
      </c>
      <c r="H102" s="183" t="str">
        <f t="shared" si="4"/>
        <v/>
      </c>
      <c r="I102" s="187"/>
    </row>
    <row r="103" ht="24.75" customHeight="1">
      <c r="A103" s="211">
        <f t="shared" si="5"/>
        <v>19</v>
      </c>
      <c r="B103" s="173"/>
      <c r="C103" s="174"/>
      <c r="D103" s="175"/>
      <c r="E103" s="214" t="str">
        <f t="shared" si="1"/>
        <v/>
      </c>
      <c r="F103" s="177" t="str">
        <f t="shared" si="6"/>
        <v/>
      </c>
      <c r="G103" s="178" t="str">
        <f t="shared" si="3"/>
        <v/>
      </c>
      <c r="H103" s="175" t="str">
        <f t="shared" si="4"/>
        <v/>
      </c>
      <c r="I103" s="179"/>
    </row>
    <row r="104" ht="24.75" customHeight="1">
      <c r="A104" s="239">
        <f t="shared" si="5"/>
        <v>19</v>
      </c>
      <c r="B104" s="181"/>
      <c r="C104" s="182"/>
      <c r="D104" s="183"/>
      <c r="E104" s="214" t="str">
        <f t="shared" si="1"/>
        <v/>
      </c>
      <c r="F104" s="185" t="str">
        <f t="shared" si="6"/>
        <v/>
      </c>
      <c r="G104" s="186" t="str">
        <f t="shared" si="3"/>
        <v/>
      </c>
      <c r="H104" s="183" t="str">
        <f t="shared" si="4"/>
        <v/>
      </c>
      <c r="I104" s="187"/>
    </row>
    <row r="105" ht="24.75" customHeight="1">
      <c r="A105" s="211">
        <f t="shared" si="5"/>
        <v>19</v>
      </c>
      <c r="B105" s="173"/>
      <c r="C105" s="174"/>
      <c r="D105" s="175"/>
      <c r="E105" s="214" t="str">
        <f t="shared" si="1"/>
        <v/>
      </c>
      <c r="F105" s="177" t="str">
        <f t="shared" si="6"/>
        <v/>
      </c>
      <c r="G105" s="178" t="str">
        <f t="shared" si="3"/>
        <v/>
      </c>
      <c r="H105" s="175" t="str">
        <f t="shared" si="4"/>
        <v/>
      </c>
      <c r="I105" s="179"/>
    </row>
    <row r="106" ht="24.75" customHeight="1">
      <c r="A106" s="239">
        <f t="shared" si="5"/>
        <v>19</v>
      </c>
      <c r="B106" s="181"/>
      <c r="C106" s="182"/>
      <c r="D106" s="183"/>
      <c r="E106" s="214" t="str">
        <f t="shared" si="1"/>
        <v/>
      </c>
      <c r="F106" s="185" t="str">
        <f t="shared" si="6"/>
        <v/>
      </c>
      <c r="G106" s="186" t="str">
        <f t="shared" si="3"/>
        <v/>
      </c>
      <c r="H106" s="183" t="str">
        <f t="shared" si="4"/>
        <v/>
      </c>
      <c r="I106" s="187"/>
    </row>
    <row r="107" ht="24.75" customHeight="1">
      <c r="A107" s="211">
        <f t="shared" si="5"/>
        <v>19</v>
      </c>
      <c r="B107" s="173"/>
      <c r="C107" s="174"/>
      <c r="D107" s="175"/>
      <c r="E107" s="214" t="str">
        <f t="shared" si="1"/>
        <v/>
      </c>
      <c r="F107" s="177" t="str">
        <f t="shared" si="6"/>
        <v/>
      </c>
      <c r="G107" s="178" t="str">
        <f t="shared" si="3"/>
        <v/>
      </c>
      <c r="H107" s="175" t="str">
        <f t="shared" si="4"/>
        <v/>
      </c>
      <c r="I107" s="179"/>
    </row>
    <row r="108" ht="24.75" customHeight="1">
      <c r="A108" s="239">
        <f t="shared" si="5"/>
        <v>19</v>
      </c>
      <c r="B108" s="181"/>
      <c r="C108" s="182"/>
      <c r="D108" s="183"/>
      <c r="E108" s="214" t="str">
        <f t="shared" si="1"/>
        <v/>
      </c>
      <c r="F108" s="185" t="str">
        <f t="shared" si="6"/>
        <v/>
      </c>
      <c r="G108" s="186" t="str">
        <f t="shared" si="3"/>
        <v/>
      </c>
      <c r="H108" s="183" t="str">
        <f t="shared" si="4"/>
        <v/>
      </c>
      <c r="I108" s="187"/>
    </row>
    <row r="109" ht="24.75" customHeight="1">
      <c r="A109" s="211">
        <f t="shared" si="5"/>
        <v>19</v>
      </c>
      <c r="B109" s="173"/>
      <c r="C109" s="174"/>
      <c r="D109" s="175"/>
      <c r="E109" s="214" t="str">
        <f t="shared" si="1"/>
        <v/>
      </c>
      <c r="F109" s="177" t="str">
        <f t="shared" si="6"/>
        <v/>
      </c>
      <c r="G109" s="178" t="str">
        <f t="shared" si="3"/>
        <v/>
      </c>
      <c r="H109" s="175" t="str">
        <f t="shared" si="4"/>
        <v/>
      </c>
      <c r="I109" s="179"/>
    </row>
    <row r="110" ht="24.75" customHeight="1">
      <c r="A110" s="239">
        <f t="shared" si="5"/>
        <v>19</v>
      </c>
      <c r="B110" s="181"/>
      <c r="C110" s="182"/>
      <c r="D110" s="183"/>
      <c r="E110" s="214" t="str">
        <f t="shared" si="1"/>
        <v/>
      </c>
      <c r="F110" s="185" t="str">
        <f t="shared" si="6"/>
        <v/>
      </c>
      <c r="G110" s="186" t="str">
        <f t="shared" si="3"/>
        <v/>
      </c>
      <c r="H110" s="183" t="str">
        <f t="shared" si="4"/>
        <v/>
      </c>
      <c r="I110" s="187"/>
    </row>
    <row r="111" ht="24.75" customHeight="1">
      <c r="A111" s="211">
        <f t="shared" si="5"/>
        <v>19</v>
      </c>
      <c r="B111" s="173"/>
      <c r="C111" s="174"/>
      <c r="D111" s="175"/>
      <c r="E111" s="214" t="str">
        <f t="shared" si="1"/>
        <v/>
      </c>
      <c r="F111" s="177" t="str">
        <f t="shared" si="6"/>
        <v/>
      </c>
      <c r="G111" s="178" t="str">
        <f t="shared" si="3"/>
        <v/>
      </c>
      <c r="H111" s="175" t="str">
        <f t="shared" si="4"/>
        <v/>
      </c>
      <c r="I111" s="179"/>
    </row>
    <row r="112" ht="24.75" customHeight="1">
      <c r="A112" s="239">
        <f t="shared" si="5"/>
        <v>19</v>
      </c>
      <c r="B112" s="181"/>
      <c r="C112" s="182"/>
      <c r="D112" s="183"/>
      <c r="E112" s="214" t="str">
        <f t="shared" si="1"/>
        <v/>
      </c>
      <c r="F112" s="185" t="str">
        <f t="shared" si="6"/>
        <v/>
      </c>
      <c r="G112" s="186" t="str">
        <f t="shared" si="3"/>
        <v/>
      </c>
      <c r="H112" s="183" t="str">
        <f t="shared" si="4"/>
        <v/>
      </c>
      <c r="I112" s="187"/>
    </row>
    <row r="113" ht="24.75" customHeight="1">
      <c r="A113" s="211">
        <f t="shared" si="5"/>
        <v>19</v>
      </c>
      <c r="B113" s="173"/>
      <c r="C113" s="174"/>
      <c r="D113" s="175"/>
      <c r="E113" s="214" t="str">
        <f t="shared" si="1"/>
        <v/>
      </c>
      <c r="F113" s="177" t="str">
        <f t="shared" si="6"/>
        <v/>
      </c>
      <c r="G113" s="178" t="str">
        <f t="shared" si="3"/>
        <v/>
      </c>
      <c r="H113" s="175" t="str">
        <f t="shared" si="4"/>
        <v/>
      </c>
      <c r="I113" s="179"/>
    </row>
    <row r="114" ht="24.75" customHeight="1">
      <c r="A114" s="239">
        <f t="shared" si="5"/>
        <v>19</v>
      </c>
      <c r="B114" s="181"/>
      <c r="C114" s="182"/>
      <c r="D114" s="183"/>
      <c r="E114" s="214" t="str">
        <f t="shared" si="1"/>
        <v/>
      </c>
      <c r="F114" s="185" t="str">
        <f t="shared" si="6"/>
        <v/>
      </c>
      <c r="G114" s="186" t="str">
        <f t="shared" si="3"/>
        <v/>
      </c>
      <c r="H114" s="183" t="str">
        <f t="shared" si="4"/>
        <v/>
      </c>
      <c r="I114" s="187"/>
    </row>
    <row r="115" ht="24.75" customHeight="1">
      <c r="A115" s="211">
        <f t="shared" si="5"/>
        <v>19</v>
      </c>
      <c r="B115" s="173"/>
      <c r="C115" s="174"/>
      <c r="D115" s="175"/>
      <c r="E115" s="214" t="str">
        <f t="shared" si="1"/>
        <v/>
      </c>
      <c r="F115" s="177" t="str">
        <f t="shared" si="6"/>
        <v/>
      </c>
      <c r="G115" s="178" t="str">
        <f t="shared" si="3"/>
        <v/>
      </c>
      <c r="H115" s="175" t="str">
        <f t="shared" si="4"/>
        <v/>
      </c>
      <c r="I115" s="179"/>
    </row>
    <row r="116" ht="24.75" customHeight="1">
      <c r="A116" s="239">
        <f t="shared" si="5"/>
        <v>19</v>
      </c>
      <c r="B116" s="181"/>
      <c r="C116" s="182"/>
      <c r="D116" s="183"/>
      <c r="E116" s="214" t="str">
        <f t="shared" si="1"/>
        <v/>
      </c>
      <c r="F116" s="185" t="str">
        <f t="shared" si="6"/>
        <v/>
      </c>
      <c r="G116" s="186" t="str">
        <f t="shared" si="3"/>
        <v/>
      </c>
      <c r="H116" s="183" t="str">
        <f t="shared" si="4"/>
        <v/>
      </c>
      <c r="I116" s="187"/>
    </row>
    <row r="117"/>
    <row r="118"/>
    <row r="119">
      <c r="A119" s="162" t="s">
        <v>669</v>
      </c>
    </row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</sheetData>
  <mergeCells count="2">
    <mergeCell ref="A1:I1"/>
    <mergeCell ref="A119:I119"/>
  </mergeCells>
  <conditionalFormatting sqref="A5:I116">
    <cfRule type="expression" dxfId="16" priority="1">
      <formula>$C5="Cierre"</formula>
    </cfRule>
  </conditionalFormatting>
  <conditionalFormatting sqref="A5:I116">
    <cfRule type="expression" dxfId="17" priority="2">
      <formula>AND($H5&lt;"",$H5&lt;0)</formula>
    </cfRule>
  </conditionalFormatting>
  <dataValidations>
    <dataValidation type="list" allowBlank="1" sqref="C5:C7 C9:C12 C14:C16 C18:C21 C23:C24 C26:C36 C38:C43 C45:C46 C48:C116">
      <formula1>"Apertura,Incremento,Cierre"</formula1>
    </dataValidation>
    <dataValidation type="custom" allowBlank="1" showDropDown="1" sqref="A5:A54">
      <formula1>AND(ISNUMBER(A5),(NOT(OR(NOT(ISERROR(DATEVALUE(A5))), AND(ISNUMBER(A5), LEFT(CELL("format", A5))="D")))))</formula1>
    </dataValidation>
  </dataValidations>
  <printOptions/>
  <pageMargins bottom="1.0" footer="0.0" header="0.0" left="0.75" right="0.75" top="1.0"/>
  <pageSetup paperSize="9" orientation="portrait"/>
  <drawing r:id="rId1"/>
  <tableParts count="2">
    <tablePart r:id="rId4"/>
    <tablePart r:id="rId5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700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4.38"/>
    <col customWidth="1" min="2" max="2" width="11.38"/>
    <col customWidth="1" min="3" max="3" width="16.88"/>
    <col customWidth="1" min="4" max="4" width="17.5"/>
    <col customWidth="1" min="5" max="5" width="19.25"/>
    <col customWidth="1" min="6" max="6" width="11.38"/>
    <col customWidth="1" min="7" max="7" width="14.5"/>
    <col customWidth="1" min="8" max="8" width="22.75"/>
    <col customWidth="1" min="9" max="9" width="26.25"/>
    <col customWidth="1" min="10" max="26" width="7.63"/>
  </cols>
  <sheetData>
    <row r="1" ht="31.5" customHeight="1">
      <c r="A1" s="163" t="s">
        <v>674</v>
      </c>
      <c r="B1" s="133"/>
      <c r="C1" s="133"/>
      <c r="D1" s="133"/>
      <c r="E1" s="133"/>
      <c r="F1" s="133"/>
      <c r="G1" s="133"/>
      <c r="H1" s="133"/>
      <c r="I1" s="134"/>
    </row>
    <row r="2" ht="21.75" customHeight="1">
      <c r="B2" s="168" t="s">
        <v>660</v>
      </c>
      <c r="C2" s="169" t="str">
        <f>IFERROR(IF(COUNTIF(C5:C501,"Apertura")&gt;0,IF(COUNTIF(C5:C501,"Cierre")&gt;=COUNTIF(C5:C501,"Apertura"),"Sin posición abierta","✅ Sí, posición activa"),"Sin datos"),"")</f>
        <v>Sin posición abierta</v>
      </c>
      <c r="D2" s="168" t="s">
        <v>661</v>
      </c>
      <c r="E2" s="170">
        <f>IFERROR(IF(COUNTIF(C5:C54,"Apertura")&gt;COUNTIF(C5:C54,"Cierre"),LOOKUP(2,1/(E5:E54&lt;&gt;""),E5:E54),0),0)</f>
        <v>0</v>
      </c>
      <c r="F2" s="168" t="s">
        <v>662</v>
      </c>
      <c r="G2" s="171" t="str">
        <f>IFERROR(IF(COUNTIF(C5:C54,"Apertura")&gt;COUNTIF(C5:C54,"Cierre"),LOOKUP(2,1/(F5:F54&lt;&gt;""),F5:F54),"-"),"-")</f>
        <v>-</v>
      </c>
      <c r="H2" s="168" t="s">
        <v>663</v>
      </c>
      <c r="I2" s="170">
        <f>IFERROR(SUMIF(C5:C54,"Cierre",H5:H54),0)</f>
        <v>-1531</v>
      </c>
    </row>
    <row r="3" ht="7.5" customHeight="1"/>
    <row r="4" ht="27.75" customHeight="1">
      <c r="A4" s="190" t="s">
        <v>664</v>
      </c>
      <c r="B4" s="190" t="s">
        <v>67</v>
      </c>
      <c r="C4" s="190" t="s">
        <v>57</v>
      </c>
      <c r="D4" s="190" t="s">
        <v>665</v>
      </c>
      <c r="E4" s="190" t="s">
        <v>666</v>
      </c>
      <c r="F4" s="190" t="s">
        <v>603</v>
      </c>
      <c r="G4" s="190" t="s">
        <v>3</v>
      </c>
      <c r="H4" s="190" t="s">
        <v>667</v>
      </c>
      <c r="I4" s="190" t="s">
        <v>668</v>
      </c>
    </row>
    <row r="5" ht="22.5" customHeight="1">
      <c r="A5" s="192">
        <f t="shared" ref="A5:A54" si="1">IFERROR(ROW()-4,"")</f>
        <v>1</v>
      </c>
      <c r="B5" s="208">
        <v>46051.0</v>
      </c>
      <c r="C5" s="226" t="s">
        <v>2</v>
      </c>
      <c r="D5" s="244">
        <v>90.0</v>
      </c>
      <c r="E5" s="245">
        <f t="shared" ref="E5:E36" si="2">IFERROR(IF(D5&lt;&gt;"", IF(C5="Apertura", D5, E4+D5), ""), "")</f>
        <v>90</v>
      </c>
      <c r="F5" s="228">
        <f t="shared" ref="F5:F54" si="3">IFERROR(IF(B5&lt;&gt;"", IF(C5="Cierre", B5-IFERROR(INDEX(B4:B$5,MATCH("Apertura",C4:C$5,0)),B5), TODAY()-IFERROR(INDEX(B$5:B5,MATCH("Apertura",C$5:C5,0)),B5)), ""), "")</f>
        <v>66</v>
      </c>
      <c r="G5" s="198" t="str">
        <f t="shared" ref="G5:G54" si="4">IFERROR(IF(C5="Cierre","✅ CERRADO",IF(C5&lt;&gt;"","🔓 ABIERTO","")),"")</f>
        <v>🔓 ABIERTO</v>
      </c>
      <c r="H5" s="229" t="str">
        <f t="shared" ref="H5:H54" si="5">IFERROR(IF(C5="Cierre",D5,""),"")</f>
        <v/>
      </c>
      <c r="I5" s="200"/>
    </row>
    <row r="6" ht="22.5" customHeight="1">
      <c r="A6" s="234">
        <f t="shared" si="1"/>
        <v>2</v>
      </c>
      <c r="B6" s="209">
        <v>46052.0</v>
      </c>
      <c r="C6" s="230" t="s">
        <v>671</v>
      </c>
      <c r="D6" s="246">
        <v>320.0</v>
      </c>
      <c r="E6" s="245">
        <f t="shared" si="2"/>
        <v>410</v>
      </c>
      <c r="F6" s="232">
        <f t="shared" si="3"/>
        <v>66</v>
      </c>
      <c r="G6" s="205" t="str">
        <f t="shared" si="4"/>
        <v>🔓 ABIERTO</v>
      </c>
      <c r="H6" s="233" t="str">
        <f t="shared" si="5"/>
        <v/>
      </c>
      <c r="I6" s="207"/>
    </row>
    <row r="7" ht="22.5" customHeight="1">
      <c r="A7" s="192">
        <f t="shared" si="1"/>
        <v>3</v>
      </c>
      <c r="B7" s="208">
        <v>46054.0</v>
      </c>
      <c r="C7" s="226" t="s">
        <v>671</v>
      </c>
      <c r="D7" s="244">
        <v>100.0</v>
      </c>
      <c r="E7" s="245">
        <f t="shared" si="2"/>
        <v>510</v>
      </c>
      <c r="F7" s="228">
        <f t="shared" si="3"/>
        <v>66</v>
      </c>
      <c r="G7" s="198" t="str">
        <f t="shared" si="4"/>
        <v>🔓 ABIERTO</v>
      </c>
      <c r="H7" s="229" t="str">
        <f t="shared" si="5"/>
        <v/>
      </c>
      <c r="I7" s="200"/>
    </row>
    <row r="8" ht="22.5" customHeight="1">
      <c r="A8" s="234">
        <f t="shared" si="1"/>
        <v>4</v>
      </c>
      <c r="B8" s="209">
        <v>46055.0</v>
      </c>
      <c r="C8" s="230" t="s">
        <v>4</v>
      </c>
      <c r="D8" s="246">
        <v>-510.0</v>
      </c>
      <c r="E8" s="245">
        <f t="shared" si="2"/>
        <v>0</v>
      </c>
      <c r="F8" s="232">
        <f t="shared" si="3"/>
        <v>4</v>
      </c>
      <c r="G8" s="205" t="str">
        <f t="shared" si="4"/>
        <v>✅ CERRADO</v>
      </c>
      <c r="H8" s="233">
        <f t="shared" si="5"/>
        <v>-510</v>
      </c>
      <c r="I8" s="207"/>
    </row>
    <row r="9" ht="22.5" customHeight="1">
      <c r="A9" s="192">
        <f t="shared" si="1"/>
        <v>5</v>
      </c>
      <c r="B9" s="209">
        <v>46055.0</v>
      </c>
      <c r="C9" s="226" t="s">
        <v>2</v>
      </c>
      <c r="D9" s="246">
        <v>50.0</v>
      </c>
      <c r="E9" s="245">
        <f t="shared" si="2"/>
        <v>50</v>
      </c>
      <c r="F9" s="228">
        <f t="shared" si="3"/>
        <v>66</v>
      </c>
      <c r="G9" s="198" t="str">
        <f t="shared" si="4"/>
        <v>🔓 ABIERTO</v>
      </c>
      <c r="H9" s="229" t="str">
        <f t="shared" si="5"/>
        <v/>
      </c>
      <c r="I9" s="200"/>
    </row>
    <row r="10" ht="22.5" customHeight="1">
      <c r="A10" s="234">
        <f t="shared" si="1"/>
        <v>6</v>
      </c>
      <c r="B10" s="208">
        <v>46056.0</v>
      </c>
      <c r="C10" s="226" t="s">
        <v>671</v>
      </c>
      <c r="D10" s="244">
        <v>50.0</v>
      </c>
      <c r="E10" s="245">
        <f t="shared" si="2"/>
        <v>100</v>
      </c>
      <c r="F10" s="232">
        <f t="shared" si="3"/>
        <v>66</v>
      </c>
      <c r="G10" s="205" t="str">
        <f t="shared" si="4"/>
        <v>🔓 ABIERTO</v>
      </c>
      <c r="H10" s="233" t="str">
        <f t="shared" si="5"/>
        <v/>
      </c>
      <c r="I10" s="207"/>
    </row>
    <row r="11" ht="22.5" customHeight="1">
      <c r="A11" s="192">
        <f t="shared" si="1"/>
        <v>7</v>
      </c>
      <c r="B11" s="209">
        <v>46056.0</v>
      </c>
      <c r="C11" s="230" t="s">
        <v>671</v>
      </c>
      <c r="D11" s="246">
        <v>50.0</v>
      </c>
      <c r="E11" s="245">
        <f t="shared" si="2"/>
        <v>150</v>
      </c>
      <c r="F11" s="228">
        <f t="shared" si="3"/>
        <v>66</v>
      </c>
      <c r="G11" s="198" t="str">
        <f t="shared" si="4"/>
        <v>🔓 ABIERTO</v>
      </c>
      <c r="H11" s="229" t="str">
        <f t="shared" si="5"/>
        <v/>
      </c>
      <c r="I11" s="200"/>
    </row>
    <row r="12" ht="22.5" customHeight="1">
      <c r="A12" s="234">
        <f t="shared" si="1"/>
        <v>8</v>
      </c>
      <c r="B12" s="208">
        <v>46057.0</v>
      </c>
      <c r="C12" s="226" t="s">
        <v>671</v>
      </c>
      <c r="D12" s="244">
        <v>50.0</v>
      </c>
      <c r="E12" s="245">
        <f t="shared" si="2"/>
        <v>200</v>
      </c>
      <c r="F12" s="232">
        <f t="shared" si="3"/>
        <v>66</v>
      </c>
      <c r="G12" s="205" t="str">
        <f t="shared" si="4"/>
        <v>🔓 ABIERTO</v>
      </c>
      <c r="H12" s="233" t="str">
        <f t="shared" si="5"/>
        <v/>
      </c>
      <c r="I12" s="207"/>
    </row>
    <row r="13" ht="22.5" customHeight="1">
      <c r="A13" s="192">
        <f t="shared" si="1"/>
        <v>9</v>
      </c>
      <c r="B13" s="209">
        <v>46057.0</v>
      </c>
      <c r="C13" s="230" t="s">
        <v>671</v>
      </c>
      <c r="D13" s="246">
        <v>50.0</v>
      </c>
      <c r="E13" s="245">
        <f t="shared" si="2"/>
        <v>250</v>
      </c>
      <c r="F13" s="228">
        <f t="shared" si="3"/>
        <v>66</v>
      </c>
      <c r="G13" s="198" t="str">
        <f t="shared" si="4"/>
        <v>🔓 ABIERTO</v>
      </c>
      <c r="H13" s="229" t="str">
        <f t="shared" si="5"/>
        <v/>
      </c>
      <c r="I13" s="200"/>
    </row>
    <row r="14" ht="22.5" customHeight="1">
      <c r="A14" s="234">
        <f t="shared" si="1"/>
        <v>10</v>
      </c>
      <c r="B14" s="208">
        <v>46057.0</v>
      </c>
      <c r="C14" s="226" t="s">
        <v>671</v>
      </c>
      <c r="D14" s="244">
        <v>50.0</v>
      </c>
      <c r="E14" s="245">
        <f t="shared" si="2"/>
        <v>300</v>
      </c>
      <c r="F14" s="232">
        <f t="shared" si="3"/>
        <v>66</v>
      </c>
      <c r="G14" s="205" t="str">
        <f t="shared" si="4"/>
        <v>🔓 ABIERTO</v>
      </c>
      <c r="H14" s="233" t="str">
        <f t="shared" si="5"/>
        <v/>
      </c>
      <c r="I14" s="207"/>
    </row>
    <row r="15" ht="22.5" customHeight="1">
      <c r="A15" s="192">
        <f t="shared" si="1"/>
        <v>11</v>
      </c>
      <c r="B15" s="209">
        <v>46060.0</v>
      </c>
      <c r="C15" s="230" t="s">
        <v>4</v>
      </c>
      <c r="D15" s="246">
        <v>96.0</v>
      </c>
      <c r="E15" s="245">
        <f t="shared" si="2"/>
        <v>396</v>
      </c>
      <c r="F15" s="228">
        <f t="shared" si="3"/>
        <v>9</v>
      </c>
      <c r="G15" s="198" t="str">
        <f t="shared" si="4"/>
        <v>✅ CERRADO</v>
      </c>
      <c r="H15" s="229">
        <f t="shared" si="5"/>
        <v>96</v>
      </c>
      <c r="I15" s="200"/>
    </row>
    <row r="16" ht="22.5" customHeight="1">
      <c r="A16" s="234">
        <f t="shared" si="1"/>
        <v>12</v>
      </c>
      <c r="B16" s="247">
        <v>46065.0</v>
      </c>
      <c r="C16" s="226" t="s">
        <v>2</v>
      </c>
      <c r="D16" s="248">
        <v>50.0</v>
      </c>
      <c r="E16" s="245">
        <f t="shared" si="2"/>
        <v>50</v>
      </c>
      <c r="F16" s="232">
        <f t="shared" si="3"/>
        <v>66</v>
      </c>
      <c r="G16" s="205" t="str">
        <f t="shared" si="4"/>
        <v>🔓 ABIERTO</v>
      </c>
      <c r="H16" s="233" t="str">
        <f t="shared" si="5"/>
        <v/>
      </c>
      <c r="I16" s="207"/>
    </row>
    <row r="17" ht="22.5" customHeight="1">
      <c r="A17" s="192">
        <f t="shared" si="1"/>
        <v>13</v>
      </c>
      <c r="B17" s="249">
        <v>46066.0</v>
      </c>
      <c r="C17" s="226" t="s">
        <v>671</v>
      </c>
      <c r="D17" s="250">
        <v>50.0</v>
      </c>
      <c r="E17" s="245">
        <f t="shared" si="2"/>
        <v>100</v>
      </c>
      <c r="F17" s="228">
        <f t="shared" si="3"/>
        <v>66</v>
      </c>
      <c r="G17" s="198" t="str">
        <f t="shared" si="4"/>
        <v>🔓 ABIERTO</v>
      </c>
      <c r="H17" s="229" t="str">
        <f t="shared" si="5"/>
        <v/>
      </c>
      <c r="I17" s="200"/>
    </row>
    <row r="18" ht="22.5" customHeight="1">
      <c r="A18" s="234">
        <f t="shared" si="1"/>
        <v>14</v>
      </c>
      <c r="B18" s="247">
        <v>46067.0</v>
      </c>
      <c r="C18" s="230" t="s">
        <v>671</v>
      </c>
      <c r="D18" s="248">
        <v>50.0</v>
      </c>
      <c r="E18" s="245">
        <f t="shared" si="2"/>
        <v>150</v>
      </c>
      <c r="F18" s="232">
        <f t="shared" si="3"/>
        <v>66</v>
      </c>
      <c r="G18" s="205" t="str">
        <f t="shared" si="4"/>
        <v>🔓 ABIERTO</v>
      </c>
      <c r="H18" s="233" t="str">
        <f t="shared" si="5"/>
        <v/>
      </c>
      <c r="I18" s="207"/>
    </row>
    <row r="19" ht="22.5" customHeight="1">
      <c r="A19" s="192">
        <f t="shared" si="1"/>
        <v>15</v>
      </c>
      <c r="B19" s="249">
        <v>46067.0</v>
      </c>
      <c r="C19" s="226" t="s">
        <v>671</v>
      </c>
      <c r="D19" s="250">
        <v>200.0</v>
      </c>
      <c r="E19" s="245">
        <f t="shared" si="2"/>
        <v>350</v>
      </c>
      <c r="F19" s="228">
        <f t="shared" si="3"/>
        <v>66</v>
      </c>
      <c r="G19" s="198" t="str">
        <f t="shared" si="4"/>
        <v>🔓 ABIERTO</v>
      </c>
      <c r="H19" s="229" t="str">
        <f t="shared" si="5"/>
        <v/>
      </c>
      <c r="I19" s="200"/>
    </row>
    <row r="20" ht="22.5" customHeight="1">
      <c r="A20" s="234">
        <f t="shared" si="1"/>
        <v>16</v>
      </c>
      <c r="B20" s="247">
        <v>46068.0</v>
      </c>
      <c r="C20" s="230" t="s">
        <v>671</v>
      </c>
      <c r="D20" s="248">
        <v>50.0</v>
      </c>
      <c r="E20" s="245">
        <f t="shared" si="2"/>
        <v>400</v>
      </c>
      <c r="F20" s="232">
        <f t="shared" si="3"/>
        <v>66</v>
      </c>
      <c r="G20" s="205" t="str">
        <f t="shared" si="4"/>
        <v>🔓 ABIERTO</v>
      </c>
      <c r="H20" s="233" t="str">
        <f t="shared" si="5"/>
        <v/>
      </c>
      <c r="I20" s="207"/>
    </row>
    <row r="21" ht="22.5" customHeight="1">
      <c r="A21" s="192">
        <f t="shared" si="1"/>
        <v>17</v>
      </c>
      <c r="B21" s="249">
        <v>46070.0</v>
      </c>
      <c r="C21" s="226" t="s">
        <v>671</v>
      </c>
      <c r="D21" s="250">
        <v>150.0</v>
      </c>
      <c r="E21" s="245">
        <f t="shared" si="2"/>
        <v>550</v>
      </c>
      <c r="F21" s="228">
        <f t="shared" si="3"/>
        <v>66</v>
      </c>
      <c r="G21" s="198" t="str">
        <f t="shared" si="4"/>
        <v>🔓 ABIERTO</v>
      </c>
      <c r="H21" s="229" t="str">
        <f t="shared" si="5"/>
        <v/>
      </c>
      <c r="I21" s="200"/>
    </row>
    <row r="22" ht="22.5" customHeight="1">
      <c r="A22" s="234">
        <f t="shared" si="1"/>
        <v>18</v>
      </c>
      <c r="B22" s="247">
        <v>46070.0</v>
      </c>
      <c r="C22" s="230" t="s">
        <v>671</v>
      </c>
      <c r="D22" s="248">
        <v>50.0</v>
      </c>
      <c r="E22" s="245">
        <f t="shared" si="2"/>
        <v>600</v>
      </c>
      <c r="F22" s="232">
        <f t="shared" si="3"/>
        <v>66</v>
      </c>
      <c r="G22" s="205" t="str">
        <f t="shared" si="4"/>
        <v>🔓 ABIERTO</v>
      </c>
      <c r="H22" s="233" t="str">
        <f t="shared" si="5"/>
        <v/>
      </c>
      <c r="I22" s="207"/>
    </row>
    <row r="23" ht="22.5" customHeight="1">
      <c r="A23" s="192">
        <f t="shared" si="1"/>
        <v>19</v>
      </c>
      <c r="B23" s="249">
        <v>46071.0</v>
      </c>
      <c r="C23" s="226" t="s">
        <v>671</v>
      </c>
      <c r="D23" s="250">
        <v>200.0</v>
      </c>
      <c r="E23" s="245">
        <f t="shared" si="2"/>
        <v>800</v>
      </c>
      <c r="F23" s="228">
        <f t="shared" si="3"/>
        <v>66</v>
      </c>
      <c r="G23" s="198" t="str">
        <f t="shared" si="4"/>
        <v>🔓 ABIERTO</v>
      </c>
      <c r="H23" s="229" t="str">
        <f t="shared" si="5"/>
        <v/>
      </c>
      <c r="I23" s="200"/>
    </row>
    <row r="24" ht="22.5" customHeight="1">
      <c r="A24" s="234">
        <f t="shared" si="1"/>
        <v>20</v>
      </c>
      <c r="B24" s="247">
        <v>46072.0</v>
      </c>
      <c r="C24" s="230" t="s">
        <v>671</v>
      </c>
      <c r="D24" s="248">
        <v>50.0</v>
      </c>
      <c r="E24" s="245">
        <f t="shared" si="2"/>
        <v>850</v>
      </c>
      <c r="F24" s="232">
        <f t="shared" si="3"/>
        <v>66</v>
      </c>
      <c r="G24" s="205" t="str">
        <f t="shared" si="4"/>
        <v>🔓 ABIERTO</v>
      </c>
      <c r="H24" s="233" t="str">
        <f t="shared" si="5"/>
        <v/>
      </c>
      <c r="I24" s="207"/>
    </row>
    <row r="25" ht="22.5" customHeight="1">
      <c r="A25" s="192">
        <f t="shared" si="1"/>
        <v>21</v>
      </c>
      <c r="B25" s="249">
        <v>46073.0</v>
      </c>
      <c r="C25" s="226" t="s">
        <v>671</v>
      </c>
      <c r="D25" s="250">
        <v>50.0</v>
      </c>
      <c r="E25" s="245">
        <f t="shared" si="2"/>
        <v>900</v>
      </c>
      <c r="F25" s="228">
        <f t="shared" si="3"/>
        <v>66</v>
      </c>
      <c r="G25" s="198" t="str">
        <f t="shared" si="4"/>
        <v>🔓 ABIERTO</v>
      </c>
      <c r="H25" s="229" t="str">
        <f t="shared" si="5"/>
        <v/>
      </c>
      <c r="I25" s="200"/>
    </row>
    <row r="26" ht="22.5" customHeight="1">
      <c r="A26" s="234">
        <f t="shared" si="1"/>
        <v>22</v>
      </c>
      <c r="B26" s="209">
        <v>46073.0</v>
      </c>
      <c r="C26" s="247" t="s">
        <v>4</v>
      </c>
      <c r="D26" s="248">
        <v>104.0</v>
      </c>
      <c r="E26" s="245">
        <f t="shared" si="2"/>
        <v>1004</v>
      </c>
      <c r="F26" s="232">
        <f t="shared" si="3"/>
        <v>22</v>
      </c>
      <c r="G26" s="205" t="str">
        <f t="shared" si="4"/>
        <v>✅ CERRADO</v>
      </c>
      <c r="H26" s="233">
        <f t="shared" si="5"/>
        <v>104</v>
      </c>
      <c r="I26" s="207"/>
    </row>
    <row r="27" ht="22.5" customHeight="1">
      <c r="A27" s="192">
        <f t="shared" si="1"/>
        <v>23</v>
      </c>
      <c r="B27" s="208">
        <v>46076.0</v>
      </c>
      <c r="C27" s="226" t="s">
        <v>2</v>
      </c>
      <c r="D27" s="244">
        <v>150.0</v>
      </c>
      <c r="E27" s="245">
        <f t="shared" si="2"/>
        <v>150</v>
      </c>
      <c r="F27" s="228">
        <f t="shared" si="3"/>
        <v>66</v>
      </c>
      <c r="G27" s="198" t="str">
        <f t="shared" si="4"/>
        <v>🔓 ABIERTO</v>
      </c>
      <c r="H27" s="229" t="str">
        <f t="shared" si="5"/>
        <v/>
      </c>
      <c r="I27" s="200"/>
    </row>
    <row r="28" ht="22.5" customHeight="1">
      <c r="A28" s="234">
        <f t="shared" si="1"/>
        <v>24</v>
      </c>
      <c r="B28" s="209">
        <v>46076.0</v>
      </c>
      <c r="C28" s="230" t="s">
        <v>671</v>
      </c>
      <c r="D28" s="246">
        <v>200.0</v>
      </c>
      <c r="E28" s="251">
        <f t="shared" si="2"/>
        <v>350</v>
      </c>
      <c r="F28" s="232">
        <f t="shared" si="3"/>
        <v>66</v>
      </c>
      <c r="G28" s="205" t="str">
        <f t="shared" si="4"/>
        <v>🔓 ABIERTO</v>
      </c>
      <c r="H28" s="233" t="str">
        <f t="shared" si="5"/>
        <v/>
      </c>
      <c r="I28" s="207"/>
    </row>
    <row r="29" ht="22.5" customHeight="1">
      <c r="A29" s="192">
        <f t="shared" si="1"/>
        <v>25</v>
      </c>
      <c r="B29" s="208">
        <v>46077.0</v>
      </c>
      <c r="C29" s="226" t="s">
        <v>671</v>
      </c>
      <c r="D29" s="244">
        <v>200.0</v>
      </c>
      <c r="E29" s="245">
        <f t="shared" si="2"/>
        <v>550</v>
      </c>
      <c r="F29" s="228">
        <f t="shared" si="3"/>
        <v>66</v>
      </c>
      <c r="G29" s="198" t="str">
        <f t="shared" si="4"/>
        <v>🔓 ABIERTO</v>
      </c>
      <c r="H29" s="229" t="str">
        <f t="shared" si="5"/>
        <v/>
      </c>
      <c r="I29" s="200"/>
    </row>
    <row r="30" ht="22.5" customHeight="1">
      <c r="A30" s="234">
        <f t="shared" si="1"/>
        <v>26</v>
      </c>
      <c r="B30" s="209">
        <v>46078.0</v>
      </c>
      <c r="C30" s="230" t="s">
        <v>671</v>
      </c>
      <c r="D30" s="246">
        <v>100.0</v>
      </c>
      <c r="E30" s="251">
        <f t="shared" si="2"/>
        <v>650</v>
      </c>
      <c r="F30" s="232">
        <f t="shared" si="3"/>
        <v>66</v>
      </c>
      <c r="G30" s="205" t="str">
        <f t="shared" si="4"/>
        <v>🔓 ABIERTO</v>
      </c>
      <c r="H30" s="233" t="str">
        <f t="shared" si="5"/>
        <v/>
      </c>
      <c r="I30" s="207"/>
    </row>
    <row r="31" ht="22.5" customHeight="1">
      <c r="A31" s="192">
        <f t="shared" si="1"/>
        <v>27</v>
      </c>
      <c r="B31" s="208">
        <v>46228.0</v>
      </c>
      <c r="C31" s="226" t="s">
        <v>4</v>
      </c>
      <c r="D31" s="244">
        <v>134.0</v>
      </c>
      <c r="E31" s="245">
        <f t="shared" si="2"/>
        <v>784</v>
      </c>
      <c r="F31" s="228">
        <f t="shared" si="3"/>
        <v>177</v>
      </c>
      <c r="G31" s="198" t="str">
        <f t="shared" si="4"/>
        <v>✅ CERRADO</v>
      </c>
      <c r="H31" s="229">
        <f t="shared" si="5"/>
        <v>134</v>
      </c>
      <c r="I31" s="200"/>
    </row>
    <row r="32" ht="22.5" customHeight="1">
      <c r="A32" s="234">
        <f t="shared" si="1"/>
        <v>28</v>
      </c>
      <c r="B32" s="209">
        <v>46081.0</v>
      </c>
      <c r="C32" s="230" t="s">
        <v>2</v>
      </c>
      <c r="D32" s="246">
        <v>100.0</v>
      </c>
      <c r="E32" s="251">
        <f t="shared" si="2"/>
        <v>100</v>
      </c>
      <c r="F32" s="232">
        <f t="shared" si="3"/>
        <v>66</v>
      </c>
      <c r="G32" s="205" t="str">
        <f t="shared" si="4"/>
        <v>🔓 ABIERTO</v>
      </c>
      <c r="H32" s="233" t="str">
        <f t="shared" si="5"/>
        <v/>
      </c>
      <c r="I32" s="207"/>
    </row>
    <row r="33" ht="22.5" customHeight="1">
      <c r="A33" s="192">
        <f t="shared" si="1"/>
        <v>29</v>
      </c>
      <c r="B33" s="208">
        <v>46082.0</v>
      </c>
      <c r="C33" s="226" t="s">
        <v>671</v>
      </c>
      <c r="D33" s="244">
        <v>100.0</v>
      </c>
      <c r="E33" s="245">
        <f t="shared" si="2"/>
        <v>200</v>
      </c>
      <c r="F33" s="228">
        <f t="shared" si="3"/>
        <v>66</v>
      </c>
      <c r="G33" s="198" t="str">
        <f t="shared" si="4"/>
        <v>🔓 ABIERTO</v>
      </c>
      <c r="H33" s="229" t="str">
        <f t="shared" si="5"/>
        <v/>
      </c>
      <c r="I33" s="200"/>
    </row>
    <row r="34" ht="22.5" customHeight="1">
      <c r="A34" s="234">
        <f t="shared" si="1"/>
        <v>30</v>
      </c>
      <c r="B34" s="209">
        <v>46083.0</v>
      </c>
      <c r="C34" s="230" t="s">
        <v>671</v>
      </c>
      <c r="D34" s="246">
        <v>100.0</v>
      </c>
      <c r="E34" s="251">
        <f t="shared" si="2"/>
        <v>300</v>
      </c>
      <c r="F34" s="232">
        <f t="shared" si="3"/>
        <v>66</v>
      </c>
      <c r="G34" s="205" t="str">
        <f t="shared" si="4"/>
        <v>🔓 ABIERTO</v>
      </c>
      <c r="H34" s="233" t="str">
        <f t="shared" si="5"/>
        <v/>
      </c>
      <c r="I34" s="207"/>
    </row>
    <row r="35" ht="22.5" customHeight="1">
      <c r="A35" s="192">
        <f t="shared" si="1"/>
        <v>31</v>
      </c>
      <c r="B35" s="208">
        <v>46084.0</v>
      </c>
      <c r="C35" s="226" t="s">
        <v>671</v>
      </c>
      <c r="D35" s="244">
        <v>400.0</v>
      </c>
      <c r="E35" s="245">
        <f t="shared" si="2"/>
        <v>700</v>
      </c>
      <c r="F35" s="228">
        <f t="shared" si="3"/>
        <v>66</v>
      </c>
      <c r="G35" s="198" t="str">
        <f t="shared" si="4"/>
        <v>🔓 ABIERTO</v>
      </c>
      <c r="H35" s="229" t="str">
        <f t="shared" si="5"/>
        <v/>
      </c>
      <c r="I35" s="200"/>
    </row>
    <row r="36" ht="22.5" customHeight="1">
      <c r="A36" s="234">
        <f t="shared" si="1"/>
        <v>32</v>
      </c>
      <c r="B36" s="209">
        <v>46085.0</v>
      </c>
      <c r="C36" s="230" t="s">
        <v>671</v>
      </c>
      <c r="D36" s="246">
        <v>100.0</v>
      </c>
      <c r="E36" s="251">
        <f t="shared" si="2"/>
        <v>800</v>
      </c>
      <c r="F36" s="232">
        <f t="shared" si="3"/>
        <v>66</v>
      </c>
      <c r="G36" s="205" t="str">
        <f t="shared" si="4"/>
        <v>🔓 ABIERTO</v>
      </c>
      <c r="H36" s="233" t="str">
        <f t="shared" si="5"/>
        <v/>
      </c>
      <c r="I36" s="207"/>
    </row>
    <row r="37" ht="22.5" customHeight="1">
      <c r="A37" s="192">
        <f t="shared" si="1"/>
        <v>33</v>
      </c>
      <c r="B37" s="208">
        <v>46090.0</v>
      </c>
      <c r="C37" s="226" t="s">
        <v>671</v>
      </c>
      <c r="D37" s="244">
        <v>200.0</v>
      </c>
      <c r="E37" s="245">
        <f t="shared" ref="E37:E54" si="6">IFERROR(IF(D37&lt;&gt;"", IF(C37="Cierre", E36, E36+D37), ""), "")</f>
        <v>1000</v>
      </c>
      <c r="F37" s="228">
        <f t="shared" si="3"/>
        <v>66</v>
      </c>
      <c r="G37" s="198" t="str">
        <f t="shared" si="4"/>
        <v>🔓 ABIERTO</v>
      </c>
      <c r="H37" s="229" t="str">
        <f t="shared" si="5"/>
        <v/>
      </c>
      <c r="I37" s="200"/>
    </row>
    <row r="38" ht="22.5" customHeight="1">
      <c r="A38" s="234">
        <f t="shared" si="1"/>
        <v>34</v>
      </c>
      <c r="B38" s="209">
        <v>46100.0</v>
      </c>
      <c r="C38" s="230" t="s">
        <v>4</v>
      </c>
      <c r="D38" s="246">
        <v>-1355.0</v>
      </c>
      <c r="E38" s="251">
        <f t="shared" si="6"/>
        <v>1000</v>
      </c>
      <c r="F38" s="232">
        <f t="shared" si="3"/>
        <v>49</v>
      </c>
      <c r="G38" s="205" t="str">
        <f t="shared" si="4"/>
        <v>✅ CERRADO</v>
      </c>
      <c r="H38" s="233">
        <f t="shared" si="5"/>
        <v>-1355</v>
      </c>
      <c r="I38" s="207"/>
    </row>
    <row r="39" ht="22.5" customHeight="1">
      <c r="A39" s="192">
        <f t="shared" si="1"/>
        <v>35</v>
      </c>
      <c r="B39" s="249"/>
      <c r="C39" s="252"/>
      <c r="D39" s="250"/>
      <c r="E39" s="245" t="str">
        <f t="shared" si="6"/>
        <v/>
      </c>
      <c r="F39" s="228" t="str">
        <f t="shared" si="3"/>
        <v/>
      </c>
      <c r="G39" s="198" t="str">
        <f t="shared" si="4"/>
        <v/>
      </c>
      <c r="H39" s="229" t="str">
        <f t="shared" si="5"/>
        <v/>
      </c>
      <c r="I39" s="200"/>
    </row>
    <row r="40" ht="22.5" customHeight="1">
      <c r="A40" s="234">
        <f t="shared" si="1"/>
        <v>36</v>
      </c>
      <c r="B40" s="247"/>
      <c r="C40" s="253"/>
      <c r="D40" s="248"/>
      <c r="E40" s="251" t="str">
        <f t="shared" si="6"/>
        <v/>
      </c>
      <c r="F40" s="232" t="str">
        <f t="shared" si="3"/>
        <v/>
      </c>
      <c r="G40" s="205" t="str">
        <f t="shared" si="4"/>
        <v/>
      </c>
      <c r="H40" s="233" t="str">
        <f t="shared" si="5"/>
        <v/>
      </c>
      <c r="I40" s="207"/>
    </row>
    <row r="41" ht="22.5" customHeight="1">
      <c r="A41" s="192">
        <f t="shared" si="1"/>
        <v>37</v>
      </c>
      <c r="B41" s="249"/>
      <c r="C41" s="252"/>
      <c r="D41" s="250"/>
      <c r="E41" s="245" t="str">
        <f t="shared" si="6"/>
        <v/>
      </c>
      <c r="F41" s="228" t="str">
        <f t="shared" si="3"/>
        <v/>
      </c>
      <c r="G41" s="198" t="str">
        <f t="shared" si="4"/>
        <v/>
      </c>
      <c r="H41" s="229" t="str">
        <f t="shared" si="5"/>
        <v/>
      </c>
      <c r="I41" s="200"/>
    </row>
    <row r="42" ht="22.5" customHeight="1">
      <c r="A42" s="234">
        <f t="shared" si="1"/>
        <v>38</v>
      </c>
      <c r="B42" s="247"/>
      <c r="C42" s="253"/>
      <c r="D42" s="248"/>
      <c r="E42" s="251" t="str">
        <f t="shared" si="6"/>
        <v/>
      </c>
      <c r="F42" s="232" t="str">
        <f t="shared" si="3"/>
        <v/>
      </c>
      <c r="G42" s="205" t="str">
        <f t="shared" si="4"/>
        <v/>
      </c>
      <c r="H42" s="233" t="str">
        <f t="shared" si="5"/>
        <v/>
      </c>
      <c r="I42" s="207"/>
    </row>
    <row r="43" ht="22.5" customHeight="1">
      <c r="A43" s="192">
        <f t="shared" si="1"/>
        <v>39</v>
      </c>
      <c r="B43" s="249"/>
      <c r="C43" s="252"/>
      <c r="D43" s="250"/>
      <c r="E43" s="245" t="str">
        <f t="shared" si="6"/>
        <v/>
      </c>
      <c r="F43" s="228" t="str">
        <f t="shared" si="3"/>
        <v/>
      </c>
      <c r="G43" s="198" t="str">
        <f t="shared" si="4"/>
        <v/>
      </c>
      <c r="H43" s="229" t="str">
        <f t="shared" si="5"/>
        <v/>
      </c>
      <c r="I43" s="200"/>
    </row>
    <row r="44" ht="22.5" customHeight="1">
      <c r="A44" s="234">
        <f t="shared" si="1"/>
        <v>40</v>
      </c>
      <c r="B44" s="247"/>
      <c r="C44" s="253"/>
      <c r="D44" s="248"/>
      <c r="E44" s="251" t="str">
        <f t="shared" si="6"/>
        <v/>
      </c>
      <c r="F44" s="232" t="str">
        <f t="shared" si="3"/>
        <v/>
      </c>
      <c r="G44" s="205" t="str">
        <f t="shared" si="4"/>
        <v/>
      </c>
      <c r="H44" s="233" t="str">
        <f t="shared" si="5"/>
        <v/>
      </c>
      <c r="I44" s="207"/>
    </row>
    <row r="45" ht="22.5" customHeight="1">
      <c r="A45" s="192">
        <f t="shared" si="1"/>
        <v>41</v>
      </c>
      <c r="B45" s="249"/>
      <c r="C45" s="252"/>
      <c r="D45" s="250"/>
      <c r="E45" s="245" t="str">
        <f t="shared" si="6"/>
        <v/>
      </c>
      <c r="F45" s="228" t="str">
        <f t="shared" si="3"/>
        <v/>
      </c>
      <c r="G45" s="198" t="str">
        <f t="shared" si="4"/>
        <v/>
      </c>
      <c r="H45" s="229" t="str">
        <f t="shared" si="5"/>
        <v/>
      </c>
      <c r="I45" s="200"/>
    </row>
    <row r="46" ht="22.5" customHeight="1">
      <c r="A46" s="234">
        <f t="shared" si="1"/>
        <v>42</v>
      </c>
      <c r="B46" s="247"/>
      <c r="C46" s="253"/>
      <c r="D46" s="248"/>
      <c r="E46" s="251" t="str">
        <f t="shared" si="6"/>
        <v/>
      </c>
      <c r="F46" s="232" t="str">
        <f t="shared" si="3"/>
        <v/>
      </c>
      <c r="G46" s="205" t="str">
        <f t="shared" si="4"/>
        <v/>
      </c>
      <c r="H46" s="233" t="str">
        <f t="shared" si="5"/>
        <v/>
      </c>
      <c r="I46" s="207"/>
    </row>
    <row r="47" ht="22.5" customHeight="1">
      <c r="A47" s="192">
        <f t="shared" si="1"/>
        <v>43</v>
      </c>
      <c r="B47" s="249"/>
      <c r="C47" s="252"/>
      <c r="D47" s="250"/>
      <c r="E47" s="245" t="str">
        <f t="shared" si="6"/>
        <v/>
      </c>
      <c r="F47" s="228" t="str">
        <f t="shared" si="3"/>
        <v/>
      </c>
      <c r="G47" s="198" t="str">
        <f t="shared" si="4"/>
        <v/>
      </c>
      <c r="H47" s="229" t="str">
        <f t="shared" si="5"/>
        <v/>
      </c>
      <c r="I47" s="200"/>
    </row>
    <row r="48" ht="22.5" customHeight="1">
      <c r="A48" s="234">
        <f t="shared" si="1"/>
        <v>44</v>
      </c>
      <c r="B48" s="247"/>
      <c r="C48" s="253"/>
      <c r="D48" s="248"/>
      <c r="E48" s="251" t="str">
        <f t="shared" si="6"/>
        <v/>
      </c>
      <c r="F48" s="232" t="str">
        <f t="shared" si="3"/>
        <v/>
      </c>
      <c r="G48" s="205" t="str">
        <f t="shared" si="4"/>
        <v/>
      </c>
      <c r="H48" s="233" t="str">
        <f t="shared" si="5"/>
        <v/>
      </c>
      <c r="I48" s="207"/>
    </row>
    <row r="49" ht="22.5" customHeight="1">
      <c r="A49" s="192">
        <f t="shared" si="1"/>
        <v>45</v>
      </c>
      <c r="B49" s="249"/>
      <c r="C49" s="252"/>
      <c r="D49" s="250"/>
      <c r="E49" s="245" t="str">
        <f t="shared" si="6"/>
        <v/>
      </c>
      <c r="F49" s="228" t="str">
        <f t="shared" si="3"/>
        <v/>
      </c>
      <c r="G49" s="198" t="str">
        <f t="shared" si="4"/>
        <v/>
      </c>
      <c r="H49" s="229" t="str">
        <f t="shared" si="5"/>
        <v/>
      </c>
      <c r="I49" s="200"/>
    </row>
    <row r="50" ht="22.5" customHeight="1">
      <c r="A50" s="234">
        <f t="shared" si="1"/>
        <v>46</v>
      </c>
      <c r="B50" s="247"/>
      <c r="C50" s="253"/>
      <c r="D50" s="248"/>
      <c r="E50" s="251" t="str">
        <f t="shared" si="6"/>
        <v/>
      </c>
      <c r="F50" s="232" t="str">
        <f t="shared" si="3"/>
        <v/>
      </c>
      <c r="G50" s="205" t="str">
        <f t="shared" si="4"/>
        <v/>
      </c>
      <c r="H50" s="233" t="str">
        <f t="shared" si="5"/>
        <v/>
      </c>
      <c r="I50" s="207"/>
    </row>
    <row r="51" ht="22.5" customHeight="1">
      <c r="A51" s="192">
        <f t="shared" si="1"/>
        <v>47</v>
      </c>
      <c r="B51" s="249"/>
      <c r="C51" s="252"/>
      <c r="D51" s="250"/>
      <c r="E51" s="245" t="str">
        <f t="shared" si="6"/>
        <v/>
      </c>
      <c r="F51" s="228" t="str">
        <f t="shared" si="3"/>
        <v/>
      </c>
      <c r="G51" s="198" t="str">
        <f t="shared" si="4"/>
        <v/>
      </c>
      <c r="H51" s="229" t="str">
        <f t="shared" si="5"/>
        <v/>
      </c>
      <c r="I51" s="200"/>
    </row>
    <row r="52" ht="22.5" customHeight="1">
      <c r="A52" s="234">
        <f t="shared" si="1"/>
        <v>48</v>
      </c>
      <c r="B52" s="247"/>
      <c r="C52" s="253"/>
      <c r="D52" s="248"/>
      <c r="E52" s="251" t="str">
        <f t="shared" si="6"/>
        <v/>
      </c>
      <c r="F52" s="232" t="str">
        <f t="shared" si="3"/>
        <v/>
      </c>
      <c r="G52" s="205" t="str">
        <f t="shared" si="4"/>
        <v/>
      </c>
      <c r="H52" s="233" t="str">
        <f t="shared" si="5"/>
        <v/>
      </c>
      <c r="I52" s="207"/>
    </row>
    <row r="53" ht="22.5" customHeight="1">
      <c r="A53" s="192">
        <f t="shared" si="1"/>
        <v>49</v>
      </c>
      <c r="B53" s="249"/>
      <c r="C53" s="252"/>
      <c r="D53" s="250"/>
      <c r="E53" s="245" t="str">
        <f t="shared" si="6"/>
        <v/>
      </c>
      <c r="F53" s="228" t="str">
        <f t="shared" si="3"/>
        <v/>
      </c>
      <c r="G53" s="198" t="str">
        <f t="shared" si="4"/>
        <v/>
      </c>
      <c r="H53" s="229" t="str">
        <f t="shared" si="5"/>
        <v/>
      </c>
      <c r="I53" s="200"/>
    </row>
    <row r="54" ht="22.5" customHeight="1">
      <c r="A54" s="234">
        <f t="shared" si="1"/>
        <v>50</v>
      </c>
      <c r="B54" s="247"/>
      <c r="C54" s="253"/>
      <c r="D54" s="248"/>
      <c r="E54" s="251" t="str">
        <f t="shared" si="6"/>
        <v/>
      </c>
      <c r="F54" s="232" t="str">
        <f t="shared" si="3"/>
        <v/>
      </c>
      <c r="G54" s="205" t="str">
        <f t="shared" si="4"/>
        <v/>
      </c>
      <c r="H54" s="233" t="str">
        <f t="shared" si="5"/>
        <v/>
      </c>
      <c r="I54" s="207"/>
    </row>
    <row r="55"/>
    <row r="56">
      <c r="A56" s="162" t="s">
        <v>669</v>
      </c>
    </row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2">
    <mergeCell ref="A1:I1"/>
    <mergeCell ref="A56:I56"/>
  </mergeCells>
  <conditionalFormatting sqref="A5:I54">
    <cfRule type="expression" dxfId="16" priority="1">
      <formula>$C5="Cierre"</formula>
    </cfRule>
  </conditionalFormatting>
  <conditionalFormatting sqref="A5:I54">
    <cfRule type="expression" dxfId="17" priority="2">
      <formula>AND($H5&lt;"",$H5&lt;0)</formula>
    </cfRule>
  </conditionalFormatting>
  <dataValidations>
    <dataValidation type="list" allowBlank="1" sqref="C5:C7 C9:C14 C16:C25 C27:C54">
      <formula1>"Apertura,Incremento,Cierre"</formula1>
    </dataValidation>
    <dataValidation type="custom" allowBlank="1" showDropDown="1" sqref="A5:A54 D5:D54">
      <formula1>AND(ISNUMBER(A5),(NOT(OR(NOT(ISERROR(DATEVALUE(A5))), AND(ISNUMBER(A5), LEFT(CELL("format", A5))="D")))))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